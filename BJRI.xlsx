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evens0-my.sharepoint.com/personal/tchen46_stevens_edu/Documents/"/>
    </mc:Choice>
  </mc:AlternateContent>
  <xr:revisionPtr revIDLastSave="0" documentId="13_ncr:1_{D0B98FA2-8230-433C-B77C-3E2CA09A3AB3}" xr6:coauthVersionLast="47" xr6:coauthVersionMax="47" xr10:uidLastSave="{00000000-0000-0000-0000-000000000000}"/>
  <bookViews>
    <workbookView xWindow="-120" yWindow="-120" windowWidth="29040" windowHeight="16440" tabRatio="808" xr2:uid="{00000000-000D-0000-FFFF-FFFF00000000}"/>
  </bookViews>
  <sheets>
    <sheet name="MAIN" sheetId="3" r:id="rId1"/>
    <sheet name="Quarterly Projections" sheetId="32" r:id="rId2"/>
    <sheet name="Assumptions" sheetId="13" r:id="rId3"/>
    <sheet name="Calcs" sheetId="5" r:id="rId4"/>
    <sheet name="Debt" sheetId="6" r:id="rId5"/>
    <sheet name="IncState" sheetId="7" r:id="rId6"/>
    <sheet name="BalSheet" sheetId="8" r:id="rId7"/>
    <sheet name="CashFlow" sheetId="9" r:id="rId8"/>
    <sheet name="Free Cash Flow" sheetId="10" r:id="rId9"/>
    <sheet name="WACC" sheetId="11" r:id="rId10"/>
    <sheet name="DCF Model" sheetId="12" r:id="rId11"/>
  </sheets>
  <externalReferences>
    <externalReference r:id="rId12"/>
  </externalReferences>
  <definedNames>
    <definedName name="Ccy">MAIN!$C$6</definedName>
    <definedName name="CIQWBGuid" hidden="1">"3fed39ac-8be9-4d46-8f70-028dfd35ab66"</definedName>
    <definedName name="CIQWBInfo" hidden="1">"{ ""CIQVersion"":""9.48.1616.5174"" }"</definedName>
    <definedName name="circ">MAIN!$C$9</definedName>
    <definedName name="CoName">MAIN!$C$4</definedName>
    <definedName name="g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OpCase">[1]DCF!$E$98</definedName>
    <definedName name="ScenarioREV">Assumptions!$D$4</definedName>
    <definedName name="TTS" comment="Updated: April 2023">#REF!</definedName>
    <definedName name="Units">MAIN!$C$7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0" l="1"/>
  <c r="H3" i="10"/>
  <c r="G4" i="10"/>
  <c r="H4" i="10"/>
  <c r="H7" i="10" s="1"/>
  <c r="H15" i="10" s="1"/>
  <c r="G5" i="10"/>
  <c r="H5" i="10"/>
  <c r="I5" i="10"/>
  <c r="J5" i="10"/>
  <c r="G7" i="10"/>
  <c r="G8" i="10"/>
  <c r="H8" i="10"/>
  <c r="I8" i="10"/>
  <c r="G9" i="10"/>
  <c r="H9" i="10"/>
  <c r="I9" i="10"/>
  <c r="J9" i="10"/>
  <c r="G10" i="10"/>
  <c r="H10" i="10"/>
  <c r="G11" i="10"/>
  <c r="H11" i="10"/>
  <c r="G12" i="10"/>
  <c r="H12" i="10"/>
  <c r="G13" i="10"/>
  <c r="H13" i="10"/>
  <c r="G15" i="10"/>
  <c r="F13" i="10"/>
  <c r="F12" i="10"/>
  <c r="F11" i="10"/>
  <c r="F10" i="10"/>
  <c r="F9" i="10"/>
  <c r="F8" i="10"/>
  <c r="G4" i="9"/>
  <c r="H4" i="9"/>
  <c r="I4" i="9"/>
  <c r="G5" i="9"/>
  <c r="H5" i="9"/>
  <c r="I5" i="9"/>
  <c r="J5" i="9"/>
  <c r="G6" i="9"/>
  <c r="H6" i="9"/>
  <c r="G7" i="9"/>
  <c r="H7" i="9"/>
  <c r="G8" i="9"/>
  <c r="H8" i="9"/>
  <c r="G11" i="9"/>
  <c r="H11" i="9"/>
  <c r="G12" i="9"/>
  <c r="H12" i="9"/>
  <c r="G14" i="9"/>
  <c r="H14" i="9"/>
  <c r="H16" i="9" s="1"/>
  <c r="I14" i="9"/>
  <c r="J14" i="9"/>
  <c r="G15" i="9"/>
  <c r="H15" i="9"/>
  <c r="I15" i="9"/>
  <c r="J15" i="9"/>
  <c r="G16" i="9"/>
  <c r="I16" i="9"/>
  <c r="J16" i="9"/>
  <c r="G20" i="9"/>
  <c r="G17" i="8"/>
  <c r="H17" i="8"/>
  <c r="G19" i="8"/>
  <c r="H19" i="8"/>
  <c r="G20" i="8"/>
  <c r="H20" i="8"/>
  <c r="G21" i="8"/>
  <c r="H21" i="8"/>
  <c r="G24" i="8"/>
  <c r="H24" i="8"/>
  <c r="G25" i="8"/>
  <c r="H25" i="8"/>
  <c r="I25" i="8"/>
  <c r="J25" i="8"/>
  <c r="G26" i="8"/>
  <c r="H26" i="8"/>
  <c r="I26" i="8"/>
  <c r="J26" i="8"/>
  <c r="G27" i="8"/>
  <c r="H27" i="8"/>
  <c r="G28" i="8"/>
  <c r="H28" i="8"/>
  <c r="G33" i="8"/>
  <c r="H33" i="8"/>
  <c r="G34" i="8"/>
  <c r="H34" i="8"/>
  <c r="G37" i="8"/>
  <c r="H37" i="8"/>
  <c r="I37" i="8"/>
  <c r="J37" i="8"/>
  <c r="G38" i="8"/>
  <c r="H38" i="8"/>
  <c r="G39" i="8"/>
  <c r="H39" i="8"/>
  <c r="G15" i="7"/>
  <c r="G18" i="7" s="1"/>
  <c r="H15" i="7"/>
  <c r="H18" i="7" s="1"/>
  <c r="G16" i="7"/>
  <c r="H16" i="7"/>
  <c r="G17" i="7"/>
  <c r="H17" i="7"/>
  <c r="G20" i="7"/>
  <c r="G21" i="7"/>
  <c r="H21" i="7"/>
  <c r="I21" i="7"/>
  <c r="J21" i="7"/>
  <c r="G24" i="7"/>
  <c r="H24" i="7"/>
  <c r="I24" i="7"/>
  <c r="J24" i="7"/>
  <c r="G25" i="7"/>
  <c r="H25" i="7"/>
  <c r="I25" i="7"/>
  <c r="J25" i="7"/>
  <c r="G27" i="7"/>
  <c r="H27" i="7"/>
  <c r="I27" i="7"/>
  <c r="J27" i="7"/>
  <c r="G28" i="7"/>
  <c r="H28" i="7"/>
  <c r="I28" i="7"/>
  <c r="J28" i="7"/>
  <c r="G34" i="7"/>
  <c r="H34" i="7"/>
  <c r="I34" i="7"/>
  <c r="J34" i="7"/>
  <c r="G35" i="7"/>
  <c r="H35" i="7"/>
  <c r="I35" i="7"/>
  <c r="J35" i="7"/>
  <c r="G36" i="7"/>
  <c r="H36" i="7"/>
  <c r="I36" i="7"/>
  <c r="J36" i="7"/>
  <c r="F28" i="7"/>
  <c r="F27" i="7"/>
  <c r="G13" i="6"/>
  <c r="H13" i="6"/>
  <c r="I13" i="6"/>
  <c r="J13" i="6"/>
  <c r="G16" i="6"/>
  <c r="H16" i="6"/>
  <c r="I16" i="6"/>
  <c r="J16" i="6"/>
  <c r="G17" i="6"/>
  <c r="G18" i="6"/>
  <c r="H18" i="6"/>
  <c r="I18" i="6"/>
  <c r="J18" i="6"/>
  <c r="G19" i="6"/>
  <c r="H19" i="6"/>
  <c r="I19" i="6"/>
  <c r="J19" i="6"/>
  <c r="G20" i="6"/>
  <c r="H17" i="6" s="1"/>
  <c r="H20" i="6" s="1"/>
  <c r="G21" i="6"/>
  <c r="H21" i="6"/>
  <c r="I21" i="6"/>
  <c r="J21" i="6"/>
  <c r="G22" i="6"/>
  <c r="G24" i="6"/>
  <c r="H24" i="6"/>
  <c r="I24" i="6"/>
  <c r="J24" i="6"/>
  <c r="G26" i="6"/>
  <c r="G30" i="6"/>
  <c r="H30" i="6"/>
  <c r="I30" i="6"/>
  <c r="J30" i="6"/>
  <c r="G32" i="6"/>
  <c r="H32" i="6"/>
  <c r="I32" i="6"/>
  <c r="J32" i="6"/>
  <c r="G6" i="5"/>
  <c r="G7" i="5"/>
  <c r="H7" i="5"/>
  <c r="G8" i="5"/>
  <c r="G9" i="5"/>
  <c r="H6" i="5" s="1"/>
  <c r="G10" i="5"/>
  <c r="H10" i="5"/>
  <c r="I10" i="5"/>
  <c r="J10" i="5"/>
  <c r="G11" i="5"/>
  <c r="H11" i="5"/>
  <c r="I11" i="5"/>
  <c r="J11" i="5"/>
  <c r="G15" i="5"/>
  <c r="H15" i="5"/>
  <c r="I15" i="5"/>
  <c r="J15" i="5"/>
  <c r="G17" i="5"/>
  <c r="H17" i="5"/>
  <c r="I17" i="5"/>
  <c r="J17" i="5"/>
  <c r="G18" i="5"/>
  <c r="H18" i="5"/>
  <c r="G19" i="5"/>
  <c r="H19" i="5"/>
  <c r="G20" i="5"/>
  <c r="H20" i="5"/>
  <c r="G21" i="5"/>
  <c r="H21" i="5"/>
  <c r="G22" i="5"/>
  <c r="H22" i="5"/>
  <c r="G23" i="5"/>
  <c r="H23" i="5"/>
  <c r="G24" i="5"/>
  <c r="H24" i="5"/>
  <c r="G25" i="5"/>
  <c r="H25" i="5"/>
  <c r="F37" i="8"/>
  <c r="F20" i="9"/>
  <c r="E22" i="9"/>
  <c r="B21" i="9"/>
  <c r="F16" i="9"/>
  <c r="F15" i="9"/>
  <c r="F14" i="9"/>
  <c r="F11" i="9"/>
  <c r="F12" i="9" s="1"/>
  <c r="F32" i="6"/>
  <c r="F26" i="6"/>
  <c r="F22" i="6"/>
  <c r="F21" i="6"/>
  <c r="F20" i="6"/>
  <c r="F19" i="6"/>
  <c r="F18" i="6"/>
  <c r="F17" i="6"/>
  <c r="E20" i="6"/>
  <c r="F13" i="6"/>
  <c r="F8" i="9"/>
  <c r="F7" i="9"/>
  <c r="F6" i="9"/>
  <c r="F25" i="5"/>
  <c r="F23" i="5"/>
  <c r="F22" i="5"/>
  <c r="F21" i="5"/>
  <c r="F20" i="5"/>
  <c r="F19" i="5"/>
  <c r="F18" i="5"/>
  <c r="F24" i="5" s="1"/>
  <c r="E24" i="5"/>
  <c r="E23" i="5"/>
  <c r="E22" i="5"/>
  <c r="E21" i="5"/>
  <c r="E20" i="5"/>
  <c r="E19" i="5"/>
  <c r="E18" i="5"/>
  <c r="F5" i="9"/>
  <c r="F15" i="5"/>
  <c r="E16" i="5"/>
  <c r="F13" i="5" s="1"/>
  <c r="F38" i="8"/>
  <c r="F34" i="8"/>
  <c r="F33" i="8"/>
  <c r="F27" i="8"/>
  <c r="F26" i="8"/>
  <c r="E9" i="5"/>
  <c r="F6" i="5" s="1"/>
  <c r="F25" i="8"/>
  <c r="F21" i="8"/>
  <c r="F20" i="8"/>
  <c r="F19" i="8"/>
  <c r="F17" i="8"/>
  <c r="F36" i="7"/>
  <c r="F35" i="7"/>
  <c r="F30" i="7"/>
  <c r="F25" i="7"/>
  <c r="F24" i="7"/>
  <c r="F21" i="7"/>
  <c r="F12" i="13"/>
  <c r="G11" i="13"/>
  <c r="H11" i="13" s="1"/>
  <c r="I11" i="13" s="1"/>
  <c r="J11" i="13" s="1"/>
  <c r="F11" i="13"/>
  <c r="F15" i="7"/>
  <c r="D23" i="13"/>
  <c r="C23" i="13"/>
  <c r="E23" i="13"/>
  <c r="E22" i="13" s="1"/>
  <c r="F31" i="13"/>
  <c r="C31" i="13"/>
  <c r="D31" i="13"/>
  <c r="E31" i="13"/>
  <c r="C38" i="8"/>
  <c r="C34" i="8"/>
  <c r="C27" i="8"/>
  <c r="C24" i="8"/>
  <c r="C18" i="8"/>
  <c r="D38" i="8"/>
  <c r="E38" i="8"/>
  <c r="D34" i="8"/>
  <c r="D33" i="8"/>
  <c r="E34" i="8"/>
  <c r="D27" i="8"/>
  <c r="E27" i="8"/>
  <c r="E25" i="8"/>
  <c r="D24" i="8"/>
  <c r="E24" i="8"/>
  <c r="D18" i="8"/>
  <c r="E18" i="8"/>
  <c r="D17" i="8"/>
  <c r="C17" i="8"/>
  <c r="E17" i="8"/>
  <c r="C24" i="7"/>
  <c r="C16" i="7"/>
  <c r="C17" i="7" s="1"/>
  <c r="D16" i="7"/>
  <c r="D17" i="7" s="1"/>
  <c r="E16" i="7"/>
  <c r="E17" i="7" s="1"/>
  <c r="F8" i="3"/>
  <c r="C13" i="12" s="1"/>
  <c r="G13" i="12" s="1"/>
  <c r="C14" i="7"/>
  <c r="C34" i="7" s="1"/>
  <c r="C5" i="3"/>
  <c r="H29" i="12"/>
  <c r="K26" i="12"/>
  <c r="I26" i="12"/>
  <c r="C30" i="12"/>
  <c r="C28" i="12"/>
  <c r="D26" i="12"/>
  <c r="F26" i="12"/>
  <c r="C17" i="12"/>
  <c r="G17" i="12" s="1"/>
  <c r="C12" i="12"/>
  <c r="G12" i="12" s="1"/>
  <c r="E2" i="6"/>
  <c r="F2" i="6"/>
  <c r="G2" i="6"/>
  <c r="H2" i="6"/>
  <c r="I2" i="6"/>
  <c r="J2" i="6"/>
  <c r="D2" i="6"/>
  <c r="C31" i="12" l="1"/>
  <c r="H31" i="12" s="1"/>
  <c r="H30" i="12"/>
  <c r="C27" i="12"/>
  <c r="H27" i="12" s="1"/>
  <c r="H28" i="12"/>
  <c r="G22" i="7"/>
  <c r="G30" i="7"/>
  <c r="H30" i="7"/>
  <c r="F32" i="7"/>
  <c r="F33" i="7" s="1"/>
  <c r="I17" i="6"/>
  <c r="I20" i="6" s="1"/>
  <c r="H26" i="6"/>
  <c r="H22" i="6"/>
  <c r="H8" i="5"/>
  <c r="E14" i="13"/>
  <c r="D39" i="13"/>
  <c r="D14" i="13"/>
  <c r="E47" i="13"/>
  <c r="F47" i="13" s="1"/>
  <c r="F12" i="8" s="1"/>
  <c r="E12" i="13"/>
  <c r="D10" i="13"/>
  <c r="E10" i="13"/>
  <c r="D32" i="13"/>
  <c r="E32" i="13"/>
  <c r="F32" i="13" s="1"/>
  <c r="G32" i="13" s="1"/>
  <c r="H32" i="13" s="1"/>
  <c r="I32" i="13" s="1"/>
  <c r="J32" i="13" s="1"/>
  <c r="E49" i="13"/>
  <c r="D49" i="13"/>
  <c r="C49" i="13"/>
  <c r="E48" i="13"/>
  <c r="D48" i="13"/>
  <c r="C48" i="13"/>
  <c r="C47" i="13"/>
  <c r="E42" i="13"/>
  <c r="F42" i="13" s="1"/>
  <c r="G42" i="13" s="1"/>
  <c r="D42" i="13"/>
  <c r="C42" i="13"/>
  <c r="E43" i="13"/>
  <c r="D43" i="13"/>
  <c r="C43" i="13"/>
  <c r="E40" i="13"/>
  <c r="F40" i="13" s="1"/>
  <c r="D40" i="13"/>
  <c r="C40" i="13"/>
  <c r="C39" i="13"/>
  <c r="E38" i="13"/>
  <c r="D38" i="13"/>
  <c r="C38" i="13"/>
  <c r="E37" i="13"/>
  <c r="D37" i="13"/>
  <c r="C37" i="13"/>
  <c r="E15" i="13"/>
  <c r="D15" i="13"/>
  <c r="C15" i="13"/>
  <c r="C14" i="13"/>
  <c r="E13" i="13"/>
  <c r="F13" i="13" s="1"/>
  <c r="F7" i="7" s="1"/>
  <c r="D13" i="13"/>
  <c r="C13" i="13"/>
  <c r="D12" i="13"/>
  <c r="C12" i="13"/>
  <c r="C11" i="13"/>
  <c r="E18" i="13"/>
  <c r="D18" i="13"/>
  <c r="C18" i="13"/>
  <c r="E17" i="13"/>
  <c r="D17" i="13"/>
  <c r="C17" i="13"/>
  <c r="F3" i="10"/>
  <c r="F6" i="3"/>
  <c r="G8" i="13"/>
  <c r="H8" i="13"/>
  <c r="I8" i="13"/>
  <c r="J8" i="13"/>
  <c r="F8" i="13"/>
  <c r="G7" i="13"/>
  <c r="H7" i="13"/>
  <c r="I7" i="13"/>
  <c r="J7" i="13"/>
  <c r="F7" i="13"/>
  <c r="E2" i="8"/>
  <c r="E16" i="8" s="1"/>
  <c r="D2" i="8"/>
  <c r="D2" i="7"/>
  <c r="D11" i="6"/>
  <c r="D16" i="6" s="1"/>
  <c r="D24" i="6" s="1"/>
  <c r="C20" i="13"/>
  <c r="C29" i="13" s="1"/>
  <c r="C35" i="13" s="1"/>
  <c r="C45" i="13" s="1"/>
  <c r="D2" i="13"/>
  <c r="E2" i="13" s="1"/>
  <c r="G8" i="7"/>
  <c r="H8" i="7"/>
  <c r="I8" i="7"/>
  <c r="J8" i="7"/>
  <c r="G9" i="7"/>
  <c r="H9" i="7"/>
  <c r="I9" i="7"/>
  <c r="J9" i="7"/>
  <c r="A1" i="10"/>
  <c r="C22" i="8"/>
  <c r="D22" i="8"/>
  <c r="E22" i="8"/>
  <c r="D28" i="8"/>
  <c r="C28" i="8"/>
  <c r="E28" i="8"/>
  <c r="E35" i="8"/>
  <c r="C35" i="8"/>
  <c r="D35" i="8"/>
  <c r="C39" i="8"/>
  <c r="D39" i="8"/>
  <c r="D42" i="8" s="1"/>
  <c r="E39" i="8"/>
  <c r="C10" i="5"/>
  <c r="C17" i="5" s="1"/>
  <c r="D2" i="5"/>
  <c r="E2" i="5" s="1"/>
  <c r="G10" i="13"/>
  <c r="G4" i="7" s="1"/>
  <c r="H10" i="13"/>
  <c r="H4" i="7" s="1"/>
  <c r="I10" i="13"/>
  <c r="I4" i="7" s="1"/>
  <c r="I15" i="7" s="1"/>
  <c r="J10" i="13"/>
  <c r="J4" i="7" s="1"/>
  <c r="F3" i="5"/>
  <c r="F7" i="5" s="1"/>
  <c r="C11" i="6"/>
  <c r="C30" i="6" s="1"/>
  <c r="F23" i="13"/>
  <c r="F22" i="13"/>
  <c r="F4" i="6" s="1"/>
  <c r="F24" i="13"/>
  <c r="F6" i="6" s="1"/>
  <c r="D2" i="10"/>
  <c r="E2" i="10" s="1"/>
  <c r="F2" i="10" s="1"/>
  <c r="G2" i="10" s="1"/>
  <c r="H2" i="10" s="1"/>
  <c r="I2" i="10" s="1"/>
  <c r="J2" i="10" s="1"/>
  <c r="D2" i="9"/>
  <c r="E2" i="9"/>
  <c r="F2" i="9"/>
  <c r="G2" i="9"/>
  <c r="H2" i="9"/>
  <c r="I2" i="9"/>
  <c r="J2" i="9"/>
  <c r="D16" i="8"/>
  <c r="C16" i="8"/>
  <c r="F9" i="7"/>
  <c r="A1" i="3"/>
  <c r="A1" i="13"/>
  <c r="A1" i="5"/>
  <c r="A1" i="6"/>
  <c r="A1" i="7"/>
  <c r="A1" i="8"/>
  <c r="A1" i="9"/>
  <c r="A1" i="11"/>
  <c r="A1" i="12"/>
  <c r="C18" i="7"/>
  <c r="C30" i="7" s="1"/>
  <c r="C16" i="13" s="1"/>
  <c r="F8" i="6"/>
  <c r="F11" i="5"/>
  <c r="B19" i="5"/>
  <c r="B20" i="5"/>
  <c r="F9" i="6"/>
  <c r="G9" i="6"/>
  <c r="H9" i="6"/>
  <c r="I9" i="6"/>
  <c r="J9" i="6"/>
  <c r="J8" i="6"/>
  <c r="I8" i="6"/>
  <c r="H8" i="6"/>
  <c r="G8" i="6"/>
  <c r="E2" i="12"/>
  <c r="F8" i="7"/>
  <c r="I17" i="7" l="1"/>
  <c r="I38" i="8"/>
  <c r="I34" i="8"/>
  <c r="I23" i="5" s="1"/>
  <c r="I27" i="8"/>
  <c r="I21" i="8"/>
  <c r="I21" i="5" s="1"/>
  <c r="I19" i="8"/>
  <c r="I19" i="5" s="1"/>
  <c r="I17" i="8"/>
  <c r="I18" i="5" s="1"/>
  <c r="I3" i="10"/>
  <c r="I7" i="5"/>
  <c r="I11" i="9" s="1"/>
  <c r="I16" i="7"/>
  <c r="I18" i="7" s="1"/>
  <c r="J15" i="7"/>
  <c r="G32" i="7"/>
  <c r="G33" i="7" s="1"/>
  <c r="H32" i="7"/>
  <c r="H33" i="7" s="1"/>
  <c r="H9" i="5"/>
  <c r="I6" i="5" s="1"/>
  <c r="I8" i="5" s="1"/>
  <c r="H20" i="7"/>
  <c r="H22" i="7" s="1"/>
  <c r="F37" i="7"/>
  <c r="F14" i="5"/>
  <c r="F16" i="5" s="1"/>
  <c r="F38" i="7"/>
  <c r="J17" i="6"/>
  <c r="J20" i="6" s="1"/>
  <c r="I26" i="6"/>
  <c r="I22" i="6"/>
  <c r="C42" i="8"/>
  <c r="E2" i="7"/>
  <c r="D14" i="7"/>
  <c r="D34" i="7" s="1"/>
  <c r="F2" i="12"/>
  <c r="G23" i="13"/>
  <c r="G5" i="6" s="1"/>
  <c r="E11" i="11"/>
  <c r="C22" i="7"/>
  <c r="C33" i="7"/>
  <c r="D11" i="13"/>
  <c r="D47" i="13"/>
  <c r="D18" i="7"/>
  <c r="D22" i="7" s="1"/>
  <c r="E39" i="13"/>
  <c r="F39" i="13" s="1"/>
  <c r="F6" i="8" s="1"/>
  <c r="E11" i="13"/>
  <c r="E10" i="11"/>
  <c r="E9" i="11" s="1"/>
  <c r="F9" i="3"/>
  <c r="D20" i="13"/>
  <c r="D29" i="13" s="1"/>
  <c r="D35" i="13" s="1"/>
  <c r="D45" i="13" s="1"/>
  <c r="F2" i="13"/>
  <c r="E20" i="13"/>
  <c r="E29" i="13" s="1"/>
  <c r="E35" i="13" s="1"/>
  <c r="E45" i="13" s="1"/>
  <c r="F2" i="8"/>
  <c r="F11" i="6"/>
  <c r="F30" i="6" s="1"/>
  <c r="E11" i="6"/>
  <c r="E16" i="6" s="1"/>
  <c r="E24" i="6" s="1"/>
  <c r="E30" i="6"/>
  <c r="F5" i="6"/>
  <c r="F10" i="8"/>
  <c r="H23" i="13"/>
  <c r="G24" i="13"/>
  <c r="G6" i="6" s="1"/>
  <c r="G47" i="13"/>
  <c r="G13" i="13"/>
  <c r="G22" i="13"/>
  <c r="G4" i="6" s="1"/>
  <c r="D10" i="5"/>
  <c r="D17" i="5" s="1"/>
  <c r="E10" i="5"/>
  <c r="E17" i="5" s="1"/>
  <c r="F2" i="5"/>
  <c r="D30" i="6"/>
  <c r="D30" i="8"/>
  <c r="D44" i="8" s="1"/>
  <c r="C16" i="6"/>
  <c r="C24" i="6" s="1"/>
  <c r="E42" i="8"/>
  <c r="E30" i="8"/>
  <c r="C30" i="8"/>
  <c r="G10" i="8"/>
  <c r="H42" i="13"/>
  <c r="H10" i="8" s="1"/>
  <c r="G31" i="13"/>
  <c r="F4" i="5"/>
  <c r="F7" i="8"/>
  <c r="G40" i="13"/>
  <c r="F37" i="13"/>
  <c r="F48" i="13"/>
  <c r="F38" i="13"/>
  <c r="E18" i="7"/>
  <c r="E22" i="7" s="1"/>
  <c r="F43" i="13"/>
  <c r="F49" i="13"/>
  <c r="I8" i="9" l="1"/>
  <c r="I12" i="10" s="1"/>
  <c r="I39" i="8"/>
  <c r="I7" i="9"/>
  <c r="I11" i="10" s="1"/>
  <c r="I13" i="10"/>
  <c r="I12" i="9"/>
  <c r="I33" i="8"/>
  <c r="I22" i="5" s="1"/>
  <c r="I20" i="8"/>
  <c r="I20" i="5" s="1"/>
  <c r="I24" i="5" s="1"/>
  <c r="J17" i="7"/>
  <c r="J38" i="8"/>
  <c r="J34" i="8"/>
  <c r="J23" i="5" s="1"/>
  <c r="J27" i="8"/>
  <c r="J7" i="9" s="1"/>
  <c r="J11" i="10" s="1"/>
  <c r="J21" i="8"/>
  <c r="J21" i="5" s="1"/>
  <c r="J19" i="8"/>
  <c r="J19" i="5" s="1"/>
  <c r="J17" i="8"/>
  <c r="J18" i="5" s="1"/>
  <c r="J3" i="10"/>
  <c r="J7" i="5"/>
  <c r="J11" i="9" s="1"/>
  <c r="J16" i="7"/>
  <c r="J18" i="7" s="1"/>
  <c r="I30" i="7"/>
  <c r="I4" i="10"/>
  <c r="I7" i="10" s="1"/>
  <c r="G37" i="7"/>
  <c r="G14" i="5"/>
  <c r="G38" i="7"/>
  <c r="H14" i="5"/>
  <c r="H38" i="7"/>
  <c r="H37" i="7"/>
  <c r="I32" i="7"/>
  <c r="I33" i="7" s="1"/>
  <c r="I20" i="7"/>
  <c r="I22" i="7" s="1"/>
  <c r="I9" i="5"/>
  <c r="G13" i="5"/>
  <c r="F41" i="8"/>
  <c r="J26" i="6"/>
  <c r="J22" i="6"/>
  <c r="G4" i="5"/>
  <c r="H4" i="5" s="1"/>
  <c r="I4" i="5" s="1"/>
  <c r="J4" i="5" s="1"/>
  <c r="F8" i="5"/>
  <c r="C44" i="8"/>
  <c r="E14" i="7"/>
  <c r="E34" i="7" s="1"/>
  <c r="F2" i="7"/>
  <c r="C37" i="7"/>
  <c r="C38" i="7"/>
  <c r="G2" i="12"/>
  <c r="D30" i="7"/>
  <c r="G39" i="13"/>
  <c r="H39" i="13" s="1"/>
  <c r="H6" i="8" s="1"/>
  <c r="G2" i="13"/>
  <c r="F20" i="13"/>
  <c r="F29" i="13" s="1"/>
  <c r="F35" i="13" s="1"/>
  <c r="F45" i="13" s="1"/>
  <c r="F16" i="8"/>
  <c r="G2" i="8"/>
  <c r="G11" i="6"/>
  <c r="F16" i="6"/>
  <c r="F24" i="6" s="1"/>
  <c r="E44" i="8"/>
  <c r="H24" i="13"/>
  <c r="I24" i="13" s="1"/>
  <c r="H5" i="6"/>
  <c r="I23" i="13"/>
  <c r="I42" i="13"/>
  <c r="H22" i="13"/>
  <c r="H13" i="13"/>
  <c r="G7" i="7"/>
  <c r="G12" i="8"/>
  <c r="H47" i="13"/>
  <c r="G2" i="5"/>
  <c r="F10" i="5"/>
  <c r="F17" i="5" s="1"/>
  <c r="H31" i="13"/>
  <c r="G3" i="5"/>
  <c r="F5" i="8"/>
  <c r="G38" i="13"/>
  <c r="G37" i="13"/>
  <c r="H37" i="13" s="1"/>
  <c r="I37" i="13" s="1"/>
  <c r="J37" i="13" s="1"/>
  <c r="F4" i="8"/>
  <c r="G12" i="13"/>
  <c r="F14" i="8"/>
  <c r="G49" i="13"/>
  <c r="G43" i="13"/>
  <c r="F9" i="8"/>
  <c r="E30" i="7"/>
  <c r="F13" i="8"/>
  <c r="G48" i="13"/>
  <c r="G7" i="8"/>
  <c r="H40" i="13"/>
  <c r="I25" i="5" l="1"/>
  <c r="I6" i="9" s="1"/>
  <c r="I10" i="10" s="1"/>
  <c r="I15" i="10" s="1"/>
  <c r="J30" i="7"/>
  <c r="J4" i="10"/>
  <c r="J7" i="10" s="1"/>
  <c r="J8" i="9"/>
  <c r="J12" i="10" s="1"/>
  <c r="J39" i="8"/>
  <c r="J13" i="10"/>
  <c r="J12" i="9"/>
  <c r="J33" i="8"/>
  <c r="J22" i="5" s="1"/>
  <c r="J20" i="8"/>
  <c r="J20" i="5" s="1"/>
  <c r="J24" i="5" s="1"/>
  <c r="J25" i="5" s="1"/>
  <c r="J6" i="9" s="1"/>
  <c r="J10" i="10" s="1"/>
  <c r="J6" i="5"/>
  <c r="J8" i="5" s="1"/>
  <c r="I24" i="8"/>
  <c r="I28" i="8" s="1"/>
  <c r="G16" i="5"/>
  <c r="H13" i="5"/>
  <c r="H16" i="5" s="1"/>
  <c r="G41" i="8"/>
  <c r="I37" i="7"/>
  <c r="I14" i="5"/>
  <c r="I38" i="7"/>
  <c r="F9" i="5"/>
  <c r="F24" i="8" s="1"/>
  <c r="F28" i="8" s="1"/>
  <c r="F20" i="7"/>
  <c r="H4" i="6"/>
  <c r="I22" i="13"/>
  <c r="J42" i="13"/>
  <c r="J10" i="8" s="1"/>
  <c r="I10" i="8"/>
  <c r="F14" i="7"/>
  <c r="F34" i="7" s="1"/>
  <c r="G2" i="7"/>
  <c r="H2" i="12"/>
  <c r="I39" i="13"/>
  <c r="G6" i="8"/>
  <c r="D33" i="7"/>
  <c r="D16" i="13"/>
  <c r="E33" i="7"/>
  <c r="E16" i="13"/>
  <c r="H2" i="13"/>
  <c r="G20" i="13"/>
  <c r="G29" i="13" s="1"/>
  <c r="G35" i="13" s="1"/>
  <c r="G45" i="13" s="1"/>
  <c r="G16" i="8"/>
  <c r="H2" i="8"/>
  <c r="H11" i="6"/>
  <c r="H6" i="6"/>
  <c r="J23" i="13"/>
  <c r="I5" i="6"/>
  <c r="H12" i="8"/>
  <c r="I47" i="13"/>
  <c r="G5" i="7"/>
  <c r="I13" i="13"/>
  <c r="H7" i="7"/>
  <c r="H12" i="13"/>
  <c r="G6" i="7"/>
  <c r="H2" i="5"/>
  <c r="I31" i="13"/>
  <c r="H3" i="5"/>
  <c r="J24" i="13"/>
  <c r="I6" i="6"/>
  <c r="H48" i="13"/>
  <c r="G13" i="8"/>
  <c r="F5" i="7"/>
  <c r="F16" i="7" s="1"/>
  <c r="H43" i="13"/>
  <c r="G9" i="8"/>
  <c r="H49" i="13"/>
  <c r="G14" i="8"/>
  <c r="F39" i="8"/>
  <c r="I40" i="13"/>
  <c r="H7" i="8"/>
  <c r="F6" i="7"/>
  <c r="F17" i="7" s="1"/>
  <c r="F18" i="7" s="1"/>
  <c r="F4" i="10" s="1"/>
  <c r="G4" i="8"/>
  <c r="H38" i="13"/>
  <c r="G5" i="8"/>
  <c r="J32" i="7" l="1"/>
  <c r="J33" i="7" s="1"/>
  <c r="J9" i="5"/>
  <c r="J24" i="8" s="1"/>
  <c r="J28" i="8" s="1"/>
  <c r="J20" i="7"/>
  <c r="H41" i="8"/>
  <c r="I13" i="5"/>
  <c r="I16" i="5" s="1"/>
  <c r="F22" i="7"/>
  <c r="F4" i="9"/>
  <c r="I4" i="6"/>
  <c r="J22" i="13"/>
  <c r="J4" i="6" s="1"/>
  <c r="G14" i="7"/>
  <c r="H2" i="7"/>
  <c r="J39" i="13"/>
  <c r="J6" i="8" s="1"/>
  <c r="I6" i="8"/>
  <c r="D37" i="7"/>
  <c r="D38" i="7"/>
  <c r="E37" i="7"/>
  <c r="E38" i="7"/>
  <c r="G16" i="13"/>
  <c r="F5" i="10"/>
  <c r="E4" i="11"/>
  <c r="L4" i="11" s="1"/>
  <c r="L5" i="11" s="1"/>
  <c r="L6" i="11" s="1"/>
  <c r="L7" i="11" s="1"/>
  <c r="I2" i="13"/>
  <c r="H20" i="13"/>
  <c r="H29" i="13" s="1"/>
  <c r="H35" i="13" s="1"/>
  <c r="H45" i="13" s="1"/>
  <c r="I2" i="8"/>
  <c r="H16" i="8"/>
  <c r="J11" i="6"/>
  <c r="I11" i="6"/>
  <c r="J5" i="6"/>
  <c r="I12" i="13"/>
  <c r="H6" i="7"/>
  <c r="J13" i="13"/>
  <c r="I7" i="7"/>
  <c r="H5" i="7"/>
  <c r="J47" i="13"/>
  <c r="I12" i="8"/>
  <c r="I2" i="5"/>
  <c r="I3" i="5"/>
  <c r="J31" i="13"/>
  <c r="J6" i="6"/>
  <c r="F17" i="13"/>
  <c r="J40" i="13"/>
  <c r="I7" i="8"/>
  <c r="H14" i="8"/>
  <c r="I49" i="13"/>
  <c r="I43" i="13"/>
  <c r="H9" i="8"/>
  <c r="I38" i="13"/>
  <c r="H5" i="8"/>
  <c r="H4" i="8"/>
  <c r="I48" i="13"/>
  <c r="H13" i="8"/>
  <c r="J38" i="7" l="1"/>
  <c r="J14" i="5"/>
  <c r="J37" i="7"/>
  <c r="J4" i="9"/>
  <c r="J8" i="10" s="1"/>
  <c r="J15" i="10" s="1"/>
  <c r="J22" i="7"/>
  <c r="I41" i="8"/>
  <c r="J13" i="5"/>
  <c r="J16" i="5" s="1"/>
  <c r="J41" i="8" s="1"/>
  <c r="H14" i="7"/>
  <c r="I2" i="7"/>
  <c r="G10" i="7"/>
  <c r="H16" i="13"/>
  <c r="J2" i="13"/>
  <c r="J20" i="13" s="1"/>
  <c r="J29" i="13" s="1"/>
  <c r="J35" i="13" s="1"/>
  <c r="J45" i="13" s="1"/>
  <c r="I20" i="13"/>
  <c r="I29" i="13" s="1"/>
  <c r="I35" i="13" s="1"/>
  <c r="I45" i="13" s="1"/>
  <c r="G17" i="13"/>
  <c r="I16" i="8"/>
  <c r="J2" i="8"/>
  <c r="J16" i="8" s="1"/>
  <c r="J12" i="8"/>
  <c r="I5" i="7"/>
  <c r="J7" i="7"/>
  <c r="I6" i="7"/>
  <c r="J12" i="13"/>
  <c r="J2" i="5"/>
  <c r="J3" i="5"/>
  <c r="I4" i="8"/>
  <c r="F18" i="13"/>
  <c r="I5" i="8"/>
  <c r="J38" i="13"/>
  <c r="J43" i="13"/>
  <c r="I9" i="8"/>
  <c r="I14" i="8"/>
  <c r="J49" i="13"/>
  <c r="J7" i="8"/>
  <c r="J48" i="13"/>
  <c r="I13" i="8"/>
  <c r="F10" i="7"/>
  <c r="E12" i="11"/>
  <c r="F11" i="7"/>
  <c r="I14" i="7" l="1"/>
  <c r="J2" i="7"/>
  <c r="J14" i="7" s="1"/>
  <c r="H10" i="7"/>
  <c r="I16" i="13"/>
  <c r="G11" i="7"/>
  <c r="G18" i="13"/>
  <c r="G12" i="7" s="1"/>
  <c r="H17" i="13"/>
  <c r="J6" i="7"/>
  <c r="J5" i="7"/>
  <c r="J9" i="8"/>
  <c r="M4" i="11"/>
  <c r="J14" i="8"/>
  <c r="J13" i="8"/>
  <c r="F7" i="10"/>
  <c r="F15" i="10" s="1"/>
  <c r="J5" i="8"/>
  <c r="F12" i="7"/>
  <c r="J4" i="8"/>
  <c r="I17" i="13" l="1"/>
  <c r="H18" i="13"/>
  <c r="H11" i="7"/>
  <c r="J16" i="13"/>
  <c r="J10" i="7" s="1"/>
  <c r="I10" i="7"/>
  <c r="F3" i="9"/>
  <c r="F9" i="9" s="1"/>
  <c r="F18" i="9" s="1"/>
  <c r="F21" i="9" s="1"/>
  <c r="F22" i="9" s="1"/>
  <c r="M5" i="11"/>
  <c r="F18" i="8" l="1"/>
  <c r="F31" i="6" s="1"/>
  <c r="F33" i="6" s="1"/>
  <c r="F32" i="8"/>
  <c r="F12" i="6" s="1"/>
  <c r="I11" i="7"/>
  <c r="J17" i="13"/>
  <c r="I18" i="13"/>
  <c r="H12" i="7"/>
  <c r="J11" i="7"/>
  <c r="G3" i="9"/>
  <c r="G9" i="9" s="1"/>
  <c r="G18" i="9" s="1"/>
  <c r="G21" i="9" s="1"/>
  <c r="G22" i="9" s="1"/>
  <c r="M6" i="11"/>
  <c r="M7" i="11"/>
  <c r="H20" i="9" l="1"/>
  <c r="G32" i="8"/>
  <c r="G18" i="8"/>
  <c r="F25" i="6"/>
  <c r="F27" i="6" s="1"/>
  <c r="F14" i="6"/>
  <c r="F28" i="6" s="1"/>
  <c r="I12" i="7"/>
  <c r="J18" i="13"/>
  <c r="J12" i="7" s="1"/>
  <c r="M9" i="11"/>
  <c r="M11" i="11" s="1"/>
  <c r="E8" i="11" s="1"/>
  <c r="E13" i="11" s="1"/>
  <c r="K17" i="12" s="1"/>
  <c r="H3" i="9"/>
  <c r="H9" i="9" s="1"/>
  <c r="H18" i="9" s="1"/>
  <c r="H21" i="9" s="1"/>
  <c r="H22" i="9" s="1"/>
  <c r="F22" i="8"/>
  <c r="F30" i="8" s="1"/>
  <c r="F35" i="8"/>
  <c r="I20" i="9" l="1"/>
  <c r="H32" i="8"/>
  <c r="H18" i="8"/>
  <c r="G12" i="6"/>
  <c r="G35" i="8"/>
  <c r="G42" i="8" s="1"/>
  <c r="G31" i="6"/>
  <c r="G33" i="6" s="1"/>
  <c r="G22" i="8"/>
  <c r="G30" i="8" s="1"/>
  <c r="H3" i="12"/>
  <c r="G3" i="12"/>
  <c r="G4" i="12" s="1"/>
  <c r="F3" i="12"/>
  <c r="F4" i="12" s="1"/>
  <c r="E3" i="12"/>
  <c r="E4" i="12" s="1"/>
  <c r="D3" i="12"/>
  <c r="F42" i="8"/>
  <c r="F44" i="8" s="1"/>
  <c r="J3" i="9"/>
  <c r="J9" i="9" s="1"/>
  <c r="J18" i="9" s="1"/>
  <c r="J21" i="9" s="1"/>
  <c r="I3" i="9"/>
  <c r="I9" i="9" s="1"/>
  <c r="I18" i="9" s="1"/>
  <c r="I21" i="9" s="1"/>
  <c r="I22" i="9" s="1"/>
  <c r="J20" i="9" l="1"/>
  <c r="J22" i="9" s="1"/>
  <c r="I32" i="8"/>
  <c r="I18" i="8"/>
  <c r="H12" i="6"/>
  <c r="H35" i="8"/>
  <c r="H42" i="8" s="1"/>
  <c r="H31" i="6"/>
  <c r="H33" i="6" s="1"/>
  <c r="H22" i="8"/>
  <c r="H30" i="8" s="1"/>
  <c r="G25" i="6"/>
  <c r="G27" i="6" s="1"/>
  <c r="G14" i="6"/>
  <c r="G28" i="6" s="1"/>
  <c r="H4" i="12"/>
  <c r="H5" i="12" s="1"/>
  <c r="C8" i="12" s="1"/>
  <c r="G8" i="12"/>
  <c r="D4" i="12"/>
  <c r="G44" i="8"/>
  <c r="J32" i="8" l="1"/>
  <c r="J18" i="8"/>
  <c r="I12" i="6"/>
  <c r="I35" i="8"/>
  <c r="I42" i="8" s="1"/>
  <c r="I31" i="6"/>
  <c r="I33" i="6" s="1"/>
  <c r="I22" i="8"/>
  <c r="I30" i="8" s="1"/>
  <c r="H25" i="6"/>
  <c r="H27" i="6" s="1"/>
  <c r="H14" i="6"/>
  <c r="H28" i="6" s="1"/>
  <c r="C7" i="12"/>
  <c r="J12" i="6" l="1"/>
  <c r="J35" i="8"/>
  <c r="J42" i="8" s="1"/>
  <c r="J31" i="6"/>
  <c r="J33" i="6" s="1"/>
  <c r="J22" i="8"/>
  <c r="J30" i="8" s="1"/>
  <c r="I25" i="6"/>
  <c r="I27" i="6" s="1"/>
  <c r="I14" i="6"/>
  <c r="I28" i="6" s="1"/>
  <c r="G7" i="12"/>
  <c r="G9" i="12" s="1"/>
  <c r="G15" i="12" s="1"/>
  <c r="G18" i="12" s="1"/>
  <c r="C9" i="12"/>
  <c r="C15" i="12" s="1"/>
  <c r="C18" i="12" s="1"/>
  <c r="H44" i="8"/>
  <c r="I44" i="8"/>
  <c r="J25" i="6" l="1"/>
  <c r="J27" i="6" s="1"/>
  <c r="J14" i="6"/>
  <c r="J28" i="6" s="1"/>
  <c r="H26" i="12"/>
  <c r="J5" i="3"/>
  <c r="J6" i="3" s="1"/>
  <c r="C26" i="12"/>
  <c r="I5" i="3"/>
  <c r="I6" i="3" l="1"/>
  <c r="K5" i="3"/>
  <c r="K6" i="3" s="1"/>
  <c r="J44" i="8"/>
  <c r="F10" i="13" l="1"/>
  <c r="F4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Ascoli</author>
  </authors>
  <commentList>
    <comment ref="C5" authorId="0" shapeId="0" xr:uid="{00000000-0006-0000-0000-000001000000}">
      <text>
        <r>
          <rPr>
            <sz val="8"/>
            <color indexed="81"/>
            <rFont val="Tahoma"/>
            <family val="2"/>
          </rPr>
          <t>Latest historical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G10" authorId="0" shapeId="0" xr:uid="{1083F158-90D8-4485-AB2E-5BC81D005AE5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Fixed for full year instead of mid-year convention</t>
        </r>
      </text>
    </comment>
  </commentList>
</comments>
</file>

<file path=xl/sharedStrings.xml><?xml version="1.0" encoding="utf-8"?>
<sst xmlns="http://schemas.openxmlformats.org/spreadsheetml/2006/main" count="332" uniqueCount="199">
  <si>
    <t>Hist.</t>
  </si>
  <si>
    <t>Proj.</t>
  </si>
  <si>
    <t>Analyst name</t>
  </si>
  <si>
    <t>Company name</t>
  </si>
  <si>
    <t>Latest BS date</t>
  </si>
  <si>
    <t>Currency</t>
  </si>
  <si>
    <t>Units</t>
  </si>
  <si>
    <t>Circular switch</t>
  </si>
  <si>
    <t>m</t>
  </si>
  <si>
    <t>USD</t>
  </si>
  <si>
    <t>Assumptions</t>
  </si>
  <si>
    <t>Net PP&amp;E</t>
  </si>
  <si>
    <t>Capital expenditure % of sales</t>
  </si>
  <si>
    <t>Beginning PP&amp;E</t>
  </si>
  <si>
    <t>Capex</t>
  </si>
  <si>
    <t>Depreciation</t>
  </si>
  <si>
    <t>Ending PP&amp;E</t>
  </si>
  <si>
    <t>Equity</t>
  </si>
  <si>
    <t>Share issuance/(repurchases)</t>
  </si>
  <si>
    <t>Beginning balance</t>
  </si>
  <si>
    <t>Net income</t>
  </si>
  <si>
    <t>Share issuance / (repurchase)</t>
  </si>
  <si>
    <t>Ending balance</t>
  </si>
  <si>
    <t>OWC</t>
  </si>
  <si>
    <t>Interest rate on revolver</t>
  </si>
  <si>
    <t>Interest rate on long-term debt</t>
  </si>
  <si>
    <t>Interest rate on cash</t>
  </si>
  <si>
    <t>Issuance of long-term debt</t>
  </si>
  <si>
    <t>Repayment of long-term debt</t>
  </si>
  <si>
    <t>Revolver</t>
  </si>
  <si>
    <t>Balance</t>
  </si>
  <si>
    <t>Interest rate</t>
  </si>
  <si>
    <t>Interest expense</t>
  </si>
  <si>
    <t>Long term debt</t>
  </si>
  <si>
    <t>Issuance</t>
  </si>
  <si>
    <t>Repayment</t>
  </si>
  <si>
    <t>Debt summary</t>
  </si>
  <si>
    <t>Total long term debt</t>
  </si>
  <si>
    <t xml:space="preserve"> Total debt</t>
  </si>
  <si>
    <t xml:space="preserve"> Total interest expense</t>
  </si>
  <si>
    <t>Interest income</t>
  </si>
  <si>
    <t>Income statement</t>
  </si>
  <si>
    <t>Revenue growth</t>
  </si>
  <si>
    <t>Cost of goods sold as % of sales</t>
  </si>
  <si>
    <t>SG&amp;A % of sales</t>
  </si>
  <si>
    <t>Amortization amount</t>
  </si>
  <si>
    <t>Non recurring items, amount</t>
  </si>
  <si>
    <t>Effective tax rate</t>
  </si>
  <si>
    <t>Basic WASO</t>
  </si>
  <si>
    <t>Diluted WASO</t>
  </si>
  <si>
    <t>Revenue</t>
  </si>
  <si>
    <t>SG&amp;A</t>
  </si>
  <si>
    <t>EBITDA</t>
  </si>
  <si>
    <t>Amortization</t>
  </si>
  <si>
    <t>EBIT</t>
  </si>
  <si>
    <t>Non-recurring items</t>
  </si>
  <si>
    <t>Other income (expense)</t>
  </si>
  <si>
    <t>Tax expense</t>
  </si>
  <si>
    <t xml:space="preserve"> Net income</t>
  </si>
  <si>
    <t>Shareholder information</t>
  </si>
  <si>
    <t>Basic earnings per share</t>
  </si>
  <si>
    <t>Diluted earnings per share</t>
  </si>
  <si>
    <t>Balance sheet</t>
  </si>
  <si>
    <t>Inventories % of COGS</t>
  </si>
  <si>
    <t>Other current assets % of sales</t>
  </si>
  <si>
    <t>Other long-term assets % of sales</t>
  </si>
  <si>
    <t>Other current liabilities % of sales</t>
  </si>
  <si>
    <t>Other long-term liabilities % of sales</t>
  </si>
  <si>
    <t>Accounts receivable</t>
  </si>
  <si>
    <t>Inventories</t>
  </si>
  <si>
    <t>Other current assets</t>
  </si>
  <si>
    <t xml:space="preserve"> Total current assets</t>
  </si>
  <si>
    <t>Property, plant &amp; equipment, net</t>
  </si>
  <si>
    <t xml:space="preserve"> Total non-current assets</t>
  </si>
  <si>
    <t>TOTAL ASSETS</t>
  </si>
  <si>
    <t>Revolver/Short term debt</t>
  </si>
  <si>
    <t>Other current liabilities</t>
  </si>
  <si>
    <t xml:space="preserve"> Total current liabilities</t>
  </si>
  <si>
    <t>Long-term debt, including current maturities</t>
  </si>
  <si>
    <t>Other long-term liabilities</t>
  </si>
  <si>
    <t xml:space="preserve"> Total non-current liabilities</t>
  </si>
  <si>
    <t>TOTAL LIABILITIES &amp; EQUITY</t>
  </si>
  <si>
    <t>Balance check</t>
  </si>
  <si>
    <t>Cash flow statement</t>
  </si>
  <si>
    <t>Pretax Income</t>
  </si>
  <si>
    <t>Alan Chen</t>
  </si>
  <si>
    <t>Free Cash Flows</t>
  </si>
  <si>
    <t>Sales</t>
  </si>
  <si>
    <t>NOPAT</t>
  </si>
  <si>
    <t>(inc) / dec in OWC</t>
  </si>
  <si>
    <t>(Capex)</t>
  </si>
  <si>
    <t>Free Cash Flow</t>
  </si>
  <si>
    <t>Effective Tax Rate</t>
  </si>
  <si>
    <t>Risk free rate</t>
  </si>
  <si>
    <t>Market risk Premium</t>
  </si>
  <si>
    <t>Beta</t>
  </si>
  <si>
    <t>Cost of Equity</t>
  </si>
  <si>
    <t>% Equity</t>
  </si>
  <si>
    <t>% Debt</t>
  </si>
  <si>
    <t>Post tax cost of debt</t>
  </si>
  <si>
    <t>WACC</t>
  </si>
  <si>
    <t>Long Term growth rate</t>
  </si>
  <si>
    <t>Mkt Cap</t>
  </si>
  <si>
    <t>Levered beta</t>
  </si>
  <si>
    <t>Gross debt</t>
  </si>
  <si>
    <t>Market cap</t>
  </si>
  <si>
    <t>Debt/Mcap</t>
  </si>
  <si>
    <t>Unlevered beta</t>
  </si>
  <si>
    <t>Comp</t>
  </si>
  <si>
    <t>Industry beta (average)</t>
  </si>
  <si>
    <t>Re-levered beta</t>
  </si>
  <si>
    <t>MTR</t>
  </si>
  <si>
    <t>Discount Model Year count</t>
  </si>
  <si>
    <t>Value Calculation</t>
  </si>
  <si>
    <t>Total PV of FCFs</t>
  </si>
  <si>
    <t>PV of TV</t>
  </si>
  <si>
    <t>EV</t>
  </si>
  <si>
    <t>Implied EBITDA multiple</t>
  </si>
  <si>
    <t>Cash &amp; Cash Equiv</t>
  </si>
  <si>
    <t>Debt &amp; Claims</t>
  </si>
  <si>
    <t>NCI</t>
  </si>
  <si>
    <t>Equity Value</t>
  </si>
  <si>
    <t>Diluted S/O</t>
  </si>
  <si>
    <t>Implied Share Price</t>
  </si>
  <si>
    <t>*</t>
  </si>
  <si>
    <t>Income Statement</t>
  </si>
  <si>
    <t>Variance</t>
  </si>
  <si>
    <t>Pessimistic Case</t>
  </si>
  <si>
    <t>Optimistic Case</t>
  </si>
  <si>
    <t>Balance Sheet - Assets</t>
  </si>
  <si>
    <t>Balance Sheet - Liabilities</t>
  </si>
  <si>
    <t>Operating Case</t>
  </si>
  <si>
    <t>Street Case</t>
  </si>
  <si>
    <t>COGS % of sales</t>
  </si>
  <si>
    <t>Depreciation % of PP&amp;E</t>
  </si>
  <si>
    <t>Amortization $ Amt</t>
  </si>
  <si>
    <t>Non recurring income / (expense)</t>
  </si>
  <si>
    <t>Interest rate on Revolver</t>
  </si>
  <si>
    <t>Other Income / (expense)</t>
  </si>
  <si>
    <t>Operating Cash % of sales</t>
  </si>
  <si>
    <t>Calcs</t>
  </si>
  <si>
    <t>CapEx % of Sales</t>
  </si>
  <si>
    <t>Share issuance / (repurchases)</t>
  </si>
  <si>
    <t>Debt</t>
  </si>
  <si>
    <t>Other income (expense), amt</t>
  </si>
  <si>
    <t>Sensitivity analysis</t>
  </si>
  <si>
    <t>Discount rate variance</t>
  </si>
  <si>
    <t>Implied growth rate variance</t>
  </si>
  <si>
    <t>Revenue Growth</t>
  </si>
  <si>
    <t>Change in OWC</t>
  </si>
  <si>
    <t>Accounts payable/Accurals</t>
  </si>
  <si>
    <t>Accounts payable/Accural % of COGS</t>
  </si>
  <si>
    <t>Accounts receivable % of sales</t>
  </si>
  <si>
    <t>Accounts payable % of COGS</t>
  </si>
  <si>
    <t>Depreciation % of beginning PP&amp;E</t>
  </si>
  <si>
    <t>Net Income</t>
  </si>
  <si>
    <t>COGS</t>
  </si>
  <si>
    <t>Operating Cash</t>
  </si>
  <si>
    <t>Excess cash</t>
  </si>
  <si>
    <t>Intangible assets</t>
  </si>
  <si>
    <t>Investment in unconsolidated entities</t>
  </si>
  <si>
    <t>Investment in unconsolidated entities $ balance</t>
  </si>
  <si>
    <t>Other assets</t>
  </si>
  <si>
    <t>Accounts payables</t>
  </si>
  <si>
    <t>(inc) / dec in other long-term assets</t>
  </si>
  <si>
    <t>inc / (dec) other long-term liabilities</t>
  </si>
  <si>
    <t>Tax Rate</t>
  </si>
  <si>
    <t xml:space="preserve"> </t>
  </si>
  <si>
    <t>Current Stock Price</t>
  </si>
  <si>
    <t>Excess Cash</t>
  </si>
  <si>
    <t>TV multiple variance</t>
  </si>
  <si>
    <t>Multiples Calculation</t>
  </si>
  <si>
    <t>Multiple TV</t>
  </si>
  <si>
    <t>Cash</t>
  </si>
  <si>
    <t>Implied Price</t>
  </si>
  <si>
    <t>Difference</t>
  </si>
  <si>
    <t>Investments in unconsolidated entities</t>
  </si>
  <si>
    <t>Cost of debt</t>
  </si>
  <si>
    <t>Perpetuity</t>
  </si>
  <si>
    <t>Terminal Mult</t>
  </si>
  <si>
    <t>Model Details</t>
  </si>
  <si>
    <t>Operating Case One</t>
  </si>
  <si>
    <t>Discount Factor</t>
  </si>
  <si>
    <t>PV FCF</t>
  </si>
  <si>
    <t>S/O</t>
  </si>
  <si>
    <t>LTGR</t>
  </si>
  <si>
    <t>Exit Multiple</t>
  </si>
  <si>
    <t>Average</t>
  </si>
  <si>
    <t xml:space="preserve">BJ's Resturant Inc. </t>
  </si>
  <si>
    <t>(inc) / dec in LT assets</t>
  </si>
  <si>
    <t>inc / (dec) in LT liabilities</t>
  </si>
  <si>
    <t>CFFO</t>
  </si>
  <si>
    <t>CFFI</t>
  </si>
  <si>
    <t>Debt Issuance</t>
  </si>
  <si>
    <t>Share Issuance</t>
  </si>
  <si>
    <t>CFFF</t>
  </si>
  <si>
    <t>net changes in cash</t>
  </si>
  <si>
    <t>Beginning cash</t>
  </si>
  <si>
    <t>Ending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</si>
</sst>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dd\-mmm\-yy_)"/>
    <numFmt numFmtId="169" formatCode="0.0%_);\(0.0%\)"/>
    <numFmt numFmtId="170" formatCode="#,##0.00_)\x;\(#,##0.00\)\x"/>
    <numFmt numFmtId="171" formatCode="&quot;Yes&quot;;;&quot;No&quot;"/>
    <numFmt numFmtId="172" formatCode="0.00%_);\(0.00%\)"/>
    <numFmt numFmtId="173" formatCode="0.0%"/>
    <numFmt numFmtId="174" formatCode="#,##0.00_);\(#,##0.00\);0.00_);@_)"/>
    <numFmt numFmtId="175" formatCode="yyyy"/>
    <numFmt numFmtId="176" formatCode="#,##0.0_)\x;\(#,##0.0\)\x"/>
    <numFmt numFmtId="177" formatCode="0.0_);\(0.0\)"/>
    <numFmt numFmtId="178" formatCode="0_);\(0\)"/>
    <numFmt numFmtId="179" formatCode="#,##0.0"/>
    <numFmt numFmtId="180" formatCode="&quot;$&quot;#,##0.0_);\(&quot;$&quot;#,##0.0\)"/>
    <numFmt numFmtId="181" formatCode="[$$-409]#,##0.00_);\([$$-409]#,##0.00\)"/>
    <numFmt numFmtId="182" formatCode="&quot;$&quot;#,##0.00"/>
    <numFmt numFmtId="183" formatCode="&quot;$&quot;#,##0"/>
  </numFmts>
  <fonts count="7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color indexed="81"/>
      <name val="Tahoma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i/>
      <sz val="10"/>
      <name val="Arial"/>
      <family val="2"/>
    </font>
    <font>
      <sz val="7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027D07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indexed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27D07"/>
      <name val="Calibri"/>
      <family val="2"/>
      <scheme val="minor"/>
    </font>
    <font>
      <sz val="11"/>
      <color rgb="FF4472C4"/>
      <name val="Calibri"/>
      <family val="2"/>
      <scheme val="minor"/>
    </font>
    <font>
      <i/>
      <sz val="11"/>
      <color indexed="10"/>
      <name val="Calibri"/>
      <family val="2"/>
      <scheme val="minor"/>
    </font>
    <font>
      <i/>
      <sz val="10"/>
      <color theme="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500FF"/>
      <name val="Calibri"/>
      <family val="2"/>
      <scheme val="minor"/>
    </font>
    <font>
      <i/>
      <sz val="10"/>
      <color rgb="FF0000FF"/>
      <name val="Arial"/>
      <family val="2"/>
    </font>
    <font>
      <i/>
      <sz val="10"/>
      <color rgb="FF0500FF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10"/>
      <color theme="0"/>
      <name val="Arial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rgb="FF0000FF"/>
      <name val="Calibri"/>
      <family val="2"/>
      <scheme val="minor"/>
    </font>
    <font>
      <b/>
      <sz val="15"/>
      <color rgb="FF027D07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1"/>
      <color rgb="FFEA4335"/>
      <name val="Calibri"/>
      <family val="2"/>
      <scheme val="minor"/>
    </font>
    <font>
      <b/>
      <sz val="15"/>
      <name val="Calibri"/>
      <family val="2"/>
      <scheme val="minor"/>
    </font>
    <font>
      <b/>
      <i/>
      <sz val="11"/>
      <color rgb="FF34A853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4F81BD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68">
    <xf numFmtId="167" fontId="0" fillId="0" borderId="0"/>
    <xf numFmtId="15" fontId="6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167" fontId="29" fillId="33" borderId="1" applyNumberFormat="0" applyAlignment="0" applyProtection="0"/>
    <xf numFmtId="169" fontId="6" fillId="0" borderId="0" applyFont="0" applyFill="0" applyBorder="0" applyAlignment="0" applyProtection="0"/>
    <xf numFmtId="167" fontId="29" fillId="0" borderId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5" applyNumberFormat="0" applyAlignment="0" applyProtection="0"/>
    <xf numFmtId="0" fontId="18" fillId="5" borderId="6" applyNumberFormat="0" applyAlignment="0" applyProtection="0"/>
    <xf numFmtId="0" fontId="19" fillId="0" borderId="7" applyNumberFormat="0" applyFill="0" applyAlignment="0" applyProtection="0"/>
    <xf numFmtId="0" fontId="20" fillId="6" borderId="8" applyNumberFormat="0" applyAlignment="0" applyProtection="0"/>
    <xf numFmtId="0" fontId="21" fillId="0" borderId="0" applyNumberFormat="0" applyFill="0" applyBorder="0" applyAlignment="0" applyProtection="0"/>
    <xf numFmtId="0" fontId="6" fillId="7" borderId="9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8" borderId="0" applyNumberFormat="0" applyBorder="0" applyAlignment="0" applyProtection="0"/>
    <xf numFmtId="0" fontId="25" fillId="9" borderId="0" applyNumberFormat="0" applyBorder="0" applyAlignment="0" applyProtection="0"/>
    <xf numFmtId="0" fontId="25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4" fillId="15" borderId="0" applyNumberFormat="0" applyBorder="0" applyAlignment="0" applyProtection="0"/>
    <xf numFmtId="0" fontId="24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4" fillId="19" borderId="0" applyNumberFormat="0" applyBorder="0" applyAlignment="0" applyProtection="0"/>
    <xf numFmtId="0" fontId="24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4" fillId="23" borderId="0" applyNumberFormat="0" applyBorder="0" applyAlignment="0" applyProtection="0"/>
    <xf numFmtId="0" fontId="24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6" borderId="0" applyNumberFormat="0" applyBorder="0" applyAlignment="0" applyProtection="0"/>
    <xf numFmtId="0" fontId="24" fillId="27" borderId="0" applyNumberFormat="0" applyBorder="0" applyAlignment="0" applyProtection="0"/>
    <xf numFmtId="0" fontId="24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0" borderId="0" applyNumberFormat="0" applyBorder="0" applyAlignment="0" applyProtection="0"/>
    <xf numFmtId="0" fontId="24" fillId="31" borderId="0" applyNumberFormat="0" applyBorder="0" applyAlignment="0" applyProtection="0"/>
    <xf numFmtId="166" fontId="26" fillId="0" borderId="0" applyNumberForma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7" fontId="30" fillId="0" borderId="11" applyNumberFormat="0" applyFill="0" applyAlignment="0" applyProtection="0"/>
    <xf numFmtId="167" fontId="27" fillId="32" borderId="0" applyNumberFormat="0" applyBorder="0" applyProtection="0">
      <alignment horizontal="left" vertical="center"/>
    </xf>
    <xf numFmtId="167" fontId="28" fillId="0" borderId="0" applyNumberFormat="0" applyFill="0" applyBorder="0" applyAlignment="0" applyProtection="0"/>
    <xf numFmtId="171" fontId="7" fillId="0" borderId="0" applyFont="0" applyFill="0" applyBorder="0" applyAlignment="0" applyProtection="0"/>
    <xf numFmtId="169" fontId="29" fillId="33" borderId="1" applyAlignment="0" applyProtection="0"/>
    <xf numFmtId="166" fontId="7" fillId="0" borderId="0" applyNumberFormat="0" applyFill="0" applyBorder="0" applyAlignment="0" applyProtection="0"/>
    <xf numFmtId="166" fontId="7" fillId="0" borderId="0" applyNumberFormat="0" applyFill="0" applyBorder="0" applyAlignment="0" applyProtection="0"/>
    <xf numFmtId="166" fontId="6" fillId="0" borderId="0">
      <protection locked="0"/>
    </xf>
    <xf numFmtId="166" fontId="32" fillId="0" borderId="0" applyNumberFormat="0" applyFill="0" applyBorder="0" applyProtection="0">
      <alignment vertical="center"/>
      <protection hidden="1"/>
    </xf>
    <xf numFmtId="0" fontId="33" fillId="0" borderId="0"/>
    <xf numFmtId="9" fontId="33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5" fillId="0" borderId="0"/>
    <xf numFmtId="167" fontId="43" fillId="32" borderId="0" applyNumberFormat="0" applyBorder="0" applyAlignment="0" applyProtection="0">
      <alignment horizontal="left" vertical="center"/>
    </xf>
    <xf numFmtId="0" fontId="64" fillId="41" borderId="0"/>
    <xf numFmtId="0" fontId="65" fillId="41" borderId="22">
      <alignment horizontal="right"/>
    </xf>
  </cellStyleXfs>
  <cellXfs count="283">
    <xf numFmtId="167" fontId="0" fillId="0" borderId="0" xfId="0"/>
    <xf numFmtId="166" fontId="44" fillId="0" borderId="0" xfId="52" applyNumberFormat="1" applyFont="1" applyFill="1" applyBorder="1" applyAlignment="1">
      <alignment horizontal="center"/>
    </xf>
    <xf numFmtId="167" fontId="44" fillId="0" borderId="0" xfId="0" applyFont="1"/>
    <xf numFmtId="166" fontId="44" fillId="0" borderId="0" xfId="52" applyNumberFormat="1" applyFont="1" applyFill="1" applyBorder="1"/>
    <xf numFmtId="167" fontId="40" fillId="0" borderId="0" xfId="0" applyFont="1"/>
    <xf numFmtId="169" fontId="40" fillId="0" borderId="0" xfId="4" applyFont="1"/>
    <xf numFmtId="167" fontId="45" fillId="0" borderId="0" xfId="0" applyFont="1"/>
    <xf numFmtId="167" fontId="42" fillId="0" borderId="0" xfId="0" applyFont="1"/>
    <xf numFmtId="173" fontId="40" fillId="0" borderId="0" xfId="0" applyNumberFormat="1" applyFont="1"/>
    <xf numFmtId="166" fontId="39" fillId="0" borderId="0" xfId="57" applyFont="1" applyFill="1"/>
    <xf numFmtId="166" fontId="39" fillId="0" borderId="0" xfId="57" applyFont="1"/>
    <xf numFmtId="167" fontId="46" fillId="0" borderId="0" xfId="0" applyFont="1"/>
    <xf numFmtId="167" fontId="39" fillId="0" borderId="0" xfId="0" applyFont="1"/>
    <xf numFmtId="172" fontId="40" fillId="0" borderId="0" xfId="0" applyNumberFormat="1" applyFont="1"/>
    <xf numFmtId="174" fontId="40" fillId="0" borderId="0" xfId="0" applyNumberFormat="1" applyFont="1"/>
    <xf numFmtId="167" fontId="40" fillId="35" borderId="0" xfId="0" applyFont="1" applyFill="1"/>
    <xf numFmtId="166" fontId="34" fillId="35" borderId="0" xfId="54" applyNumberFormat="1" applyFont="1" applyFill="1"/>
    <xf numFmtId="167" fontId="46" fillId="0" borderId="12" xfId="0" applyFont="1" applyBorder="1"/>
    <xf numFmtId="167" fontId="46" fillId="0" borderId="13" xfId="0" applyFont="1" applyBorder="1"/>
    <xf numFmtId="167" fontId="40" fillId="34" borderId="0" xfId="0" applyFont="1" applyFill="1"/>
    <xf numFmtId="166" fontId="34" fillId="34" borderId="0" xfId="54" applyNumberFormat="1" applyFont="1" applyFill="1"/>
    <xf numFmtId="167" fontId="40" fillId="0" borderId="13" xfId="0" applyFont="1" applyBorder="1"/>
    <xf numFmtId="166" fontId="39" fillId="0" borderId="18" xfId="57" applyFont="1" applyBorder="1"/>
    <xf numFmtId="169" fontId="40" fillId="0" borderId="18" xfId="4" applyFont="1" applyBorder="1"/>
    <xf numFmtId="167" fontId="46" fillId="0" borderId="18" xfId="0" applyFont="1" applyBorder="1"/>
    <xf numFmtId="166" fontId="39" fillId="0" borderId="18" xfId="58" applyFont="1" applyBorder="1"/>
    <xf numFmtId="173" fontId="40" fillId="0" borderId="18" xfId="0" applyNumberFormat="1" applyFont="1" applyBorder="1"/>
    <xf numFmtId="167" fontId="40" fillId="0" borderId="18" xfId="0" applyFont="1" applyBorder="1"/>
    <xf numFmtId="173" fontId="31" fillId="0" borderId="0" xfId="0" applyNumberFormat="1" applyFont="1"/>
    <xf numFmtId="167" fontId="41" fillId="0" borderId="0" xfId="0" applyFont="1"/>
    <xf numFmtId="169" fontId="41" fillId="0" borderId="0" xfId="4" applyFont="1"/>
    <xf numFmtId="169" fontId="41" fillId="0" borderId="18" xfId="4" applyFont="1" applyBorder="1"/>
    <xf numFmtId="167" fontId="48" fillId="0" borderId="0" xfId="0" applyFont="1"/>
    <xf numFmtId="167" fontId="46" fillId="0" borderId="15" xfId="0" applyFont="1" applyBorder="1"/>
    <xf numFmtId="167" fontId="46" fillId="0" borderId="16" xfId="0" applyFont="1" applyBorder="1"/>
    <xf numFmtId="173" fontId="40" fillId="0" borderId="16" xfId="0" applyNumberFormat="1" applyFont="1" applyBorder="1"/>
    <xf numFmtId="167" fontId="40" fillId="0" borderId="16" xfId="0" applyFont="1" applyBorder="1"/>
    <xf numFmtId="174" fontId="40" fillId="0" borderId="15" xfId="0" applyNumberFormat="1" applyFont="1" applyBorder="1"/>
    <xf numFmtId="167" fontId="41" fillId="0" borderId="18" xfId="0" applyFont="1" applyBorder="1"/>
    <xf numFmtId="173" fontId="31" fillId="0" borderId="18" xfId="0" applyNumberFormat="1" applyFont="1" applyBorder="1"/>
    <xf numFmtId="166" fontId="35" fillId="0" borderId="0" xfId="52" applyNumberFormat="1" applyFont="1" applyFill="1" applyBorder="1" applyAlignment="1">
      <alignment horizontal="right"/>
    </xf>
    <xf numFmtId="167" fontId="36" fillId="34" borderId="0" xfId="0" applyFont="1" applyFill="1"/>
    <xf numFmtId="173" fontId="41" fillId="0" borderId="0" xfId="0" applyNumberFormat="1" applyFont="1"/>
    <xf numFmtId="173" fontId="41" fillId="0" borderId="18" xfId="0" applyNumberFormat="1" applyFont="1" applyBorder="1"/>
    <xf numFmtId="166" fontId="39" fillId="0" borderId="18" xfId="57" applyFont="1" applyFill="1" applyBorder="1"/>
    <xf numFmtId="167" fontId="46" fillId="0" borderId="0" xfId="0" applyFont="1" applyAlignment="1">
      <alignment horizontal="right"/>
    </xf>
    <xf numFmtId="10" fontId="40" fillId="0" borderId="0" xfId="0" applyNumberFormat="1" applyFont="1"/>
    <xf numFmtId="172" fontId="40" fillId="0" borderId="0" xfId="4" applyNumberFormat="1" applyFont="1"/>
    <xf numFmtId="167" fontId="49" fillId="0" borderId="0" xfId="0" applyFont="1"/>
    <xf numFmtId="37" fontId="44" fillId="0" borderId="0" xfId="0" applyNumberFormat="1" applyFont="1" applyAlignment="1">
      <alignment horizontal="center"/>
    </xf>
    <xf numFmtId="167" fontId="38" fillId="33" borderId="1" xfId="3" applyFont="1" applyAlignment="1">
      <alignment horizontal="center"/>
    </xf>
    <xf numFmtId="168" fontId="38" fillId="33" borderId="1" xfId="3" applyNumberFormat="1" applyFont="1" applyAlignment="1">
      <alignment horizontal="center"/>
    </xf>
    <xf numFmtId="166" fontId="35" fillId="0" borderId="0" xfId="52" applyNumberFormat="1" applyFont="1" applyFill="1" applyBorder="1" applyAlignment="1">
      <alignment horizontal="center"/>
    </xf>
    <xf numFmtId="167" fontId="50" fillId="34" borderId="0" xfId="0" applyFont="1" applyFill="1"/>
    <xf numFmtId="169" fontId="47" fillId="0" borderId="0" xfId="57" applyNumberFormat="1" applyFont="1" applyFill="1" applyBorder="1"/>
    <xf numFmtId="169" fontId="41" fillId="0" borderId="0" xfId="57" applyNumberFormat="1" applyFont="1" applyFill="1" applyBorder="1"/>
    <xf numFmtId="166" fontId="41" fillId="0" borderId="0" xfId="0" applyNumberFormat="1" applyFont="1"/>
    <xf numFmtId="167" fontId="40" fillId="0" borderId="17" xfId="0" applyFont="1" applyBorder="1"/>
    <xf numFmtId="169" fontId="47" fillId="0" borderId="18" xfId="57" applyNumberFormat="1" applyFont="1" applyFill="1" applyBorder="1"/>
    <xf numFmtId="169" fontId="41" fillId="0" borderId="18" xfId="57" applyNumberFormat="1" applyFont="1" applyFill="1" applyBorder="1"/>
    <xf numFmtId="166" fontId="41" fillId="0" borderId="18" xfId="0" applyNumberFormat="1" applyFont="1" applyBorder="1"/>
    <xf numFmtId="167" fontId="40" fillId="0" borderId="18" xfId="0" applyFont="1" applyBorder="1" applyAlignment="1">
      <alignment horizontal="right"/>
    </xf>
    <xf numFmtId="167" fontId="36" fillId="35" borderId="0" xfId="0" applyFont="1" applyFill="1"/>
    <xf numFmtId="167" fontId="34" fillId="35" borderId="0" xfId="53" applyFont="1" applyFill="1">
      <alignment horizontal="left" vertical="center"/>
    </xf>
    <xf numFmtId="167" fontId="40" fillId="0" borderId="15" xfId="0" applyFont="1" applyBorder="1"/>
    <xf numFmtId="167" fontId="40" fillId="36" borderId="0" xfId="0" applyFont="1" applyFill="1"/>
    <xf numFmtId="167" fontId="40" fillId="37" borderId="15" xfId="0" applyFont="1" applyFill="1" applyBorder="1"/>
    <xf numFmtId="167" fontId="40" fillId="37" borderId="0" xfId="0" applyFont="1" applyFill="1"/>
    <xf numFmtId="167" fontId="40" fillId="38" borderId="15" xfId="0" applyFont="1" applyFill="1" applyBorder="1"/>
    <xf numFmtId="167" fontId="40" fillId="38" borderId="0" xfId="0" applyFont="1" applyFill="1"/>
    <xf numFmtId="167" fontId="40" fillId="36" borderId="18" xfId="0" applyFont="1" applyFill="1" applyBorder="1"/>
    <xf numFmtId="167" fontId="40" fillId="37" borderId="16" xfId="0" applyFont="1" applyFill="1" applyBorder="1"/>
    <xf numFmtId="167" fontId="40" fillId="37" borderId="18" xfId="0" applyFont="1" applyFill="1" applyBorder="1"/>
    <xf numFmtId="167" fontId="40" fillId="38" borderId="16" xfId="0" applyFont="1" applyFill="1" applyBorder="1"/>
    <xf numFmtId="167" fontId="40" fillId="38" borderId="18" xfId="0" applyFont="1" applyFill="1" applyBorder="1"/>
    <xf numFmtId="167" fontId="34" fillId="34" borderId="0" xfId="0" applyFont="1" applyFill="1"/>
    <xf numFmtId="167" fontId="40" fillId="0" borderId="20" xfId="0" applyFont="1" applyBorder="1"/>
    <xf numFmtId="167" fontId="40" fillId="0" borderId="1" xfId="0" applyFont="1" applyBorder="1"/>
    <xf numFmtId="167" fontId="40" fillId="39" borderId="19" xfId="0" applyFont="1" applyFill="1" applyBorder="1"/>
    <xf numFmtId="167" fontId="40" fillId="39" borderId="16" xfId="0" applyFont="1" applyFill="1" applyBorder="1"/>
    <xf numFmtId="167" fontId="40" fillId="39" borderId="1" xfId="0" applyFont="1" applyFill="1" applyBorder="1"/>
    <xf numFmtId="167" fontId="40" fillId="39" borderId="14" xfId="0" applyFont="1" applyFill="1" applyBorder="1"/>
    <xf numFmtId="167" fontId="45" fillId="0" borderId="15" xfId="0" applyFont="1" applyBorder="1"/>
    <xf numFmtId="176" fontId="40" fillId="0" borderId="0" xfId="0" applyNumberFormat="1" applyFont="1"/>
    <xf numFmtId="167" fontId="36" fillId="0" borderId="0" xfId="0" applyFont="1"/>
    <xf numFmtId="166" fontId="34" fillId="0" borderId="0" xfId="54" applyNumberFormat="1" applyFont="1" applyFill="1"/>
    <xf numFmtId="166" fontId="52" fillId="0" borderId="0" xfId="54" applyNumberFormat="1" applyFont="1" applyProtection="1"/>
    <xf numFmtId="173" fontId="6" fillId="0" borderId="0" xfId="0" applyNumberFormat="1" applyFont="1"/>
    <xf numFmtId="167" fontId="53" fillId="0" borderId="0" xfId="0" applyFont="1"/>
    <xf numFmtId="167" fontId="6" fillId="0" borderId="0" xfId="0" applyFont="1"/>
    <xf numFmtId="167" fontId="6" fillId="0" borderId="0" xfId="0" applyFont="1" applyProtection="1">
      <protection locked="0"/>
    </xf>
    <xf numFmtId="169" fontId="6" fillId="0" borderId="0" xfId="4" applyFont="1"/>
    <xf numFmtId="166" fontId="55" fillId="0" borderId="0" xfId="54" applyNumberFormat="1" applyFont="1" applyProtection="1"/>
    <xf numFmtId="169" fontId="29" fillId="0" borderId="0" xfId="3" applyNumberFormat="1" applyFill="1" applyBorder="1"/>
    <xf numFmtId="167" fontId="56" fillId="0" borderId="0" xfId="0" applyFont="1"/>
    <xf numFmtId="167" fontId="56" fillId="0" borderId="18" xfId="0" applyFont="1" applyBorder="1"/>
    <xf numFmtId="167" fontId="38" fillId="0" borderId="0" xfId="0" applyFont="1"/>
    <xf numFmtId="167" fontId="38" fillId="0" borderId="18" xfId="0" applyFont="1" applyBorder="1"/>
    <xf numFmtId="169" fontId="40" fillId="0" borderId="0" xfId="4" applyFont="1" applyFill="1"/>
    <xf numFmtId="169" fontId="57" fillId="33" borderId="1" xfId="3" applyNumberFormat="1" applyFont="1"/>
    <xf numFmtId="167" fontId="57" fillId="33" borderId="1" xfId="3" applyNumberFormat="1" applyFont="1"/>
    <xf numFmtId="169" fontId="57" fillId="33" borderId="14" xfId="3" applyNumberFormat="1" applyFont="1" applyBorder="1"/>
    <xf numFmtId="169" fontId="57" fillId="0" borderId="15" xfId="3" applyNumberFormat="1" applyFont="1" applyFill="1" applyBorder="1"/>
    <xf numFmtId="173" fontId="31" fillId="36" borderId="14" xfId="0" applyNumberFormat="1" applyFont="1" applyFill="1" applyBorder="1"/>
    <xf numFmtId="177" fontId="57" fillId="33" borderId="1" xfId="3" applyNumberFormat="1" applyFont="1"/>
    <xf numFmtId="167" fontId="34" fillId="35" borderId="0" xfId="0" applyFont="1" applyFill="1"/>
    <xf numFmtId="166" fontId="35" fillId="0" borderId="15" xfId="52" applyNumberFormat="1" applyFont="1" applyFill="1" applyBorder="1" applyAlignment="1">
      <alignment horizontal="center"/>
    </xf>
    <xf numFmtId="167" fontId="41" fillId="0" borderId="13" xfId="0" applyFont="1" applyBorder="1"/>
    <xf numFmtId="167" fontId="51" fillId="0" borderId="13" xfId="0" applyFont="1" applyBorder="1"/>
    <xf numFmtId="173" fontId="31" fillId="40" borderId="1" xfId="0" applyNumberFormat="1" applyFont="1" applyFill="1" applyBorder="1"/>
    <xf numFmtId="167" fontId="31" fillId="40" borderId="19" xfId="0" applyFont="1" applyFill="1" applyBorder="1"/>
    <xf numFmtId="167" fontId="54" fillId="0" borderId="0" xfId="0" applyFont="1" applyAlignment="1">
      <alignment horizontal="right"/>
    </xf>
    <xf numFmtId="167" fontId="34" fillId="34" borderId="17" xfId="0" applyFont="1" applyFill="1" applyBorder="1"/>
    <xf numFmtId="166" fontId="34" fillId="34" borderId="15" xfId="54" applyNumberFormat="1" applyFont="1" applyFill="1" applyBorder="1" applyProtection="1"/>
    <xf numFmtId="166" fontId="40" fillId="0" borderId="0" xfId="59" applyFont="1" applyProtection="1"/>
    <xf numFmtId="172" fontId="38" fillId="33" borderId="1" xfId="3" applyNumberFormat="1" applyFont="1" applyProtection="1"/>
    <xf numFmtId="166" fontId="4" fillId="0" borderId="0" xfId="54" applyNumberFormat="1" applyFont="1" applyProtection="1"/>
    <xf numFmtId="169" fontId="40" fillId="0" borderId="15" xfId="4" applyFont="1" applyBorder="1"/>
    <xf numFmtId="169" fontId="40" fillId="0" borderId="16" xfId="4" applyFont="1" applyBorder="1"/>
    <xf numFmtId="166" fontId="61" fillId="34" borderId="15" xfId="59" applyFont="1" applyFill="1" applyBorder="1" applyProtection="1"/>
    <xf numFmtId="10" fontId="41" fillId="0" borderId="0" xfId="0" applyNumberFormat="1" applyFont="1"/>
    <xf numFmtId="10" fontId="29" fillId="0" borderId="0" xfId="3" applyNumberFormat="1" applyFill="1" applyBorder="1"/>
    <xf numFmtId="166" fontId="39" fillId="0" borderId="0" xfId="57" applyFont="1" applyBorder="1"/>
    <xf numFmtId="166" fontId="39" fillId="0" borderId="0" xfId="58" applyFont="1" applyBorder="1"/>
    <xf numFmtId="167" fontId="38" fillId="0" borderId="17" xfId="0" applyFont="1" applyBorder="1"/>
    <xf numFmtId="169" fontId="57" fillId="33" borderId="19" xfId="3" applyNumberFormat="1" applyFont="1" applyBorder="1"/>
    <xf numFmtId="167" fontId="3" fillId="0" borderId="18" xfId="0" applyFont="1" applyBorder="1"/>
    <xf numFmtId="179" fontId="46" fillId="0" borderId="0" xfId="0" applyNumberFormat="1" applyFont="1"/>
    <xf numFmtId="179" fontId="46" fillId="0" borderId="12" xfId="0" applyNumberFormat="1" applyFont="1" applyBorder="1"/>
    <xf numFmtId="179" fontId="46" fillId="0" borderId="13" xfId="0" applyNumberFormat="1" applyFont="1" applyBorder="1"/>
    <xf numFmtId="179" fontId="40" fillId="0" borderId="0" xfId="0" applyNumberFormat="1" applyFont="1"/>
    <xf numFmtId="167" fontId="40" fillId="0" borderId="24" xfId="0" applyFont="1" applyBorder="1"/>
    <xf numFmtId="167" fontId="40" fillId="0" borderId="15" xfId="4" applyNumberFormat="1" applyFont="1" applyBorder="1"/>
    <xf numFmtId="179" fontId="40" fillId="0" borderId="15" xfId="4" applyNumberFormat="1" applyFont="1" applyBorder="1"/>
    <xf numFmtId="179" fontId="40" fillId="0" borderId="0" xfId="4" applyNumberFormat="1" applyFont="1"/>
    <xf numFmtId="179" fontId="40" fillId="0" borderId="0" xfId="0" applyNumberFormat="1" applyFont="1" applyAlignment="1">
      <alignment horizontal="right"/>
    </xf>
    <xf numFmtId="173" fontId="40" fillId="36" borderId="19" xfId="0" applyNumberFormat="1" applyFont="1" applyFill="1" applyBorder="1"/>
    <xf numFmtId="37" fontId="34" fillId="34" borderId="18" xfId="0" applyNumberFormat="1" applyFont="1" applyFill="1" applyBorder="1" applyAlignment="1">
      <alignment horizontal="right"/>
    </xf>
    <xf numFmtId="39" fontId="40" fillId="39" borderId="19" xfId="0" applyNumberFormat="1" applyFont="1" applyFill="1" applyBorder="1"/>
    <xf numFmtId="39" fontId="40" fillId="39" borderId="1" xfId="0" applyNumberFormat="1" applyFont="1" applyFill="1" applyBorder="1"/>
    <xf numFmtId="10" fontId="40" fillId="0" borderId="21" xfId="0" applyNumberFormat="1" applyFont="1" applyBorder="1"/>
    <xf numFmtId="39" fontId="40" fillId="0" borderId="0" xfId="0" applyNumberFormat="1" applyFont="1"/>
    <xf numFmtId="173" fontId="40" fillId="37" borderId="16" xfId="0" applyNumberFormat="1" applyFont="1" applyFill="1" applyBorder="1"/>
    <xf numFmtId="173" fontId="40" fillId="37" borderId="1" xfId="0" applyNumberFormat="1" applyFont="1" applyFill="1" applyBorder="1"/>
    <xf numFmtId="173" fontId="40" fillId="38" borderId="19" xfId="0" applyNumberFormat="1" applyFont="1" applyFill="1" applyBorder="1"/>
    <xf numFmtId="167" fontId="40" fillId="0" borderId="0" xfId="0" applyFont="1" applyAlignment="1">
      <alignment horizontal="right"/>
    </xf>
    <xf numFmtId="10" fontId="36" fillId="34" borderId="1" xfId="0" applyNumberFormat="1" applyFont="1" applyFill="1" applyBorder="1"/>
    <xf numFmtId="7" fontId="46" fillId="0" borderId="18" xfId="0" applyNumberFormat="1" applyFont="1" applyBorder="1"/>
    <xf numFmtId="172" fontId="38" fillId="33" borderId="19" xfId="3" applyNumberFormat="1" applyFont="1" applyBorder="1" applyProtection="1"/>
    <xf numFmtId="179" fontId="41" fillId="0" borderId="18" xfId="0" applyNumberFormat="1" applyFont="1" applyBorder="1"/>
    <xf numFmtId="167" fontId="46" fillId="0" borderId="18" xfId="0" applyFont="1" applyBorder="1" applyAlignment="1">
      <alignment horizontal="right"/>
    </xf>
    <xf numFmtId="173" fontId="40" fillId="39" borderId="19" xfId="0" applyNumberFormat="1" applyFont="1" applyFill="1" applyBorder="1"/>
    <xf numFmtId="167" fontId="67" fillId="0" borderId="0" xfId="0" applyFont="1"/>
    <xf numFmtId="167" fontId="38" fillId="33" borderId="19" xfId="3" applyNumberFormat="1" applyFont="1" applyBorder="1" applyProtection="1"/>
    <xf numFmtId="167" fontId="40" fillId="0" borderId="21" xfId="0" applyFont="1" applyBorder="1"/>
    <xf numFmtId="180" fontId="46" fillId="0" borderId="14" xfId="0" applyNumberFormat="1" applyFont="1" applyBorder="1"/>
    <xf numFmtId="173" fontId="36" fillId="34" borderId="1" xfId="0" applyNumberFormat="1" applyFont="1" applyFill="1" applyBorder="1"/>
    <xf numFmtId="167" fontId="34" fillId="0" borderId="0" xfId="0" applyFont="1"/>
    <xf numFmtId="167" fontId="38" fillId="33" borderId="1" xfId="3" applyNumberFormat="1" applyFont="1" applyAlignment="1">
      <alignment horizontal="center"/>
    </xf>
    <xf numFmtId="167" fontId="40" fillId="38" borderId="20" xfId="0" applyFont="1" applyFill="1" applyBorder="1"/>
    <xf numFmtId="167" fontId="34" fillId="34" borderId="20" xfId="0" applyFont="1" applyFill="1" applyBorder="1"/>
    <xf numFmtId="167" fontId="34" fillId="34" borderId="15" xfId="0" applyFont="1" applyFill="1" applyBorder="1"/>
    <xf numFmtId="167" fontId="34" fillId="34" borderId="16" xfId="0" applyFont="1" applyFill="1" applyBorder="1"/>
    <xf numFmtId="10" fontId="36" fillId="0" borderId="0" xfId="0" applyNumberFormat="1" applyFont="1"/>
    <xf numFmtId="176" fontId="38" fillId="0" borderId="15" xfId="3" applyNumberFormat="1" applyFont="1" applyFill="1" applyBorder="1" applyProtection="1"/>
    <xf numFmtId="172" fontId="38" fillId="0" borderId="15" xfId="3" applyNumberFormat="1" applyFont="1" applyFill="1" applyBorder="1" applyProtection="1"/>
    <xf numFmtId="176" fontId="36" fillId="0" borderId="0" xfId="0" applyNumberFormat="1" applyFont="1"/>
    <xf numFmtId="167" fontId="40" fillId="0" borderId="0" xfId="0" applyFont="1" applyAlignment="1">
      <alignment horizontal="center"/>
    </xf>
    <xf numFmtId="167" fontId="46" fillId="0" borderId="0" xfId="0" applyFont="1" applyAlignment="1">
      <alignment horizontal="center"/>
    </xf>
    <xf numFmtId="169" fontId="57" fillId="0" borderId="0" xfId="3" applyNumberFormat="1" applyFont="1" applyFill="1" applyBorder="1"/>
    <xf numFmtId="169" fontId="40" fillId="0" borderId="0" xfId="4" applyFont="1" applyFill="1" applyBorder="1"/>
    <xf numFmtId="167" fontId="2" fillId="0" borderId="0" xfId="0" applyFont="1"/>
    <xf numFmtId="166" fontId="2" fillId="0" borderId="0" xfId="57" applyFont="1" applyBorder="1"/>
    <xf numFmtId="166" fontId="2" fillId="0" borderId="0" xfId="57" applyFont="1"/>
    <xf numFmtId="169" fontId="68" fillId="33" borderId="1" xfId="3" applyNumberFormat="1" applyFont="1"/>
    <xf numFmtId="177" fontId="68" fillId="33" borderId="1" xfId="3" applyNumberFormat="1" applyFont="1"/>
    <xf numFmtId="167" fontId="68" fillId="33" borderId="1" xfId="3" applyNumberFormat="1" applyFont="1"/>
    <xf numFmtId="37" fontId="34" fillId="34" borderId="0" xfId="52" applyNumberFormat="1" applyFont="1" applyFill="1" applyBorder="1"/>
    <xf numFmtId="166" fontId="34" fillId="34" borderId="0" xfId="52" applyNumberFormat="1" applyFont="1" applyFill="1" applyBorder="1"/>
    <xf numFmtId="174" fontId="46" fillId="0" borderId="13" xfId="0" applyNumberFormat="1" applyFont="1" applyBorder="1"/>
    <xf numFmtId="39" fontId="39" fillId="0" borderId="0" xfId="57" applyNumberFormat="1" applyFont="1" applyBorder="1"/>
    <xf numFmtId="39" fontId="39" fillId="0" borderId="18" xfId="57" applyNumberFormat="1" applyFont="1" applyBorder="1"/>
    <xf numFmtId="166" fontId="39" fillId="0" borderId="0" xfId="57" applyFont="1" applyFill="1" applyBorder="1"/>
    <xf numFmtId="0" fontId="34" fillId="34" borderId="0" xfId="52" applyNumberFormat="1" applyFont="1" applyFill="1" applyBorder="1" applyAlignment="1">
      <alignment horizontal="right" vertical="center"/>
    </xf>
    <xf numFmtId="166" fontId="38" fillId="0" borderId="0" xfId="0" applyNumberFormat="1" applyFont="1"/>
    <xf numFmtId="166" fontId="38" fillId="0" borderId="18" xfId="0" applyNumberFormat="1" applyFont="1" applyBorder="1"/>
    <xf numFmtId="166" fontId="38" fillId="0" borderId="0" xfId="57" applyFont="1" applyFill="1"/>
    <xf numFmtId="166" fontId="38" fillId="0" borderId="18" xfId="57" applyFont="1" applyFill="1" applyBorder="1"/>
    <xf numFmtId="166" fontId="2" fillId="0" borderId="0" xfId="57" applyFont="1" applyFill="1"/>
    <xf numFmtId="9" fontId="40" fillId="0" borderId="0" xfId="0" applyNumberFormat="1" applyFont="1"/>
    <xf numFmtId="9" fontId="31" fillId="0" borderId="18" xfId="0" applyNumberFormat="1" applyFont="1" applyBorder="1"/>
    <xf numFmtId="178" fontId="34" fillId="34" borderId="0" xfId="0" applyNumberFormat="1" applyFont="1" applyFill="1"/>
    <xf numFmtId="175" fontId="34" fillId="0" borderId="0" xfId="52" applyNumberFormat="1" applyFont="1" applyFill="1" applyBorder="1" applyAlignment="1">
      <alignment horizontal="right" vertical="center"/>
    </xf>
    <xf numFmtId="167" fontId="46" fillId="35" borderId="0" xfId="0" applyFont="1" applyFill="1"/>
    <xf numFmtId="175" fontId="34" fillId="0" borderId="0" xfId="0" applyNumberFormat="1" applyFont="1"/>
    <xf numFmtId="167" fontId="57" fillId="0" borderId="0" xfId="3" applyNumberFormat="1" applyFont="1" applyFill="1" applyBorder="1"/>
    <xf numFmtId="175" fontId="60" fillId="0" borderId="0" xfId="3" applyNumberFormat="1" applyFont="1" applyFill="1" applyBorder="1"/>
    <xf numFmtId="0" fontId="60" fillId="0" borderId="0" xfId="3" applyNumberFormat="1" applyFont="1" applyFill="1" applyBorder="1"/>
    <xf numFmtId="177" fontId="57" fillId="0" borderId="0" xfId="3" applyNumberFormat="1" applyFont="1" applyFill="1" applyBorder="1"/>
    <xf numFmtId="173" fontId="57" fillId="0" borderId="0" xfId="0" applyNumberFormat="1" applyFont="1"/>
    <xf numFmtId="167" fontId="58" fillId="0" borderId="0" xfId="0" applyFont="1"/>
    <xf numFmtId="173" fontId="57" fillId="40" borderId="1" xfId="0" applyNumberFormat="1" applyFont="1" applyFill="1" applyBorder="1"/>
    <xf numFmtId="0" fontId="34" fillId="0" borderId="0" xfId="0" applyNumberFormat="1" applyFont="1"/>
    <xf numFmtId="167" fontId="51" fillId="0" borderId="0" xfId="0" applyFont="1"/>
    <xf numFmtId="167" fontId="31" fillId="0" borderId="0" xfId="0" applyFont="1"/>
    <xf numFmtId="0" fontId="34" fillId="0" borderId="0" xfId="52" applyNumberFormat="1" applyFont="1" applyFill="1" applyBorder="1" applyAlignment="1">
      <alignment horizontal="right" vertical="center"/>
    </xf>
    <xf numFmtId="166" fontId="2" fillId="0" borderId="0" xfId="57" applyFont="1" applyFill="1" applyBorder="1"/>
    <xf numFmtId="169" fontId="68" fillId="0" borderId="0" xfId="3" applyNumberFormat="1" applyFont="1" applyFill="1" applyBorder="1"/>
    <xf numFmtId="177" fontId="68" fillId="0" borderId="0" xfId="3" applyNumberFormat="1" applyFont="1" applyFill="1" applyBorder="1"/>
    <xf numFmtId="167" fontId="68" fillId="0" borderId="0" xfId="3" applyNumberFormat="1" applyFont="1" applyFill="1" applyBorder="1"/>
    <xf numFmtId="174" fontId="46" fillId="0" borderId="0" xfId="0" applyNumberFormat="1" applyFont="1"/>
    <xf numFmtId="0" fontId="34" fillId="0" borderId="0" xfId="0" applyNumberFormat="1" applyFont="1" applyAlignment="1">
      <alignment horizontal="right"/>
    </xf>
    <xf numFmtId="179" fontId="40" fillId="0" borderId="0" xfId="4" applyNumberFormat="1" applyFont="1" applyFill="1" applyBorder="1"/>
    <xf numFmtId="167" fontId="40" fillId="0" borderId="0" xfId="4" applyNumberFormat="1" applyFont="1" applyFill="1" applyBorder="1"/>
    <xf numFmtId="166" fontId="61" fillId="0" borderId="0" xfId="59" applyFont="1" applyProtection="1"/>
    <xf numFmtId="179" fontId="38" fillId="0" borderId="18" xfId="0" applyNumberFormat="1" applyFont="1" applyBorder="1"/>
    <xf numFmtId="179" fontId="38" fillId="0" borderId="0" xfId="0" applyNumberFormat="1" applyFont="1"/>
    <xf numFmtId="166" fontId="2" fillId="0" borderId="17" xfId="57" applyFont="1" applyFill="1" applyBorder="1"/>
    <xf numFmtId="39" fontId="40" fillId="0" borderId="1" xfId="0" applyNumberFormat="1" applyFont="1" applyBorder="1"/>
    <xf numFmtId="2" fontId="40" fillId="36" borderId="19" xfId="0" applyNumberFormat="1" applyFont="1" applyFill="1" applyBorder="1"/>
    <xf numFmtId="169" fontId="57" fillId="36" borderId="1" xfId="3" applyNumberFormat="1" applyFont="1" applyFill="1"/>
    <xf numFmtId="10" fontId="40" fillId="0" borderId="0" xfId="4" applyNumberFormat="1" applyFont="1" applyFill="1" applyBorder="1" applyAlignment="1" applyProtection="1">
      <alignment horizontal="right"/>
    </xf>
    <xf numFmtId="181" fontId="38" fillId="33" borderId="1" xfId="3" applyNumberFormat="1" applyFont="1" applyAlignment="1">
      <alignment horizontal="center"/>
    </xf>
    <xf numFmtId="10" fontId="69" fillId="33" borderId="1" xfId="3" applyNumberFormat="1" applyFont="1" applyAlignment="1">
      <alignment horizontal="center"/>
    </xf>
    <xf numFmtId="176" fontId="40" fillId="0" borderId="0" xfId="0" applyNumberFormat="1" applyFont="1" applyAlignment="1">
      <alignment horizontal="center"/>
    </xf>
    <xf numFmtId="10" fontId="40" fillId="0" borderId="0" xfId="0" applyNumberFormat="1" applyFont="1" applyAlignment="1">
      <alignment horizontal="center"/>
    </xf>
    <xf numFmtId="5" fontId="40" fillId="0" borderId="0" xfId="0" applyNumberFormat="1" applyFont="1" applyAlignment="1">
      <alignment horizontal="center"/>
    </xf>
    <xf numFmtId="173" fontId="40" fillId="0" borderId="0" xfId="0" applyNumberFormat="1" applyFont="1" applyAlignment="1">
      <alignment horizontal="center"/>
    </xf>
    <xf numFmtId="182" fontId="66" fillId="33" borderId="14" xfId="3" applyNumberFormat="1" applyFont="1" applyBorder="1" applyAlignment="1">
      <alignment horizontal="center"/>
    </xf>
    <xf numFmtId="182" fontId="66" fillId="33" borderId="1" xfId="3" applyNumberFormat="1" applyFont="1" applyAlignment="1">
      <alignment horizontal="center"/>
    </xf>
    <xf numFmtId="1" fontId="29" fillId="0" borderId="0" xfId="0" applyNumberFormat="1" applyFont="1"/>
    <xf numFmtId="166" fontId="6" fillId="0" borderId="0" xfId="0" applyNumberFormat="1" applyFont="1" applyAlignment="1">
      <alignment horizontal="right"/>
    </xf>
    <xf numFmtId="173" fontId="29" fillId="0" borderId="0" xfId="0" applyNumberFormat="1" applyFont="1"/>
    <xf numFmtId="175" fontId="6" fillId="0" borderId="0" xfId="0" applyNumberFormat="1" applyFont="1"/>
    <xf numFmtId="169" fontId="38" fillId="0" borderId="0" xfId="0" applyNumberFormat="1" applyFont="1"/>
    <xf numFmtId="1" fontId="34" fillId="34" borderId="0" xfId="0" applyNumberFormat="1" applyFont="1" applyFill="1"/>
    <xf numFmtId="169" fontId="40" fillId="0" borderId="0" xfId="4" applyFont="1" applyBorder="1"/>
    <xf numFmtId="167" fontId="40" fillId="0" borderId="0" xfId="4" applyNumberFormat="1" applyFont="1" applyBorder="1"/>
    <xf numFmtId="166" fontId="40" fillId="0" borderId="0" xfId="59" applyFont="1" applyAlignment="1" applyProtection="1">
      <alignment horizontal="center"/>
    </xf>
    <xf numFmtId="10" fontId="40" fillId="0" borderId="0" xfId="59" applyNumberFormat="1" applyFont="1" applyAlignment="1" applyProtection="1">
      <alignment horizontal="center"/>
    </xf>
    <xf numFmtId="10" fontId="40" fillId="0" borderId="0" xfId="59" applyNumberFormat="1" applyFont="1" applyProtection="1"/>
    <xf numFmtId="176" fontId="40" fillId="0" borderId="0" xfId="59" applyNumberFormat="1" applyFont="1" applyAlignment="1" applyProtection="1">
      <alignment horizontal="right"/>
    </xf>
    <xf numFmtId="167" fontId="36" fillId="0" borderId="0" xfId="0" applyFont="1" applyAlignment="1">
      <alignment horizontal="center"/>
    </xf>
    <xf numFmtId="10" fontId="36" fillId="0" borderId="0" xfId="0" applyNumberFormat="1" applyFont="1" applyAlignment="1">
      <alignment horizontal="center"/>
    </xf>
    <xf numFmtId="176" fontId="36" fillId="0" borderId="0" xfId="59" applyNumberFormat="1" applyFont="1" applyAlignment="1" applyProtection="1">
      <alignment horizontal="right"/>
    </xf>
    <xf numFmtId="10" fontId="40" fillId="0" borderId="0" xfId="59" applyNumberFormat="1" applyFont="1" applyAlignment="1" applyProtection="1">
      <alignment horizontal="right"/>
    </xf>
    <xf numFmtId="172" fontId="40" fillId="0" borderId="0" xfId="59" applyNumberFormat="1" applyFont="1" applyProtection="1"/>
    <xf numFmtId="40" fontId="40" fillId="0" borderId="0" xfId="59" applyNumberFormat="1" applyFont="1" applyProtection="1"/>
    <xf numFmtId="40" fontId="46" fillId="0" borderId="0" xfId="59" applyNumberFormat="1" applyFont="1" applyProtection="1"/>
    <xf numFmtId="176" fontId="36" fillId="0" borderId="0" xfId="0" applyNumberFormat="1" applyFont="1" applyAlignment="1">
      <alignment horizontal="center"/>
    </xf>
    <xf numFmtId="180" fontId="36" fillId="0" borderId="0" xfId="0" applyNumberFormat="1" applyFont="1"/>
    <xf numFmtId="5" fontId="40" fillId="0" borderId="0" xfId="0" applyNumberFormat="1" applyFont="1"/>
    <xf numFmtId="1" fontId="34" fillId="34" borderId="0" xfId="52" applyNumberFormat="1" applyFont="1" applyFill="1" applyBorder="1" applyAlignment="1">
      <alignment horizontal="right" vertical="center"/>
    </xf>
    <xf numFmtId="167" fontId="70" fillId="0" borderId="0" xfId="0" applyFont="1"/>
    <xf numFmtId="167" fontId="58" fillId="40" borderId="1" xfId="0" applyFont="1" applyFill="1" applyBorder="1"/>
    <xf numFmtId="169" fontId="57" fillId="33" borderId="16" xfId="3" applyNumberFormat="1" applyFont="1" applyBorder="1"/>
    <xf numFmtId="167" fontId="40" fillId="36" borderId="23" xfId="0" applyFont="1" applyFill="1" applyBorder="1"/>
    <xf numFmtId="173" fontId="40" fillId="36" borderId="1" xfId="0" applyNumberFormat="1" applyFont="1" applyFill="1" applyBorder="1"/>
    <xf numFmtId="178" fontId="29" fillId="33" borderId="1" xfId="3" applyNumberFormat="1"/>
    <xf numFmtId="175" fontId="59" fillId="0" borderId="0" xfId="0" applyNumberFormat="1" applyFont="1"/>
    <xf numFmtId="166" fontId="34" fillId="34" borderId="0" xfId="54" applyNumberFormat="1" applyFont="1" applyFill="1" applyBorder="1"/>
    <xf numFmtId="1" fontId="34" fillId="35" borderId="0" xfId="0" applyNumberFormat="1" applyFont="1" applyFill="1"/>
    <xf numFmtId="1" fontId="34" fillId="35" borderId="0" xfId="4" applyNumberFormat="1" applyFont="1" applyFill="1"/>
    <xf numFmtId="1" fontId="34" fillId="35" borderId="0" xfId="0" applyNumberFormat="1" applyFont="1" applyFill="1" applyAlignment="1">
      <alignment horizontal="right"/>
    </xf>
    <xf numFmtId="9" fontId="31" fillId="0" borderId="0" xfId="0" applyNumberFormat="1" applyFont="1"/>
    <xf numFmtId="167" fontId="46" fillId="0" borderId="23" xfId="0" applyFont="1" applyBorder="1"/>
    <xf numFmtId="167" fontId="40" fillId="0" borderId="23" xfId="4" applyNumberFormat="1" applyFont="1" applyFill="1" applyBorder="1"/>
    <xf numFmtId="183" fontId="40" fillId="0" borderId="0" xfId="0" applyNumberFormat="1" applyFont="1" applyAlignment="1">
      <alignment horizontal="center"/>
    </xf>
    <xf numFmtId="183" fontId="40" fillId="0" borderId="15" xfId="59" applyNumberFormat="1" applyFont="1" applyBorder="1" applyAlignment="1" applyProtection="1">
      <alignment horizontal="center"/>
    </xf>
    <xf numFmtId="176" fontId="40" fillId="0" borderId="0" xfId="59" applyNumberFormat="1" applyFont="1" applyAlignment="1" applyProtection="1">
      <alignment horizontal="center"/>
    </xf>
    <xf numFmtId="183" fontId="46" fillId="0" borderId="0" xfId="0" applyNumberFormat="1" applyFont="1" applyAlignment="1">
      <alignment horizontal="center"/>
    </xf>
    <xf numFmtId="180" fontId="46" fillId="0" borderId="0" xfId="0" applyNumberFormat="1" applyFont="1" applyAlignment="1">
      <alignment horizontal="center"/>
    </xf>
    <xf numFmtId="10" fontId="40" fillId="0" borderId="18" xfId="0" applyNumberFormat="1" applyFont="1" applyBorder="1" applyAlignment="1">
      <alignment horizontal="center"/>
    </xf>
    <xf numFmtId="183" fontId="40" fillId="0" borderId="20" xfId="0" applyNumberFormat="1" applyFont="1" applyBorder="1" applyAlignment="1">
      <alignment horizontal="center"/>
    </xf>
    <xf numFmtId="183" fontId="46" fillId="0" borderId="15" xfId="59" applyNumberFormat="1" applyFont="1" applyBorder="1" applyAlignment="1" applyProtection="1">
      <alignment horizontal="center"/>
    </xf>
    <xf numFmtId="183" fontId="46" fillId="0" borderId="0" xfId="59" applyNumberFormat="1" applyFont="1" applyAlignment="1" applyProtection="1">
      <alignment horizontal="center"/>
    </xf>
    <xf numFmtId="173" fontId="40" fillId="0" borderId="18" xfId="0" applyNumberFormat="1" applyFont="1" applyBorder="1" applyAlignment="1">
      <alignment horizontal="center"/>
    </xf>
    <xf numFmtId="183" fontId="46" fillId="0" borderId="0" xfId="4" applyNumberFormat="1" applyFont="1" applyFill="1" applyBorder="1" applyAlignment="1" applyProtection="1">
      <alignment horizontal="center"/>
    </xf>
    <xf numFmtId="9" fontId="46" fillId="0" borderId="0" xfId="0" applyNumberFormat="1" applyFont="1"/>
    <xf numFmtId="9" fontId="40" fillId="0" borderId="18" xfId="4" applyNumberFormat="1" applyFont="1" applyFill="1" applyBorder="1"/>
    <xf numFmtId="166" fontId="40" fillId="0" borderId="0" xfId="57" applyFont="1" applyFill="1"/>
    <xf numFmtId="166" fontId="1" fillId="0" borderId="0" xfId="57" applyFont="1" applyFill="1"/>
    <xf numFmtId="10" fontId="71" fillId="33" borderId="1" xfId="3" applyNumberFormat="1" applyFont="1" applyAlignment="1">
      <alignment horizontal="center"/>
    </xf>
  </cellXfs>
  <cellStyles count="68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p_column_header" xfId="66" xr:uid="{AF54CA06-E9C5-47E9-94D2-0FADAEF0B6B2}"/>
    <cellStyle name="Blue" xfId="57" xr:uid="{00000000-0005-0000-0000-000019000000}"/>
    <cellStyle name="Blue 2" xfId="58" xr:uid="{00000000-0005-0000-0000-00001A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1000000}"/>
    <cellStyle name="Explanatory Text" xfId="20" builtinId="53" hidden="1"/>
    <cellStyle name="fa_column_header_bottom" xfId="67" xr:uid="{B37CB0A4-C947-4ACB-B9B9-C19627451DA0}"/>
    <cellStyle name="Followed Hyperlink" xfId="46" builtinId="9" hidden="1"/>
    <cellStyle name="Good" xfId="11" builtinId="26" hidden="1"/>
    <cellStyle name="Header" xfId="52" xr:uid="{00000000-0005-0000-0000-000025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A000000}"/>
    <cellStyle name="Hyperlink" xfId="2" builtinId="8" hidden="1"/>
    <cellStyle name="Hyperlink 2" xfId="63" xr:uid="{57AD9CC5-9338-4D16-BF1A-884F881EA8CD}"/>
    <cellStyle name="Input" xfId="3" builtinId="20" customBuiltin="1"/>
    <cellStyle name="Input %" xfId="56" xr:uid="{00000000-0005-0000-0000-00002D000000}"/>
    <cellStyle name="Linked Cell" xfId="16" builtinId="24" hidden="1"/>
    <cellStyle name="Multiple" xfId="51" xr:uid="{00000000-0005-0000-0000-00002F000000}"/>
    <cellStyle name="Neutral" xfId="13" builtinId="28" hidden="1"/>
    <cellStyle name="Normal" xfId="0" builtinId="0" customBuiltin="1"/>
    <cellStyle name="Normal 2" xfId="59" xr:uid="{0A8E609E-3410-4D42-B3E5-0CEDA3329063}"/>
    <cellStyle name="Normal 2 2" xfId="64" xr:uid="{9D99E413-20CC-4F11-AA53-24332CDFCBF4}"/>
    <cellStyle name="Normal 3" xfId="61" xr:uid="{31E45258-C707-4FFF-AD35-8231101EDEE0}"/>
    <cellStyle name="Note" xfId="19" builtinId="10" hidden="1"/>
    <cellStyle name="Output" xfId="14" builtinId="21" hidden="1"/>
    <cellStyle name="Percent" xfId="4" builtinId="5" customBuiltin="1"/>
    <cellStyle name="Percent 2" xfId="62" xr:uid="{2050E5B5-C816-466F-AB53-D85F6FC7433A}"/>
    <cellStyle name="SubHeader" xfId="53" xr:uid="{00000000-0005-0000-0000-000035000000}"/>
    <cellStyle name="SubHeader2" xfId="54" xr:uid="{00000000-0005-0000-0000-000036000000}"/>
    <cellStyle name="SubHeader3" xfId="65" xr:uid="{E3F0A91E-F702-431E-964C-140D77ADB2F2}"/>
    <cellStyle name="Title" xfId="6" builtinId="15" hidden="1"/>
    <cellStyle name="Total" xfId="21" builtinId="25" hidden="1"/>
    <cellStyle name="Warning Text" xfId="18" builtinId="11" hidden="1"/>
    <cellStyle name="xGuides" xfId="60" xr:uid="{84689593-CF67-4082-A4B0-622C31D0642E}"/>
    <cellStyle name="YesNo" xfId="55" xr:uid="{00000000-0005-0000-0000-00003A000000}"/>
  </cellStyles>
  <dxfs count="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4A853"/>
      <color rgb="FF44546A"/>
      <color rgb="FFEA4335"/>
      <color rgb="FF5F6368"/>
      <color rgb="FF4472C4"/>
      <color rgb="FFFBBC05"/>
      <color rgb="FF0000FF"/>
      <color rgb="FFFF8585"/>
      <color rgb="FF4285F4"/>
      <color rgb="FFB4DE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and\Downloads\Lululemon%20DCF%20model%20solution%20std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S"/>
      <sheetName val="Inputs"/>
      <sheetName val="Model"/>
      <sheetName val="DCF"/>
      <sheetName val="Presentation sheet"/>
    </sheetNames>
    <sheetDataSet>
      <sheetData sheetId="0" refreshError="1"/>
      <sheetData sheetId="1" refreshError="1"/>
      <sheetData sheetId="2" refreshError="1"/>
      <sheetData sheetId="3">
        <row r="98">
          <cell r="E98">
            <v>1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AMT Training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9"/>
  <sheetViews>
    <sheetView showGridLines="0" tabSelected="1" zoomScaleNormal="100" workbookViewId="0">
      <selection activeCell="A8" sqref="A8"/>
    </sheetView>
  </sheetViews>
  <sheetFormatPr defaultColWidth="9.140625" defaultRowHeight="15" x14ac:dyDescent="0.25"/>
  <cols>
    <col min="1" max="1" width="4.28515625" style="4" bestFit="1" customWidth="1"/>
    <col min="2" max="2" width="22.85546875" style="4" customWidth="1"/>
    <col min="3" max="3" width="18.140625" style="4" customWidth="1"/>
    <col min="4" max="4" width="17.42578125" style="4" customWidth="1"/>
    <col min="5" max="5" width="18.7109375" style="4" customWidth="1"/>
    <col min="6" max="6" width="16.42578125" style="4" customWidth="1"/>
    <col min="7" max="7" width="13.42578125" style="4" customWidth="1"/>
    <col min="8" max="8" width="18.85546875" style="4" bestFit="1" customWidth="1"/>
    <col min="9" max="11" width="15.7109375" style="4" customWidth="1"/>
    <col min="12" max="14" width="13.42578125" style="4" customWidth="1"/>
    <col min="15" max="15" width="13.140625" style="4" customWidth="1"/>
    <col min="16" max="16" width="12.7109375" style="4" customWidth="1"/>
    <col min="17" max="17" width="13.140625" style="4" customWidth="1"/>
    <col min="18" max="16384" width="9.140625" style="4"/>
  </cols>
  <sheetData>
    <row r="1" spans="1:15" s="48" customFormat="1" ht="19.5" x14ac:dyDescent="0.3">
      <c r="A1" s="253" t="str">
        <f>CoName</f>
        <v xml:space="preserve">BJ's Resturant Inc. </v>
      </c>
      <c r="B1" s="2"/>
      <c r="C1" s="2"/>
      <c r="D1" s="152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spans="1:15" s="15" customFormat="1" x14ac:dyDescent="0.25">
      <c r="A2" s="63" t="s">
        <v>180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</row>
    <row r="4" spans="1:15" x14ac:dyDescent="0.25">
      <c r="B4" s="4" t="s">
        <v>3</v>
      </c>
      <c r="C4" s="50" t="s">
        <v>188</v>
      </c>
      <c r="E4" s="4" t="s">
        <v>168</v>
      </c>
      <c r="F4" s="222">
        <v>40</v>
      </c>
      <c r="H4" s="168" t="s">
        <v>181</v>
      </c>
      <c r="I4" s="167" t="s">
        <v>178</v>
      </c>
      <c r="J4" s="167" t="s">
        <v>179</v>
      </c>
      <c r="K4" s="167" t="s">
        <v>187</v>
      </c>
    </row>
    <row r="5" spans="1:15" x14ac:dyDescent="0.25">
      <c r="B5" s="4" t="s">
        <v>4</v>
      </c>
      <c r="C5" s="51">
        <f ca="1">TODAY()</f>
        <v>46007</v>
      </c>
      <c r="E5" s="4" t="s">
        <v>184</v>
      </c>
      <c r="F5" s="158">
        <v>21134</v>
      </c>
      <c r="H5" s="167" t="s">
        <v>174</v>
      </c>
      <c r="I5" s="229">
        <f>'DCF Model'!C18</f>
        <v>19.056749661803085</v>
      </c>
      <c r="J5" s="228">
        <f>'DCF Model'!G18</f>
        <v>68.614650995245398</v>
      </c>
      <c r="K5" s="228">
        <f>AVERAGE(I5:J5)</f>
        <v>43.83570032852424</v>
      </c>
    </row>
    <row r="6" spans="1:15" x14ac:dyDescent="0.25">
      <c r="B6" s="4" t="s">
        <v>5</v>
      </c>
      <c r="C6" s="50" t="s">
        <v>9</v>
      </c>
      <c r="E6" s="4" t="s">
        <v>102</v>
      </c>
      <c r="F6" s="158">
        <f>F5*F4</f>
        <v>845360</v>
      </c>
      <c r="H6" s="167" t="s">
        <v>175</v>
      </c>
      <c r="I6" s="223">
        <f>I5/$F$4-1</f>
        <v>-0.52358125845492287</v>
      </c>
      <c r="J6" s="282">
        <f t="shared" ref="J6:K6" si="0">J5/$F$4-1</f>
        <v>0.71536627488113491</v>
      </c>
      <c r="K6" s="282">
        <f t="shared" si="0"/>
        <v>9.5892508213105909E-2</v>
      </c>
    </row>
    <row r="7" spans="1:15" x14ac:dyDescent="0.25">
      <c r="B7" s="4" t="s">
        <v>6</v>
      </c>
      <c r="C7" s="50" t="s">
        <v>8</v>
      </c>
      <c r="E7" s="4" t="s">
        <v>173</v>
      </c>
      <c r="F7" s="50">
        <v>25431</v>
      </c>
    </row>
    <row r="8" spans="1:15" x14ac:dyDescent="0.25">
      <c r="B8" s="4" t="s">
        <v>2</v>
      </c>
      <c r="C8" s="50" t="s">
        <v>85</v>
      </c>
      <c r="E8" s="4" t="s">
        <v>143</v>
      </c>
      <c r="F8" s="50">
        <f>43734+89500+367808</f>
        <v>501042</v>
      </c>
    </row>
    <row r="9" spans="1:15" x14ac:dyDescent="0.25">
      <c r="B9" s="4" t="s">
        <v>7</v>
      </c>
      <c r="C9" s="50">
        <v>0</v>
      </c>
      <c r="E9" s="4" t="s">
        <v>116</v>
      </c>
      <c r="F9" s="50">
        <f>F6-F7+F8</f>
        <v>1320971</v>
      </c>
    </row>
  </sheetData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&amp;L© Adkins Matchett &amp; Toy 2017&amp;R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D903-117B-4DF0-8D7B-7A5309212F7B}">
  <dimension ref="A1:M2"/>
  <sheetViews>
    <sheetView showGridLines="0" workbookViewId="0">
      <selection activeCell="G52" sqref="G52"/>
    </sheetView>
  </sheetViews>
  <sheetFormatPr defaultColWidth="11.7109375" defaultRowHeight="15" x14ac:dyDescent="0.25"/>
  <cols>
    <col min="1" max="2" width="11.7109375" style="4" customWidth="1"/>
    <col min="3" max="16384" width="11.7109375" style="4"/>
  </cols>
  <sheetData>
    <row r="1" spans="1:13" ht="19.5" x14ac:dyDescent="0.3">
      <c r="A1" s="253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3" x14ac:dyDescent="0.25">
      <c r="A2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3EAE-403E-4C0C-9BD0-952BD6AF5DF0}">
  <sheetPr codeName="Sheet6"/>
  <dimension ref="A1:T52"/>
  <sheetViews>
    <sheetView showGridLines="0" topLeftCell="B1" zoomScaleNormal="100" workbookViewId="0">
      <selection activeCell="J7" sqref="J7"/>
    </sheetView>
  </sheetViews>
  <sheetFormatPr defaultColWidth="9" defaultRowHeight="15" x14ac:dyDescent="0.25"/>
  <cols>
    <col min="1" max="1" width="2.28515625" style="4" customWidth="1"/>
    <col min="2" max="2" width="36.42578125" style="4" bestFit="1" customWidth="1"/>
    <col min="3" max="10" width="11.7109375" style="4" customWidth="1"/>
    <col min="11" max="11" width="11.42578125" style="4" customWidth="1"/>
    <col min="12" max="12" width="21.42578125" style="4" bestFit="1" customWidth="1"/>
    <col min="13" max="20" width="11.42578125" style="4" customWidth="1"/>
    <col min="21" max="16384" width="9" style="4"/>
  </cols>
  <sheetData>
    <row r="1" spans="1:20" ht="19.5" x14ac:dyDescent="0.3">
      <c r="A1" s="253" t="str">
        <f>CoName</f>
        <v xml:space="preserve">BJ's Resturant Inc. 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/>
      <c r="L1" s="40"/>
    </row>
    <row r="2" spans="1:20" x14ac:dyDescent="0.25">
      <c r="A2" s="62" t="s">
        <v>124</v>
      </c>
      <c r="B2" s="261" t="s">
        <v>125</v>
      </c>
      <c r="C2" s="261">
        <v>2022</v>
      </c>
      <c r="D2" s="261">
        <f>C2+1</f>
        <v>2023</v>
      </c>
      <c r="E2" s="261">
        <f t="shared" ref="E2:J2" si="0">D2+1</f>
        <v>2024</v>
      </c>
      <c r="F2" s="261">
        <f t="shared" si="0"/>
        <v>2025</v>
      </c>
      <c r="G2" s="261">
        <f t="shared" si="0"/>
        <v>2026</v>
      </c>
      <c r="H2" s="261">
        <f t="shared" si="0"/>
        <v>2027</v>
      </c>
      <c r="I2" s="261">
        <f t="shared" si="0"/>
        <v>2028</v>
      </c>
      <c r="J2" s="261">
        <f t="shared" si="0"/>
        <v>2029</v>
      </c>
      <c r="K2" s="194"/>
      <c r="L2" s="194"/>
    </row>
    <row r="3" spans="1:20" x14ac:dyDescent="0.25">
      <c r="A3" s="84"/>
      <c r="B3" s="157"/>
      <c r="C3" s="194"/>
      <c r="D3" s="194"/>
      <c r="E3" s="194"/>
      <c r="F3" s="194"/>
      <c r="G3" s="194"/>
      <c r="H3" s="194"/>
      <c r="I3" s="194"/>
      <c r="J3" s="194"/>
      <c r="K3" s="194"/>
      <c r="L3" s="194"/>
    </row>
    <row r="4" spans="1:20" x14ac:dyDescent="0.25">
      <c r="B4" s="92" t="s">
        <v>131</v>
      </c>
      <c r="C4"/>
      <c r="D4" s="258">
        <v>1</v>
      </c>
      <c r="E4"/>
      <c r="F4"/>
      <c r="G4" s="87"/>
      <c r="H4" s="87"/>
      <c r="I4" s="87"/>
      <c r="J4" s="87"/>
      <c r="K4" s="87"/>
      <c r="M4" s="230"/>
      <c r="N4" s="231"/>
      <c r="O4" s="231"/>
    </row>
    <row r="5" spans="1:20" x14ac:dyDescent="0.25">
      <c r="B5" s="86"/>
      <c r="C5" s="88"/>
      <c r="D5" s="111" t="s">
        <v>126</v>
      </c>
      <c r="E5" s="89"/>
      <c r="K5" s="87"/>
      <c r="M5" s="232"/>
      <c r="N5" s="233"/>
      <c r="O5" s="233"/>
    </row>
    <row r="6" spans="1:20" x14ac:dyDescent="0.25">
      <c r="B6" s="90" t="s">
        <v>132</v>
      </c>
      <c r="D6" s="99">
        <v>0</v>
      </c>
      <c r="E6" s="91"/>
      <c r="F6" s="99">
        <v>0.03</v>
      </c>
      <c r="G6" s="99">
        <v>2.5999999999999999E-2</v>
      </c>
      <c r="H6" s="99">
        <v>2.5000000000000001E-2</v>
      </c>
      <c r="I6" s="99">
        <v>0.03</v>
      </c>
      <c r="J6" s="99">
        <v>0.03</v>
      </c>
      <c r="K6" s="169"/>
      <c r="M6" s="169"/>
      <c r="N6" s="234"/>
      <c r="O6" s="234"/>
      <c r="P6" s="234"/>
      <c r="Q6" s="234"/>
      <c r="R6" s="234"/>
      <c r="S6" s="234"/>
      <c r="T6" s="234"/>
    </row>
    <row r="7" spans="1:20" x14ac:dyDescent="0.25">
      <c r="B7" s="4" t="s">
        <v>128</v>
      </c>
      <c r="D7" s="99">
        <v>2.5000000000000001E-2</v>
      </c>
      <c r="E7" s="91"/>
      <c r="F7" s="99">
        <f>F6+$D$7</f>
        <v>5.5E-2</v>
      </c>
      <c r="G7" s="99">
        <f t="shared" ref="G7:J7" si="1">G6+$D$7</f>
        <v>5.1000000000000004E-2</v>
      </c>
      <c r="H7" s="99">
        <f t="shared" si="1"/>
        <v>0.05</v>
      </c>
      <c r="I7" s="99">
        <f t="shared" si="1"/>
        <v>5.5E-2</v>
      </c>
      <c r="J7" s="99">
        <f t="shared" si="1"/>
        <v>5.5E-2</v>
      </c>
      <c r="K7" s="169"/>
      <c r="M7" s="169"/>
      <c r="N7" s="169"/>
      <c r="O7" s="169"/>
      <c r="P7" s="169"/>
      <c r="Q7" s="169"/>
      <c r="R7" s="169"/>
      <c r="S7" s="169"/>
      <c r="T7" s="169"/>
    </row>
    <row r="8" spans="1:20" x14ac:dyDescent="0.25">
      <c r="B8" s="4" t="s">
        <v>127</v>
      </c>
      <c r="D8" s="99">
        <v>-2.5000000000000001E-2</v>
      </c>
      <c r="E8" s="91"/>
      <c r="F8" s="99">
        <f>F6+$D$8</f>
        <v>4.9999999999999975E-3</v>
      </c>
      <c r="G8" s="99">
        <f t="shared" ref="G8:J8" si="2">G6+$D$8</f>
        <v>9.9999999999999742E-4</v>
      </c>
      <c r="H8" s="99">
        <f t="shared" si="2"/>
        <v>0</v>
      </c>
      <c r="I8" s="99">
        <f t="shared" si="2"/>
        <v>4.9999999999999975E-3</v>
      </c>
      <c r="J8" s="99">
        <f t="shared" si="2"/>
        <v>4.9999999999999975E-3</v>
      </c>
      <c r="K8" s="169"/>
    </row>
    <row r="9" spans="1:20" x14ac:dyDescent="0.25">
      <c r="K9" s="29"/>
      <c r="L9" s="29"/>
      <c r="M9" s="169"/>
      <c r="N9" s="169"/>
    </row>
    <row r="10" spans="1:20" x14ac:dyDescent="0.25">
      <c r="B10" s="116" t="s">
        <v>148</v>
      </c>
      <c r="C10" s="189"/>
      <c r="D10" s="264">
        <f>IncState!D15/IncState!C15-1</f>
        <v>3.8400188172838634E-2</v>
      </c>
      <c r="E10" s="190">
        <f>IncState!E15/IncState!D15-1</f>
        <v>1.805616289474643E-2</v>
      </c>
      <c r="F10" s="103">
        <f t="shared" ref="F10" si="3">CHOOSE(ScenarioREV,F6,F7,F8)</f>
        <v>0.03</v>
      </c>
      <c r="G10" s="103">
        <f t="shared" ref="G10:J10" si="4">CHOOSE(ScenarioREV,G6,G7,G8)</f>
        <v>2.5999999999999999E-2</v>
      </c>
      <c r="H10" s="103">
        <f t="shared" si="4"/>
        <v>2.5000000000000001E-2</v>
      </c>
      <c r="I10" s="103">
        <f t="shared" si="4"/>
        <v>0.03</v>
      </c>
      <c r="J10" s="103">
        <f t="shared" si="4"/>
        <v>0.03</v>
      </c>
      <c r="K10" s="28"/>
      <c r="L10" s="28"/>
      <c r="M10" s="169"/>
      <c r="N10" s="169"/>
    </row>
    <row r="11" spans="1:20" x14ac:dyDescent="0.25">
      <c r="B11" s="4" t="s">
        <v>133</v>
      </c>
      <c r="C11" s="8">
        <f>IncState!C16/IncState!C15</f>
        <v>0.88724895360012956</v>
      </c>
      <c r="D11" s="8">
        <f>IncState!D16/IncState!D15</f>
        <v>0.86664931530892297</v>
      </c>
      <c r="E11" s="8">
        <f>IncState!E16/IncState!E15</f>
        <v>0.85589574022583037</v>
      </c>
      <c r="F11" s="99">
        <f>E11-0.005</f>
        <v>0.85089574022583037</v>
      </c>
      <c r="G11" s="99">
        <f t="shared" ref="G11:J11" si="5">F11-0.005</f>
        <v>0.84589574022583036</v>
      </c>
      <c r="H11" s="99">
        <f t="shared" si="5"/>
        <v>0.84089574022583036</v>
      </c>
      <c r="I11" s="99">
        <f t="shared" si="5"/>
        <v>0.83589574022583035</v>
      </c>
      <c r="J11" s="99">
        <f t="shared" si="5"/>
        <v>0.83089574022583035</v>
      </c>
      <c r="K11" s="169"/>
      <c r="L11" s="169"/>
      <c r="M11" s="169"/>
      <c r="N11" s="169"/>
    </row>
    <row r="12" spans="1:20" x14ac:dyDescent="0.25">
      <c r="B12" s="4" t="s">
        <v>44</v>
      </c>
      <c r="C12" s="8">
        <f>IncState!C17/IncState!C15</f>
        <v>0.11477452750392157</v>
      </c>
      <c r="D12" s="8">
        <f>IncState!D17/IncState!D15</f>
        <v>0.11693640027332139</v>
      </c>
      <c r="E12" s="8">
        <f>IncState!E17/IncState!E15</f>
        <v>0.12016411970217387</v>
      </c>
      <c r="F12" s="99">
        <f>AVERAGE(C12:E12)</f>
        <v>0.11729168249313894</v>
      </c>
      <c r="G12" s="99">
        <f t="shared" ref="G12:J12" si="6">F12</f>
        <v>0.11729168249313894</v>
      </c>
      <c r="H12" s="99">
        <f t="shared" si="6"/>
        <v>0.11729168249313894</v>
      </c>
      <c r="I12" s="99">
        <f t="shared" si="6"/>
        <v>0.11729168249313894</v>
      </c>
      <c r="J12" s="99">
        <f t="shared" si="6"/>
        <v>0.11729168249313894</v>
      </c>
      <c r="K12" s="169"/>
      <c r="L12" s="169"/>
    </row>
    <row r="13" spans="1:20" x14ac:dyDescent="0.25">
      <c r="B13" s="4" t="s">
        <v>135</v>
      </c>
      <c r="C13" s="4">
        <f>IncState!C21</f>
        <v>0</v>
      </c>
      <c r="D13" s="4">
        <f>IncState!D21</f>
        <v>0</v>
      </c>
      <c r="E13" s="4">
        <f>IncState!E21</f>
        <v>0</v>
      </c>
      <c r="F13" s="100">
        <f>E13</f>
        <v>0</v>
      </c>
      <c r="G13" s="100">
        <f t="shared" ref="G13:J13" si="7">F13</f>
        <v>0</v>
      </c>
      <c r="H13" s="100">
        <f t="shared" si="7"/>
        <v>0</v>
      </c>
      <c r="I13" s="100">
        <f t="shared" si="7"/>
        <v>0</v>
      </c>
      <c r="J13" s="100">
        <f t="shared" si="7"/>
        <v>0</v>
      </c>
      <c r="K13" s="195"/>
      <c r="L13" s="195"/>
    </row>
    <row r="14" spans="1:20" x14ac:dyDescent="0.25">
      <c r="B14" s="4" t="s">
        <v>136</v>
      </c>
      <c r="C14" s="4">
        <f>IncState!C24</f>
        <v>-2882</v>
      </c>
      <c r="D14" s="4">
        <f>IncState!D24</f>
        <v>-8125</v>
      </c>
      <c r="E14" s="4">
        <f>IncState!E24</f>
        <v>-18414</v>
      </c>
      <c r="F14" s="100">
        <v>0</v>
      </c>
      <c r="G14" s="100">
        <v>0</v>
      </c>
      <c r="H14" s="100">
        <v>0</v>
      </c>
      <c r="I14" s="100">
        <v>0</v>
      </c>
      <c r="J14" s="100">
        <v>0</v>
      </c>
      <c r="K14" s="195"/>
      <c r="L14" s="195"/>
    </row>
    <row r="15" spans="1:20" x14ac:dyDescent="0.25">
      <c r="B15" s="4" t="s">
        <v>138</v>
      </c>
      <c r="C15" s="4">
        <f>IncState!C25</f>
        <v>60</v>
      </c>
      <c r="D15" s="4">
        <f>IncState!D25</f>
        <v>1256</v>
      </c>
      <c r="E15" s="4">
        <f>IncState!E25</f>
        <v>-331</v>
      </c>
      <c r="F15" s="100">
        <v>0</v>
      </c>
      <c r="G15" s="100">
        <v>0</v>
      </c>
      <c r="H15" s="100">
        <v>0</v>
      </c>
      <c r="I15" s="100">
        <v>0</v>
      </c>
      <c r="J15" s="100">
        <v>0</v>
      </c>
      <c r="K15" s="195"/>
      <c r="L15" s="195"/>
    </row>
    <row r="16" spans="1:20" x14ac:dyDescent="0.25">
      <c r="B16" s="4" t="s">
        <v>47</v>
      </c>
      <c r="C16" s="8">
        <f>IncState!C32/IncState!C30</f>
        <v>2.2823442683376336</v>
      </c>
      <c r="D16" s="8">
        <f>IncState!D32/IncState!D30</f>
        <v>-0.5245541838134431</v>
      </c>
      <c r="E16" s="8">
        <f>IncState!E32/IncState!E30</f>
        <v>-1.018995765275257</v>
      </c>
      <c r="F16" s="99">
        <v>0.21</v>
      </c>
      <c r="G16" s="99">
        <f t="shared" ref="G16:J16" si="8">F16</f>
        <v>0.21</v>
      </c>
      <c r="H16" s="99">
        <f t="shared" si="8"/>
        <v>0.21</v>
      </c>
      <c r="I16" s="99">
        <f t="shared" si="8"/>
        <v>0.21</v>
      </c>
      <c r="J16" s="99">
        <f t="shared" si="8"/>
        <v>0.21</v>
      </c>
      <c r="K16" s="169"/>
      <c r="L16" s="169"/>
    </row>
    <row r="17" spans="1:12" x14ac:dyDescent="0.25">
      <c r="B17" s="4" t="s">
        <v>48</v>
      </c>
      <c r="C17" s="4">
        <f>IncState!C35</f>
        <v>23405</v>
      </c>
      <c r="D17" s="4">
        <f>IncState!D35</f>
        <v>23452</v>
      </c>
      <c r="E17" s="4">
        <f>IncState!E35</f>
        <v>23132</v>
      </c>
      <c r="F17" s="100">
        <f>E17</f>
        <v>23132</v>
      </c>
      <c r="G17" s="100">
        <f t="shared" ref="G17:J17" si="9">F17</f>
        <v>23132</v>
      </c>
      <c r="H17" s="100">
        <f t="shared" si="9"/>
        <v>23132</v>
      </c>
      <c r="I17" s="100">
        <f t="shared" si="9"/>
        <v>23132</v>
      </c>
      <c r="J17" s="100">
        <f t="shared" si="9"/>
        <v>23132</v>
      </c>
      <c r="K17" s="195"/>
      <c r="L17" s="195"/>
    </row>
    <row r="18" spans="1:12" x14ac:dyDescent="0.25">
      <c r="B18" s="4" t="s">
        <v>49</v>
      </c>
      <c r="C18" s="4">
        <f>IncState!C36</f>
        <v>23662</v>
      </c>
      <c r="D18" s="4">
        <f>IncState!D36</f>
        <v>23923</v>
      </c>
      <c r="E18" s="4">
        <f>IncState!E36</f>
        <v>23768</v>
      </c>
      <c r="F18" s="100">
        <f>E18</f>
        <v>23768</v>
      </c>
      <c r="G18" s="100">
        <f t="shared" ref="G18:J18" si="10">F18</f>
        <v>23768</v>
      </c>
      <c r="H18" s="100">
        <f t="shared" si="10"/>
        <v>23768</v>
      </c>
      <c r="I18" s="100">
        <f t="shared" si="10"/>
        <v>23768</v>
      </c>
      <c r="J18" s="100">
        <f t="shared" si="10"/>
        <v>23768</v>
      </c>
      <c r="K18" s="195"/>
      <c r="L18" s="195"/>
    </row>
    <row r="19" spans="1:12" x14ac:dyDescent="0.25">
      <c r="F19" s="102"/>
      <c r="G19" s="102"/>
      <c r="H19" s="102"/>
      <c r="I19" s="102"/>
      <c r="J19" s="102"/>
      <c r="K19" s="169"/>
      <c r="L19" s="169"/>
    </row>
    <row r="20" spans="1:12" x14ac:dyDescent="0.25">
      <c r="A20" s="62" t="s">
        <v>124</v>
      </c>
      <c r="B20" s="105" t="s">
        <v>143</v>
      </c>
      <c r="C20" s="261">
        <f>C2</f>
        <v>2022</v>
      </c>
      <c r="D20" s="261">
        <f>D2</f>
        <v>2023</v>
      </c>
      <c r="E20" s="261">
        <f>E2</f>
        <v>2024</v>
      </c>
      <c r="F20" s="261">
        <f>F2</f>
        <v>2025</v>
      </c>
      <c r="G20" s="261">
        <f>G2</f>
        <v>2026</v>
      </c>
      <c r="H20" s="261">
        <f>H2</f>
        <v>2027</v>
      </c>
      <c r="I20" s="261">
        <f>I2</f>
        <v>2028</v>
      </c>
      <c r="J20" s="261">
        <f>J2</f>
        <v>2029</v>
      </c>
      <c r="K20" s="196"/>
      <c r="L20" s="196"/>
    </row>
    <row r="21" spans="1:12" x14ac:dyDescent="0.25">
      <c r="A21" s="84"/>
      <c r="B21" s="157"/>
      <c r="C21" s="194"/>
      <c r="D21" s="194"/>
      <c r="E21" s="194"/>
      <c r="F21" s="196"/>
      <c r="G21" s="196"/>
      <c r="H21" s="196"/>
      <c r="I21" s="196"/>
      <c r="J21" s="196"/>
      <c r="K21" s="196"/>
      <c r="L21" s="196"/>
    </row>
    <row r="22" spans="1:12" x14ac:dyDescent="0.25">
      <c r="B22" s="4" t="s">
        <v>137</v>
      </c>
      <c r="E22" s="8">
        <f>E23+1%</f>
        <v>9.2466165413533835E-2</v>
      </c>
      <c r="F22" s="99">
        <f>E22</f>
        <v>9.2466165413533835E-2</v>
      </c>
      <c r="G22" s="99">
        <f t="shared" ref="G22:J22" si="11">F22</f>
        <v>9.2466165413533835E-2</v>
      </c>
      <c r="H22" s="99">
        <f t="shared" si="11"/>
        <v>9.2466165413533835E-2</v>
      </c>
      <c r="I22" s="99">
        <f t="shared" si="11"/>
        <v>9.2466165413533835E-2</v>
      </c>
      <c r="J22" s="99">
        <f t="shared" si="11"/>
        <v>9.2466165413533835E-2</v>
      </c>
      <c r="K22" s="169"/>
      <c r="L22" s="169"/>
    </row>
    <row r="23" spans="1:12" x14ac:dyDescent="0.25">
      <c r="B23" s="4" t="s">
        <v>25</v>
      </c>
      <c r="C23" s="189">
        <f>-IncState!C28/BalSheet!C37</f>
        <v>4.8133333333333334E-2</v>
      </c>
      <c r="D23" s="189">
        <f>-IncState!D28/BalSheet!D37</f>
        <v>7.2279411764705884E-2</v>
      </c>
      <c r="E23" s="8">
        <f>-IncState!E28/BalSheet!E37</f>
        <v>8.246616541353384E-2</v>
      </c>
      <c r="F23" s="99">
        <f>E23</f>
        <v>8.246616541353384E-2</v>
      </c>
      <c r="G23" s="99">
        <f t="shared" ref="G23:J23" si="12">F23</f>
        <v>8.246616541353384E-2</v>
      </c>
      <c r="H23" s="99">
        <f t="shared" si="12"/>
        <v>8.246616541353384E-2</v>
      </c>
      <c r="I23" s="99">
        <f t="shared" si="12"/>
        <v>8.246616541353384E-2</v>
      </c>
      <c r="J23" s="99">
        <f t="shared" si="12"/>
        <v>8.246616541353384E-2</v>
      </c>
      <c r="K23" s="169"/>
      <c r="L23" s="169"/>
    </row>
    <row r="24" spans="1:12" x14ac:dyDescent="0.25">
      <c r="B24" s="4" t="s">
        <v>26</v>
      </c>
      <c r="C24" s="8"/>
      <c r="D24" s="8"/>
      <c r="E24" s="8">
        <v>0.04</v>
      </c>
      <c r="F24" s="125">
        <f>E24</f>
        <v>0.04</v>
      </c>
      <c r="G24" s="125">
        <f t="shared" ref="G24:J24" si="13">F24</f>
        <v>0.04</v>
      </c>
      <c r="H24" s="125">
        <f t="shared" si="13"/>
        <v>0.04</v>
      </c>
      <c r="I24" s="125">
        <f t="shared" si="13"/>
        <v>0.04</v>
      </c>
      <c r="J24" s="125">
        <f t="shared" si="13"/>
        <v>0.04</v>
      </c>
      <c r="K24" s="169"/>
      <c r="L24" s="169"/>
    </row>
    <row r="25" spans="1:12" x14ac:dyDescent="0.25">
      <c r="F25" s="102"/>
      <c r="G25" s="102"/>
      <c r="H25" s="102"/>
      <c r="I25" s="102"/>
      <c r="J25" s="102"/>
      <c r="K25" s="169"/>
      <c r="L25" s="169"/>
    </row>
    <row r="26" spans="1:12" x14ac:dyDescent="0.25">
      <c r="B26" s="4" t="s">
        <v>27</v>
      </c>
      <c r="F26" s="100">
        <v>0</v>
      </c>
      <c r="G26" s="100">
        <v>0</v>
      </c>
      <c r="H26" s="100">
        <v>0</v>
      </c>
      <c r="I26" s="100">
        <v>0</v>
      </c>
      <c r="J26" s="100">
        <v>0</v>
      </c>
      <c r="K26" s="195"/>
      <c r="L26" s="195"/>
    </row>
    <row r="27" spans="1:12" x14ac:dyDescent="0.25">
      <c r="B27" s="4" t="s">
        <v>28</v>
      </c>
      <c r="F27" s="100">
        <v>0</v>
      </c>
      <c r="G27" s="100">
        <v>0</v>
      </c>
      <c r="H27" s="100">
        <v>0</v>
      </c>
      <c r="I27" s="100">
        <v>0</v>
      </c>
      <c r="J27" s="100">
        <v>0</v>
      </c>
      <c r="K27" s="195"/>
      <c r="L27" s="195"/>
    </row>
    <row r="28" spans="1:12" x14ac:dyDescent="0.25">
      <c r="F28" s="102"/>
      <c r="G28" s="102"/>
      <c r="H28" s="102"/>
      <c r="I28" s="102"/>
      <c r="J28" s="102"/>
      <c r="K28" s="169"/>
      <c r="L28" s="169"/>
    </row>
    <row r="29" spans="1:12" x14ac:dyDescent="0.25">
      <c r="A29" s="62" t="s">
        <v>124</v>
      </c>
      <c r="B29" s="105" t="s">
        <v>140</v>
      </c>
      <c r="C29" s="261">
        <f>C20</f>
        <v>2022</v>
      </c>
      <c r="D29" s="261">
        <f t="shared" ref="D29:J29" si="14">D20</f>
        <v>2023</v>
      </c>
      <c r="E29" s="261">
        <f t="shared" si="14"/>
        <v>2024</v>
      </c>
      <c r="F29" s="261">
        <f t="shared" si="14"/>
        <v>2025</v>
      </c>
      <c r="G29" s="261">
        <f t="shared" si="14"/>
        <v>2026</v>
      </c>
      <c r="H29" s="261">
        <f t="shared" si="14"/>
        <v>2027</v>
      </c>
      <c r="I29" s="261">
        <f t="shared" si="14"/>
        <v>2028</v>
      </c>
      <c r="J29" s="261">
        <f t="shared" si="14"/>
        <v>2029</v>
      </c>
      <c r="K29" s="197"/>
      <c r="L29" s="197"/>
    </row>
    <row r="30" spans="1:12" x14ac:dyDescent="0.25">
      <c r="A30" s="84"/>
      <c r="B30" s="157"/>
      <c r="C30" s="194"/>
      <c r="D30" s="194"/>
      <c r="E30" s="194"/>
      <c r="F30" s="196"/>
      <c r="G30" s="196"/>
      <c r="H30" s="196"/>
      <c r="I30" s="196"/>
      <c r="J30" s="196"/>
      <c r="K30" s="197"/>
      <c r="L30" s="197"/>
    </row>
    <row r="31" spans="1:12" x14ac:dyDescent="0.25">
      <c r="B31" s="4" t="s">
        <v>141</v>
      </c>
      <c r="C31" s="8">
        <f>78606/IncState!C15</f>
        <v>6.1223154605483492E-2</v>
      </c>
      <c r="D31" s="8">
        <f>98914/IncState!D15</f>
        <v>7.4191305469652996E-2</v>
      </c>
      <c r="E31" s="8">
        <f>76900/IncState!E15</f>
        <v>5.6656514172969609E-2</v>
      </c>
      <c r="F31" s="220">
        <f>AVERAGE(C31:E31)</f>
        <v>6.4023658082702037E-2</v>
      </c>
      <c r="G31" s="220">
        <f t="shared" ref="G31:J31" si="15">F31</f>
        <v>6.4023658082702037E-2</v>
      </c>
      <c r="H31" s="220">
        <f t="shared" si="15"/>
        <v>6.4023658082702037E-2</v>
      </c>
      <c r="I31" s="220">
        <f t="shared" si="15"/>
        <v>6.4023658082702037E-2</v>
      </c>
      <c r="J31" s="220">
        <f t="shared" si="15"/>
        <v>6.4023658082702037E-2</v>
      </c>
      <c r="K31" s="169"/>
      <c r="L31" s="169"/>
    </row>
    <row r="32" spans="1:12" x14ac:dyDescent="0.25">
      <c r="B32" s="4" t="s">
        <v>154</v>
      </c>
      <c r="D32" s="8">
        <f>IncState!D20/BalSheet!C24</f>
        <v>8.1050348213266357E-2</v>
      </c>
      <c r="E32" s="8">
        <f>IncState!E20/BalSheet!D24</f>
        <v>8.3110452528959267E-2</v>
      </c>
      <c r="F32" s="99">
        <f>E32</f>
        <v>8.3110452528959267E-2</v>
      </c>
      <c r="G32" s="99">
        <f t="shared" ref="G32:J32" si="16">F32</f>
        <v>8.3110452528959267E-2</v>
      </c>
      <c r="H32" s="99">
        <f t="shared" si="16"/>
        <v>8.3110452528959267E-2</v>
      </c>
      <c r="I32" s="99">
        <f t="shared" si="16"/>
        <v>8.3110452528959267E-2</v>
      </c>
      <c r="J32" s="99">
        <f t="shared" si="16"/>
        <v>8.3110452528959267E-2</v>
      </c>
      <c r="K32" s="169"/>
      <c r="L32" s="169"/>
    </row>
    <row r="33" spans="1:12" x14ac:dyDescent="0.25">
      <c r="B33" s="4" t="s">
        <v>142</v>
      </c>
      <c r="F33" s="104">
        <v>0</v>
      </c>
      <c r="G33" s="104">
        <v>0</v>
      </c>
      <c r="H33" s="104">
        <v>0</v>
      </c>
      <c r="I33" s="104">
        <v>0</v>
      </c>
      <c r="J33" s="104">
        <v>0</v>
      </c>
      <c r="K33" s="198"/>
      <c r="L33" s="198"/>
    </row>
    <row r="34" spans="1:12" x14ac:dyDescent="0.25">
      <c r="F34" s="29"/>
      <c r="G34" s="29"/>
      <c r="H34" s="29"/>
      <c r="I34" s="29"/>
      <c r="J34" s="29"/>
      <c r="K34" s="29"/>
      <c r="L34" s="29"/>
    </row>
    <row r="35" spans="1:12" x14ac:dyDescent="0.25">
      <c r="A35" s="62" t="s">
        <v>124</v>
      </c>
      <c r="B35" s="105" t="s">
        <v>129</v>
      </c>
      <c r="C35" s="261">
        <f>C29</f>
        <v>2022</v>
      </c>
      <c r="D35" s="261">
        <f t="shared" ref="D35:J35" si="17">D29</f>
        <v>2023</v>
      </c>
      <c r="E35" s="261">
        <f t="shared" si="17"/>
        <v>2024</v>
      </c>
      <c r="F35" s="261">
        <f t="shared" si="17"/>
        <v>2025</v>
      </c>
      <c r="G35" s="261">
        <f t="shared" si="17"/>
        <v>2026</v>
      </c>
      <c r="H35" s="261">
        <f t="shared" si="17"/>
        <v>2027</v>
      </c>
      <c r="I35" s="261">
        <f t="shared" si="17"/>
        <v>2028</v>
      </c>
      <c r="J35" s="261">
        <f t="shared" si="17"/>
        <v>2029</v>
      </c>
      <c r="K35" s="197"/>
      <c r="L35" s="197"/>
    </row>
    <row r="36" spans="1:12" x14ac:dyDescent="0.25">
      <c r="A36" s="84"/>
      <c r="B36" s="157"/>
      <c r="C36" s="194"/>
      <c r="D36" s="194"/>
      <c r="E36" s="194"/>
      <c r="F36" s="259"/>
      <c r="G36" s="259"/>
      <c r="H36" s="259"/>
      <c r="I36" s="259"/>
      <c r="J36" s="259"/>
      <c r="K36" s="197"/>
      <c r="L36" s="197"/>
    </row>
    <row r="37" spans="1:12" x14ac:dyDescent="0.25">
      <c r="B37" s="4" t="s">
        <v>139</v>
      </c>
      <c r="C37" s="8">
        <f>BalSheet!C17/IncState!C15</f>
        <v>0.01</v>
      </c>
      <c r="D37" s="8">
        <f>BalSheet!D17/IncState!D15</f>
        <v>0.01</v>
      </c>
      <c r="E37" s="8">
        <f>BalSheet!E17/IncState!E15</f>
        <v>0.01</v>
      </c>
      <c r="F37" s="99">
        <f>E37</f>
        <v>0.01</v>
      </c>
      <c r="G37" s="99">
        <f t="shared" ref="G37:J37" si="18">F37</f>
        <v>0.01</v>
      </c>
      <c r="H37" s="99">
        <f t="shared" si="18"/>
        <v>0.01</v>
      </c>
      <c r="I37" s="99">
        <f t="shared" si="18"/>
        <v>0.01</v>
      </c>
      <c r="J37" s="99">
        <f t="shared" si="18"/>
        <v>0.01</v>
      </c>
      <c r="K37" s="169"/>
      <c r="L37" s="169"/>
    </row>
    <row r="38" spans="1:12" x14ac:dyDescent="0.25">
      <c r="B38" s="4" t="s">
        <v>152</v>
      </c>
      <c r="C38" s="8">
        <f>BalSheet!C19/IncState!C15</f>
        <v>2.2269975060867996E-2</v>
      </c>
      <c r="D38" s="8">
        <f>BalSheet!D19/IncState!D15</f>
        <v>1.4602892676351925E-2</v>
      </c>
      <c r="E38" s="8">
        <f>BalSheet!E19/IncState!E15</f>
        <v>1.5031290015044552E-2</v>
      </c>
      <c r="F38" s="99">
        <f>E38</f>
        <v>1.5031290015044552E-2</v>
      </c>
      <c r="G38" s="99">
        <f t="shared" ref="G38:J38" si="19">F38</f>
        <v>1.5031290015044552E-2</v>
      </c>
      <c r="H38" s="99">
        <f t="shared" si="19"/>
        <v>1.5031290015044552E-2</v>
      </c>
      <c r="I38" s="99">
        <f t="shared" si="19"/>
        <v>1.5031290015044552E-2</v>
      </c>
      <c r="J38" s="99">
        <f t="shared" si="19"/>
        <v>1.5031290015044552E-2</v>
      </c>
      <c r="K38" s="169"/>
      <c r="L38" s="169"/>
    </row>
    <row r="39" spans="1:12" x14ac:dyDescent="0.25">
      <c r="B39" s="4" t="s">
        <v>63</v>
      </c>
      <c r="C39" s="8">
        <f>BalSheet!C20/IncState!C16</f>
        <v>1.0434863522484072E-2</v>
      </c>
      <c r="D39" s="8">
        <f>BalSheet!D20/IncState!D16</f>
        <v>1.1463145705279884E-2</v>
      </c>
      <c r="E39" s="8">
        <f>BalSheet!E20/IncState!E16</f>
        <v>1.0990704212500721E-2</v>
      </c>
      <c r="F39" s="99">
        <f t="shared" ref="F39:J39" si="20">E39</f>
        <v>1.0990704212500721E-2</v>
      </c>
      <c r="G39" s="99">
        <f t="shared" si="20"/>
        <v>1.0990704212500721E-2</v>
      </c>
      <c r="H39" s="99">
        <f t="shared" si="20"/>
        <v>1.0990704212500721E-2</v>
      </c>
      <c r="I39" s="99">
        <f t="shared" si="20"/>
        <v>1.0990704212500721E-2</v>
      </c>
      <c r="J39" s="99">
        <f t="shared" si="20"/>
        <v>1.0990704212500721E-2</v>
      </c>
      <c r="K39" s="169"/>
      <c r="L39" s="169"/>
    </row>
    <row r="40" spans="1:12" x14ac:dyDescent="0.25">
      <c r="B40" s="4" t="s">
        <v>64</v>
      </c>
      <c r="C40" s="8">
        <f>BalSheet!C21/IncState!C15</f>
        <v>1.3166646675898766E-2</v>
      </c>
      <c r="D40" s="8">
        <f>BalSheet!D21/IncState!D15</f>
        <v>1.5928996443971742E-2</v>
      </c>
      <c r="E40" s="8">
        <f>BalSheet!E21/IncState!E15</f>
        <v>1.4955404176815476E-2</v>
      </c>
      <c r="F40" s="99">
        <f t="shared" ref="F40:J40" si="21">E40</f>
        <v>1.4955404176815476E-2</v>
      </c>
      <c r="G40" s="99">
        <f t="shared" si="21"/>
        <v>1.4955404176815476E-2</v>
      </c>
      <c r="H40" s="99">
        <f t="shared" si="21"/>
        <v>1.4955404176815476E-2</v>
      </c>
      <c r="I40" s="99">
        <f t="shared" si="21"/>
        <v>1.4955404176815476E-2</v>
      </c>
      <c r="J40" s="99">
        <f t="shared" si="21"/>
        <v>1.4955404176815476E-2</v>
      </c>
      <c r="K40" s="169"/>
      <c r="L40" s="169"/>
    </row>
    <row r="41" spans="1:12" x14ac:dyDescent="0.25">
      <c r="E41" s="8"/>
      <c r="F41" s="102"/>
      <c r="G41" s="102"/>
      <c r="H41" s="102"/>
      <c r="I41" s="102"/>
      <c r="J41" s="102"/>
      <c r="K41" s="169"/>
      <c r="L41" s="169"/>
    </row>
    <row r="42" spans="1:12" x14ac:dyDescent="0.25">
      <c r="B42" s="4" t="s">
        <v>176</v>
      </c>
      <c r="C42" s="4">
        <f>BalSheet!C26</f>
        <v>5000</v>
      </c>
      <c r="D42" s="4">
        <f>BalSheet!D26</f>
        <v>4770</v>
      </c>
      <c r="E42" s="4">
        <f>BalSheet!E26</f>
        <v>4266</v>
      </c>
      <c r="F42" s="100">
        <f>E42</f>
        <v>4266</v>
      </c>
      <c r="G42" s="100">
        <f t="shared" ref="G42:J42" si="22">F42</f>
        <v>4266</v>
      </c>
      <c r="H42" s="100">
        <f t="shared" si="22"/>
        <v>4266</v>
      </c>
      <c r="I42" s="100">
        <f t="shared" si="22"/>
        <v>4266</v>
      </c>
      <c r="J42" s="100">
        <f t="shared" si="22"/>
        <v>4266</v>
      </c>
      <c r="K42" s="195"/>
      <c r="L42" s="195"/>
    </row>
    <row r="43" spans="1:12" x14ac:dyDescent="0.25">
      <c r="B43" s="4" t="s">
        <v>65</v>
      </c>
      <c r="C43" s="8">
        <f>BalSheet!C27/IncState!C15</f>
        <v>6.0822041145673501E-2</v>
      </c>
      <c r="D43" s="8">
        <f>BalSheet!D27/IncState!D15</f>
        <v>6.8037073901032752E-2</v>
      </c>
      <c r="E43" s="8">
        <f>BalSheet!E27/IncState!E15</f>
        <v>7.7391030146570186E-2</v>
      </c>
      <c r="F43" s="99">
        <f>E43</f>
        <v>7.7391030146570186E-2</v>
      </c>
      <c r="G43" s="99">
        <f t="shared" ref="G43:J43" si="23">F43</f>
        <v>7.7391030146570186E-2</v>
      </c>
      <c r="H43" s="99">
        <f t="shared" si="23"/>
        <v>7.7391030146570186E-2</v>
      </c>
      <c r="I43" s="99">
        <f t="shared" si="23"/>
        <v>7.7391030146570186E-2</v>
      </c>
      <c r="J43" s="99">
        <f t="shared" si="23"/>
        <v>7.7391030146570186E-2</v>
      </c>
      <c r="K43" s="169"/>
      <c r="L43" s="169"/>
    </row>
    <row r="44" spans="1:12" x14ac:dyDescent="0.25">
      <c r="F44" s="29"/>
      <c r="G44" s="29"/>
      <c r="H44" s="29"/>
      <c r="I44" s="29"/>
      <c r="J44" s="29"/>
      <c r="K44" s="29"/>
      <c r="L44" s="29"/>
    </row>
    <row r="45" spans="1:12" x14ac:dyDescent="0.25">
      <c r="A45" s="62" t="s">
        <v>124</v>
      </c>
      <c r="B45" s="105" t="s">
        <v>130</v>
      </c>
      <c r="C45" s="261">
        <f>C35</f>
        <v>2022</v>
      </c>
      <c r="D45" s="261">
        <f t="shared" ref="D45:J45" si="24">D35</f>
        <v>2023</v>
      </c>
      <c r="E45" s="261">
        <f t="shared" si="24"/>
        <v>2024</v>
      </c>
      <c r="F45" s="261">
        <f t="shared" si="24"/>
        <v>2025</v>
      </c>
      <c r="G45" s="261">
        <f t="shared" si="24"/>
        <v>2026</v>
      </c>
      <c r="H45" s="261">
        <f t="shared" si="24"/>
        <v>2027</v>
      </c>
      <c r="I45" s="261">
        <f t="shared" si="24"/>
        <v>2028</v>
      </c>
      <c r="J45" s="261">
        <f t="shared" si="24"/>
        <v>2029</v>
      </c>
      <c r="K45" s="197"/>
      <c r="L45" s="197"/>
    </row>
    <row r="46" spans="1:12" x14ac:dyDescent="0.25">
      <c r="A46" s="84"/>
      <c r="B46" s="157"/>
      <c r="C46" s="194"/>
      <c r="D46" s="194"/>
      <c r="E46" s="194"/>
      <c r="F46" s="259"/>
      <c r="G46" s="259"/>
      <c r="H46" s="259"/>
      <c r="I46" s="259"/>
      <c r="J46" s="259"/>
      <c r="K46" s="197"/>
      <c r="L46" s="197"/>
    </row>
    <row r="47" spans="1:12" x14ac:dyDescent="0.25">
      <c r="B47" s="4" t="s">
        <v>153</v>
      </c>
      <c r="C47" s="8">
        <f>BalSheet!C33/IncState!C16</f>
        <v>5.228668091105567E-2</v>
      </c>
      <c r="D47" s="8">
        <f>BalSheet!D33/IncState!D16</f>
        <v>5.248294592026255E-2</v>
      </c>
      <c r="E47" s="8">
        <f>BalSheet!E33/IncState!E16</f>
        <v>4.3910308003122983E-2</v>
      </c>
      <c r="F47" s="99">
        <f t="shared" ref="F47:J47" si="25">E47</f>
        <v>4.3910308003122983E-2</v>
      </c>
      <c r="G47" s="99">
        <f t="shared" si="25"/>
        <v>4.3910308003122983E-2</v>
      </c>
      <c r="H47" s="99">
        <f t="shared" si="25"/>
        <v>4.3910308003122983E-2</v>
      </c>
      <c r="I47" s="99">
        <f t="shared" si="25"/>
        <v>4.3910308003122983E-2</v>
      </c>
      <c r="J47" s="99">
        <f t="shared" si="25"/>
        <v>4.3910308003122983E-2</v>
      </c>
      <c r="K47" s="169"/>
      <c r="L47" s="169"/>
    </row>
    <row r="48" spans="1:12" x14ac:dyDescent="0.25">
      <c r="B48" s="4" t="s">
        <v>66</v>
      </c>
      <c r="C48" s="8">
        <f>BalSheet!C34/IncState!C15</f>
        <v>0.10693373294099504</v>
      </c>
      <c r="D48" s="8">
        <f>BalSheet!D34/IncState!D15</f>
        <v>0.10402113965417793</v>
      </c>
      <c r="E48" s="8">
        <f>BalSheet!E34/IncState!E15</f>
        <v>0.10704913129134121</v>
      </c>
      <c r="F48" s="99">
        <f t="shared" ref="F48:J48" si="26">E48</f>
        <v>0.10704913129134121</v>
      </c>
      <c r="G48" s="99">
        <f t="shared" si="26"/>
        <v>0.10704913129134121</v>
      </c>
      <c r="H48" s="99">
        <f t="shared" si="26"/>
        <v>0.10704913129134121</v>
      </c>
      <c r="I48" s="99">
        <f t="shared" si="26"/>
        <v>0.10704913129134121</v>
      </c>
      <c r="J48" s="99">
        <f t="shared" si="26"/>
        <v>0.10704913129134121</v>
      </c>
      <c r="K48" s="169"/>
      <c r="L48" s="169"/>
    </row>
    <row r="49" spans="2:12" x14ac:dyDescent="0.25">
      <c r="B49" s="4" t="s">
        <v>67</v>
      </c>
      <c r="C49" s="8">
        <f>BalSheet!C38/IncState!C15</f>
        <v>0.34546305628205987</v>
      </c>
      <c r="D49" s="8">
        <f>BalSheet!D38/IncState!D15</f>
        <v>0.31907346749883181</v>
      </c>
      <c r="E49" s="8">
        <f>BalSheet!E38/IncState!E15</f>
        <v>0.30077167793166149</v>
      </c>
      <c r="F49" s="99">
        <f t="shared" ref="F49:J49" si="27">E49</f>
        <v>0.30077167793166149</v>
      </c>
      <c r="G49" s="99">
        <f t="shared" si="27"/>
        <v>0.30077167793166149</v>
      </c>
      <c r="H49" s="99">
        <f t="shared" si="27"/>
        <v>0.30077167793166149</v>
      </c>
      <c r="I49" s="99">
        <f t="shared" si="27"/>
        <v>0.30077167793166149</v>
      </c>
      <c r="J49" s="99">
        <f t="shared" si="27"/>
        <v>0.30077167793166149</v>
      </c>
      <c r="K49" s="169"/>
      <c r="L49" s="169"/>
    </row>
    <row r="50" spans="2:12" x14ac:dyDescent="0.25">
      <c r="F50" s="120"/>
      <c r="G50" s="29"/>
      <c r="H50" s="29"/>
      <c r="I50" s="29"/>
      <c r="J50" s="29"/>
    </row>
    <row r="51" spans="2:12" x14ac:dyDescent="0.25">
      <c r="F51" s="121"/>
      <c r="G51" s="93"/>
      <c r="H51" s="93"/>
      <c r="I51" s="93"/>
      <c r="J51" s="93"/>
    </row>
    <row r="52" spans="2:12" x14ac:dyDescent="0.25">
      <c r="F52" s="93"/>
      <c r="G52" s="93"/>
      <c r="H52" s="93"/>
      <c r="I52" s="93"/>
      <c r="J52" s="93"/>
    </row>
  </sheetData>
  <scenarios current="0">
    <scenario name="Pessimistic" locked="1" count="1" user="Alan Chen" comment="Created by Alan Chen on 9/28/2025">
      <inputCells r="D4" val=""/>
    </scenario>
  </scenarios>
  <dataConsolidate/>
  <conditionalFormatting sqref="D4:D5 B6 D6:E6 M6:M7 N7:T7 D7:D8 M9:N11 K20:L20 F21:L28 K29:L29 F30:L33 K35:L43 F37:J43 K45:L49 F47:J49 F51:J52 F11:L19 F6:K8">
    <cfRule type="expression" dxfId="4" priority="14">
      <formula>$E$10&gt;1</formula>
    </cfRule>
  </conditionalFormatting>
  <conditionalFormatting sqref="E7">
    <cfRule type="expression" dxfId="3" priority="32">
      <formula>$E$10&lt;&gt;2</formula>
    </cfRule>
  </conditionalFormatting>
  <conditionalFormatting sqref="E8">
    <cfRule type="expression" dxfId="2" priority="33">
      <formula>$E$10&lt;&gt;3</formula>
    </cfRule>
  </conditionalFormatting>
  <dataValidations disablePrompts="1" count="1">
    <dataValidation type="list" allowBlank="1" showInputMessage="1" showErrorMessage="1" sqref="D4 M4" xr:uid="{FF8E3CD2-0581-4318-AB93-6B284CEDF514}">
      <formula1>"1,2,3"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autoPageBreaks="0" fitToPage="1"/>
  </sheetPr>
  <dimension ref="A1:M39"/>
  <sheetViews>
    <sheetView showGridLines="0" topLeftCell="C1" zoomScaleNormal="100" workbookViewId="0">
      <selection activeCell="F25" sqref="F6:J25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3" width="10.7109375" style="4" customWidth="1"/>
    <col min="264" max="509" width="8.85546875" style="4"/>
    <col min="510" max="510" width="1.7109375" style="4" customWidth="1"/>
    <col min="511" max="511" width="40.7109375" style="4" customWidth="1"/>
    <col min="512" max="519" width="10.7109375" style="4" customWidth="1"/>
    <col min="520" max="765" width="8.85546875" style="4"/>
    <col min="766" max="766" width="1.7109375" style="4" customWidth="1"/>
    <col min="767" max="767" width="40.7109375" style="4" customWidth="1"/>
    <col min="768" max="775" width="10.7109375" style="4" customWidth="1"/>
    <col min="776" max="1021" width="8.85546875" style="4"/>
    <col min="1022" max="1022" width="1.7109375" style="4" customWidth="1"/>
    <col min="1023" max="1023" width="40.7109375" style="4" customWidth="1"/>
    <col min="1024" max="1031" width="10.7109375" style="4" customWidth="1"/>
    <col min="1032" max="1277" width="8.85546875" style="4"/>
    <col min="1278" max="1278" width="1.7109375" style="4" customWidth="1"/>
    <col min="1279" max="1279" width="40.7109375" style="4" customWidth="1"/>
    <col min="1280" max="1287" width="10.7109375" style="4" customWidth="1"/>
    <col min="1288" max="1533" width="8.85546875" style="4"/>
    <col min="1534" max="1534" width="1.7109375" style="4" customWidth="1"/>
    <col min="1535" max="1535" width="40.7109375" style="4" customWidth="1"/>
    <col min="1536" max="1543" width="10.7109375" style="4" customWidth="1"/>
    <col min="1544" max="1789" width="8.85546875" style="4"/>
    <col min="1790" max="1790" width="1.7109375" style="4" customWidth="1"/>
    <col min="1791" max="1791" width="40.7109375" style="4" customWidth="1"/>
    <col min="1792" max="1799" width="10.7109375" style="4" customWidth="1"/>
    <col min="1800" max="2045" width="8.85546875" style="4"/>
    <col min="2046" max="2046" width="1.7109375" style="4" customWidth="1"/>
    <col min="2047" max="2047" width="40.7109375" style="4" customWidth="1"/>
    <col min="2048" max="2055" width="10.7109375" style="4" customWidth="1"/>
    <col min="2056" max="2301" width="8.85546875" style="4"/>
    <col min="2302" max="2302" width="1.7109375" style="4" customWidth="1"/>
    <col min="2303" max="2303" width="40.7109375" style="4" customWidth="1"/>
    <col min="2304" max="2311" width="10.7109375" style="4" customWidth="1"/>
    <col min="2312" max="2557" width="8.85546875" style="4"/>
    <col min="2558" max="2558" width="1.7109375" style="4" customWidth="1"/>
    <col min="2559" max="2559" width="40.7109375" style="4" customWidth="1"/>
    <col min="2560" max="2567" width="10.7109375" style="4" customWidth="1"/>
    <col min="2568" max="2813" width="8.85546875" style="4"/>
    <col min="2814" max="2814" width="1.7109375" style="4" customWidth="1"/>
    <col min="2815" max="2815" width="40.7109375" style="4" customWidth="1"/>
    <col min="2816" max="2823" width="10.7109375" style="4" customWidth="1"/>
    <col min="2824" max="3069" width="8.85546875" style="4"/>
    <col min="3070" max="3070" width="1.7109375" style="4" customWidth="1"/>
    <col min="3071" max="3071" width="40.7109375" style="4" customWidth="1"/>
    <col min="3072" max="3079" width="10.7109375" style="4" customWidth="1"/>
    <col min="3080" max="3325" width="8.85546875" style="4"/>
    <col min="3326" max="3326" width="1.7109375" style="4" customWidth="1"/>
    <col min="3327" max="3327" width="40.7109375" style="4" customWidth="1"/>
    <col min="3328" max="3335" width="10.7109375" style="4" customWidth="1"/>
    <col min="3336" max="3581" width="8.85546875" style="4"/>
    <col min="3582" max="3582" width="1.7109375" style="4" customWidth="1"/>
    <col min="3583" max="3583" width="40.7109375" style="4" customWidth="1"/>
    <col min="3584" max="3591" width="10.7109375" style="4" customWidth="1"/>
    <col min="3592" max="3837" width="8.85546875" style="4"/>
    <col min="3838" max="3838" width="1.7109375" style="4" customWidth="1"/>
    <col min="3839" max="3839" width="40.7109375" style="4" customWidth="1"/>
    <col min="3840" max="3847" width="10.7109375" style="4" customWidth="1"/>
    <col min="3848" max="4093" width="8.85546875" style="4"/>
    <col min="4094" max="4094" width="1.7109375" style="4" customWidth="1"/>
    <col min="4095" max="4095" width="40.7109375" style="4" customWidth="1"/>
    <col min="4096" max="4103" width="10.7109375" style="4" customWidth="1"/>
    <col min="4104" max="4349" width="8.85546875" style="4"/>
    <col min="4350" max="4350" width="1.7109375" style="4" customWidth="1"/>
    <col min="4351" max="4351" width="40.7109375" style="4" customWidth="1"/>
    <col min="4352" max="4359" width="10.7109375" style="4" customWidth="1"/>
    <col min="4360" max="4605" width="8.85546875" style="4"/>
    <col min="4606" max="4606" width="1.7109375" style="4" customWidth="1"/>
    <col min="4607" max="4607" width="40.7109375" style="4" customWidth="1"/>
    <col min="4608" max="4615" width="10.7109375" style="4" customWidth="1"/>
    <col min="4616" max="4861" width="8.85546875" style="4"/>
    <col min="4862" max="4862" width="1.7109375" style="4" customWidth="1"/>
    <col min="4863" max="4863" width="40.7109375" style="4" customWidth="1"/>
    <col min="4864" max="4871" width="10.7109375" style="4" customWidth="1"/>
    <col min="4872" max="5117" width="8.85546875" style="4"/>
    <col min="5118" max="5118" width="1.7109375" style="4" customWidth="1"/>
    <col min="5119" max="5119" width="40.7109375" style="4" customWidth="1"/>
    <col min="5120" max="5127" width="10.7109375" style="4" customWidth="1"/>
    <col min="5128" max="5373" width="8.85546875" style="4"/>
    <col min="5374" max="5374" width="1.7109375" style="4" customWidth="1"/>
    <col min="5375" max="5375" width="40.7109375" style="4" customWidth="1"/>
    <col min="5376" max="5383" width="10.7109375" style="4" customWidth="1"/>
    <col min="5384" max="5629" width="8.85546875" style="4"/>
    <col min="5630" max="5630" width="1.7109375" style="4" customWidth="1"/>
    <col min="5631" max="5631" width="40.7109375" style="4" customWidth="1"/>
    <col min="5632" max="5639" width="10.7109375" style="4" customWidth="1"/>
    <col min="5640" max="5885" width="8.85546875" style="4"/>
    <col min="5886" max="5886" width="1.7109375" style="4" customWidth="1"/>
    <col min="5887" max="5887" width="40.7109375" style="4" customWidth="1"/>
    <col min="5888" max="5895" width="10.7109375" style="4" customWidth="1"/>
    <col min="5896" max="6141" width="8.85546875" style="4"/>
    <col min="6142" max="6142" width="1.7109375" style="4" customWidth="1"/>
    <col min="6143" max="6143" width="40.7109375" style="4" customWidth="1"/>
    <col min="6144" max="6151" width="10.7109375" style="4" customWidth="1"/>
    <col min="6152" max="6397" width="8.85546875" style="4"/>
    <col min="6398" max="6398" width="1.7109375" style="4" customWidth="1"/>
    <col min="6399" max="6399" width="40.7109375" style="4" customWidth="1"/>
    <col min="6400" max="6407" width="10.7109375" style="4" customWidth="1"/>
    <col min="6408" max="6653" width="8.85546875" style="4"/>
    <col min="6654" max="6654" width="1.7109375" style="4" customWidth="1"/>
    <col min="6655" max="6655" width="40.7109375" style="4" customWidth="1"/>
    <col min="6656" max="6663" width="10.7109375" style="4" customWidth="1"/>
    <col min="6664" max="6909" width="8.85546875" style="4"/>
    <col min="6910" max="6910" width="1.7109375" style="4" customWidth="1"/>
    <col min="6911" max="6911" width="40.7109375" style="4" customWidth="1"/>
    <col min="6912" max="6919" width="10.7109375" style="4" customWidth="1"/>
    <col min="6920" max="7165" width="8.85546875" style="4"/>
    <col min="7166" max="7166" width="1.7109375" style="4" customWidth="1"/>
    <col min="7167" max="7167" width="40.7109375" style="4" customWidth="1"/>
    <col min="7168" max="7175" width="10.7109375" style="4" customWidth="1"/>
    <col min="7176" max="7421" width="8.85546875" style="4"/>
    <col min="7422" max="7422" width="1.7109375" style="4" customWidth="1"/>
    <col min="7423" max="7423" width="40.7109375" style="4" customWidth="1"/>
    <col min="7424" max="7431" width="10.7109375" style="4" customWidth="1"/>
    <col min="7432" max="7677" width="8.85546875" style="4"/>
    <col min="7678" max="7678" width="1.7109375" style="4" customWidth="1"/>
    <col min="7679" max="7679" width="40.7109375" style="4" customWidth="1"/>
    <col min="7680" max="7687" width="10.7109375" style="4" customWidth="1"/>
    <col min="7688" max="7933" width="8.85546875" style="4"/>
    <col min="7934" max="7934" width="1.7109375" style="4" customWidth="1"/>
    <col min="7935" max="7935" width="40.7109375" style="4" customWidth="1"/>
    <col min="7936" max="7943" width="10.7109375" style="4" customWidth="1"/>
    <col min="7944" max="8189" width="8.85546875" style="4"/>
    <col min="8190" max="8190" width="1.7109375" style="4" customWidth="1"/>
    <col min="8191" max="8191" width="40.7109375" style="4" customWidth="1"/>
    <col min="8192" max="8199" width="10.7109375" style="4" customWidth="1"/>
    <col min="8200" max="8445" width="8.85546875" style="4"/>
    <col min="8446" max="8446" width="1.7109375" style="4" customWidth="1"/>
    <col min="8447" max="8447" width="40.7109375" style="4" customWidth="1"/>
    <col min="8448" max="8455" width="10.7109375" style="4" customWidth="1"/>
    <col min="8456" max="8701" width="8.85546875" style="4"/>
    <col min="8702" max="8702" width="1.7109375" style="4" customWidth="1"/>
    <col min="8703" max="8703" width="40.7109375" style="4" customWidth="1"/>
    <col min="8704" max="8711" width="10.7109375" style="4" customWidth="1"/>
    <col min="8712" max="8957" width="8.85546875" style="4"/>
    <col min="8958" max="8958" width="1.7109375" style="4" customWidth="1"/>
    <col min="8959" max="8959" width="40.7109375" style="4" customWidth="1"/>
    <col min="8960" max="8967" width="10.7109375" style="4" customWidth="1"/>
    <col min="8968" max="9213" width="8.85546875" style="4"/>
    <col min="9214" max="9214" width="1.7109375" style="4" customWidth="1"/>
    <col min="9215" max="9215" width="40.7109375" style="4" customWidth="1"/>
    <col min="9216" max="9223" width="10.7109375" style="4" customWidth="1"/>
    <col min="9224" max="9469" width="8.85546875" style="4"/>
    <col min="9470" max="9470" width="1.7109375" style="4" customWidth="1"/>
    <col min="9471" max="9471" width="40.7109375" style="4" customWidth="1"/>
    <col min="9472" max="9479" width="10.7109375" style="4" customWidth="1"/>
    <col min="9480" max="9725" width="8.85546875" style="4"/>
    <col min="9726" max="9726" width="1.7109375" style="4" customWidth="1"/>
    <col min="9727" max="9727" width="40.7109375" style="4" customWidth="1"/>
    <col min="9728" max="9735" width="10.7109375" style="4" customWidth="1"/>
    <col min="9736" max="9981" width="8.85546875" style="4"/>
    <col min="9982" max="9982" width="1.7109375" style="4" customWidth="1"/>
    <col min="9983" max="9983" width="40.7109375" style="4" customWidth="1"/>
    <col min="9984" max="9991" width="10.7109375" style="4" customWidth="1"/>
    <col min="9992" max="10237" width="8.85546875" style="4"/>
    <col min="10238" max="10238" width="1.7109375" style="4" customWidth="1"/>
    <col min="10239" max="10239" width="40.7109375" style="4" customWidth="1"/>
    <col min="10240" max="10247" width="10.7109375" style="4" customWidth="1"/>
    <col min="10248" max="10493" width="8.85546875" style="4"/>
    <col min="10494" max="10494" width="1.7109375" style="4" customWidth="1"/>
    <col min="10495" max="10495" width="40.7109375" style="4" customWidth="1"/>
    <col min="10496" max="10503" width="10.7109375" style="4" customWidth="1"/>
    <col min="10504" max="10749" width="8.85546875" style="4"/>
    <col min="10750" max="10750" width="1.7109375" style="4" customWidth="1"/>
    <col min="10751" max="10751" width="40.7109375" style="4" customWidth="1"/>
    <col min="10752" max="10759" width="10.7109375" style="4" customWidth="1"/>
    <col min="10760" max="11005" width="8.85546875" style="4"/>
    <col min="11006" max="11006" width="1.7109375" style="4" customWidth="1"/>
    <col min="11007" max="11007" width="40.7109375" style="4" customWidth="1"/>
    <col min="11008" max="11015" width="10.7109375" style="4" customWidth="1"/>
    <col min="11016" max="11261" width="8.85546875" style="4"/>
    <col min="11262" max="11262" width="1.7109375" style="4" customWidth="1"/>
    <col min="11263" max="11263" width="40.7109375" style="4" customWidth="1"/>
    <col min="11264" max="11271" width="10.7109375" style="4" customWidth="1"/>
    <col min="11272" max="11517" width="8.85546875" style="4"/>
    <col min="11518" max="11518" width="1.7109375" style="4" customWidth="1"/>
    <col min="11519" max="11519" width="40.7109375" style="4" customWidth="1"/>
    <col min="11520" max="11527" width="10.7109375" style="4" customWidth="1"/>
    <col min="11528" max="11773" width="8.85546875" style="4"/>
    <col min="11774" max="11774" width="1.7109375" style="4" customWidth="1"/>
    <col min="11775" max="11775" width="40.7109375" style="4" customWidth="1"/>
    <col min="11776" max="11783" width="10.7109375" style="4" customWidth="1"/>
    <col min="11784" max="12029" width="8.85546875" style="4"/>
    <col min="12030" max="12030" width="1.7109375" style="4" customWidth="1"/>
    <col min="12031" max="12031" width="40.7109375" style="4" customWidth="1"/>
    <col min="12032" max="12039" width="10.7109375" style="4" customWidth="1"/>
    <col min="12040" max="12285" width="8.85546875" style="4"/>
    <col min="12286" max="12286" width="1.7109375" style="4" customWidth="1"/>
    <col min="12287" max="12287" width="40.7109375" style="4" customWidth="1"/>
    <col min="12288" max="12295" width="10.7109375" style="4" customWidth="1"/>
    <col min="12296" max="12541" width="8.85546875" style="4"/>
    <col min="12542" max="12542" width="1.7109375" style="4" customWidth="1"/>
    <col min="12543" max="12543" width="40.7109375" style="4" customWidth="1"/>
    <col min="12544" max="12551" width="10.7109375" style="4" customWidth="1"/>
    <col min="12552" max="12797" width="8.85546875" style="4"/>
    <col min="12798" max="12798" width="1.7109375" style="4" customWidth="1"/>
    <col min="12799" max="12799" width="40.7109375" style="4" customWidth="1"/>
    <col min="12800" max="12807" width="10.7109375" style="4" customWidth="1"/>
    <col min="12808" max="13053" width="8.85546875" style="4"/>
    <col min="13054" max="13054" width="1.7109375" style="4" customWidth="1"/>
    <col min="13055" max="13055" width="40.7109375" style="4" customWidth="1"/>
    <col min="13056" max="13063" width="10.7109375" style="4" customWidth="1"/>
    <col min="13064" max="13309" width="8.85546875" style="4"/>
    <col min="13310" max="13310" width="1.7109375" style="4" customWidth="1"/>
    <col min="13311" max="13311" width="40.7109375" style="4" customWidth="1"/>
    <col min="13312" max="13319" width="10.7109375" style="4" customWidth="1"/>
    <col min="13320" max="13565" width="8.85546875" style="4"/>
    <col min="13566" max="13566" width="1.7109375" style="4" customWidth="1"/>
    <col min="13567" max="13567" width="40.7109375" style="4" customWidth="1"/>
    <col min="13568" max="13575" width="10.7109375" style="4" customWidth="1"/>
    <col min="13576" max="13821" width="8.85546875" style="4"/>
    <col min="13822" max="13822" width="1.7109375" style="4" customWidth="1"/>
    <col min="13823" max="13823" width="40.7109375" style="4" customWidth="1"/>
    <col min="13824" max="13831" width="10.7109375" style="4" customWidth="1"/>
    <col min="13832" max="14077" width="8.85546875" style="4"/>
    <col min="14078" max="14078" width="1.7109375" style="4" customWidth="1"/>
    <col min="14079" max="14079" width="40.7109375" style="4" customWidth="1"/>
    <col min="14080" max="14087" width="10.7109375" style="4" customWidth="1"/>
    <col min="14088" max="14333" width="8.85546875" style="4"/>
    <col min="14334" max="14334" width="1.7109375" style="4" customWidth="1"/>
    <col min="14335" max="14335" width="40.7109375" style="4" customWidth="1"/>
    <col min="14336" max="14343" width="10.7109375" style="4" customWidth="1"/>
    <col min="14344" max="14589" width="8.85546875" style="4"/>
    <col min="14590" max="14590" width="1.7109375" style="4" customWidth="1"/>
    <col min="14591" max="14591" width="40.7109375" style="4" customWidth="1"/>
    <col min="14592" max="14599" width="10.7109375" style="4" customWidth="1"/>
    <col min="14600" max="14845" width="8.85546875" style="4"/>
    <col min="14846" max="14846" width="1.7109375" style="4" customWidth="1"/>
    <col min="14847" max="14847" width="40.7109375" style="4" customWidth="1"/>
    <col min="14848" max="14855" width="10.7109375" style="4" customWidth="1"/>
    <col min="14856" max="15101" width="8.85546875" style="4"/>
    <col min="15102" max="15102" width="1.7109375" style="4" customWidth="1"/>
    <col min="15103" max="15103" width="40.7109375" style="4" customWidth="1"/>
    <col min="15104" max="15111" width="10.7109375" style="4" customWidth="1"/>
    <col min="15112" max="15357" width="8.85546875" style="4"/>
    <col min="15358" max="15358" width="1.7109375" style="4" customWidth="1"/>
    <col min="15359" max="15359" width="40.7109375" style="4" customWidth="1"/>
    <col min="15360" max="15367" width="10.7109375" style="4" customWidth="1"/>
    <col min="15368" max="15613" width="8.85546875" style="4"/>
    <col min="15614" max="15614" width="1.7109375" style="4" customWidth="1"/>
    <col min="15615" max="15615" width="40.7109375" style="4" customWidth="1"/>
    <col min="15616" max="15623" width="10.7109375" style="4" customWidth="1"/>
    <col min="15624" max="15869" width="8.85546875" style="4"/>
    <col min="15870" max="15870" width="1.7109375" style="4" customWidth="1"/>
    <col min="15871" max="15871" width="40.7109375" style="4" customWidth="1"/>
    <col min="15872" max="15879" width="10.7109375" style="4" customWidth="1"/>
    <col min="15880" max="16125" width="8.85546875" style="4"/>
    <col min="16126" max="16126" width="1.7109375" style="4" customWidth="1"/>
    <col min="16127" max="16127" width="40.7109375" style="4" customWidth="1"/>
    <col min="16128" max="16135" width="10.7109375" style="4" customWidth="1"/>
    <col min="16136" max="16384" width="8.85546875" style="4"/>
  </cols>
  <sheetData>
    <row r="1" spans="1:13" s="2" customFormat="1" ht="19.5" x14ac:dyDescent="0.3">
      <c r="A1" s="253" t="str">
        <f>CoName</f>
        <v xml:space="preserve">BJ's Resturant Inc. 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/>
      <c r="L1" s="40"/>
    </row>
    <row r="2" spans="1:13" x14ac:dyDescent="0.25">
      <c r="A2" s="20" t="s">
        <v>11</v>
      </c>
      <c r="B2" s="19"/>
      <c r="C2" s="191">
        <v>2022</v>
      </c>
      <c r="D2" s="252">
        <f>C2+1</f>
        <v>2023</v>
      </c>
      <c r="E2" s="252">
        <f t="shared" ref="E2:J2" si="0">D2+1</f>
        <v>2024</v>
      </c>
      <c r="F2" s="252">
        <f t="shared" si="0"/>
        <v>2025</v>
      </c>
      <c r="G2" s="252">
        <f t="shared" si="0"/>
        <v>2026</v>
      </c>
      <c r="H2" s="252">
        <f t="shared" si="0"/>
        <v>2027</v>
      </c>
      <c r="I2" s="252">
        <f t="shared" si="0"/>
        <v>2028</v>
      </c>
      <c r="J2" s="252">
        <f t="shared" si="0"/>
        <v>2029</v>
      </c>
      <c r="K2" s="192"/>
      <c r="L2" s="192"/>
      <c r="M2" s="192"/>
    </row>
    <row r="3" spans="1:13" x14ac:dyDescent="0.25">
      <c r="B3" s="4" t="s">
        <v>12</v>
      </c>
      <c r="C3" s="28"/>
      <c r="D3" s="28"/>
      <c r="E3" s="39"/>
      <c r="F3" s="201">
        <f>Assumptions!F31</f>
        <v>6.4023658082702037E-2</v>
      </c>
      <c r="G3" s="201">
        <f>Assumptions!G31</f>
        <v>6.4023658082702037E-2</v>
      </c>
      <c r="H3" s="201">
        <f>Assumptions!H31</f>
        <v>6.4023658082702037E-2</v>
      </c>
      <c r="I3" s="201">
        <f>Assumptions!I31</f>
        <v>6.4023658082702037E-2</v>
      </c>
      <c r="J3" s="201">
        <f>Assumptions!J31</f>
        <v>6.4023658082702037E-2</v>
      </c>
      <c r="K3" s="199"/>
      <c r="L3" s="199"/>
    </row>
    <row r="4" spans="1:13" x14ac:dyDescent="0.25">
      <c r="B4" s="4" t="s">
        <v>134</v>
      </c>
      <c r="C4" s="28"/>
      <c r="D4" s="28"/>
      <c r="E4" s="39"/>
      <c r="F4" s="201">
        <f>Assumptions!F32</f>
        <v>8.3110452528959267E-2</v>
      </c>
      <c r="G4" s="201">
        <f>F4</f>
        <v>8.3110452528959267E-2</v>
      </c>
      <c r="H4" s="201">
        <f t="shared" ref="H4:J4" si="1">G4</f>
        <v>8.3110452528959267E-2</v>
      </c>
      <c r="I4" s="201">
        <f t="shared" si="1"/>
        <v>8.3110452528959267E-2</v>
      </c>
      <c r="J4" s="201">
        <f t="shared" si="1"/>
        <v>8.3110452528959267E-2</v>
      </c>
      <c r="K4" s="199"/>
      <c r="L4" s="199"/>
    </row>
    <row r="5" spans="1:13" x14ac:dyDescent="0.25">
      <c r="E5" s="27"/>
      <c r="F5" s="76"/>
      <c r="G5" s="64"/>
      <c r="H5" s="82"/>
      <c r="I5" s="64"/>
      <c r="J5" s="64"/>
    </row>
    <row r="6" spans="1:13" x14ac:dyDescent="0.25">
      <c r="B6" s="4" t="s">
        <v>13</v>
      </c>
      <c r="E6" s="27"/>
      <c r="F6" s="4">
        <f>E9</f>
        <v>847517</v>
      </c>
      <c r="G6" s="4">
        <f t="shared" ref="G6:J6" si="2">F9</f>
        <v>866585.90094187064</v>
      </c>
      <c r="H6" s="4">
        <f t="shared" si="2"/>
        <v>886397.14387801685</v>
      </c>
      <c r="I6" s="4">
        <f t="shared" si="2"/>
        <v>906857.70518154476</v>
      </c>
      <c r="J6" s="4">
        <f t="shared" si="2"/>
        <v>928441.66284768831</v>
      </c>
    </row>
    <row r="7" spans="1:13" x14ac:dyDescent="0.25">
      <c r="B7" s="4" t="s">
        <v>14</v>
      </c>
      <c r="C7" s="12"/>
      <c r="D7" s="12"/>
      <c r="E7" s="126"/>
      <c r="F7" s="4">
        <f>F3*IncState!F15</f>
        <v>89506.422337856668</v>
      </c>
      <c r="G7" s="4">
        <f>G3*IncState!G15</f>
        <v>91833.589318640952</v>
      </c>
      <c r="H7" s="4">
        <f>H3*IncState!H15</f>
        <v>94129.42905160696</v>
      </c>
      <c r="I7" s="4">
        <f>I3*IncState!I15</f>
        <v>96953.311923155183</v>
      </c>
      <c r="J7" s="4">
        <f>J3*IncState!J15</f>
        <v>99861.911280849847</v>
      </c>
    </row>
    <row r="8" spans="1:13" x14ac:dyDescent="0.25">
      <c r="B8" s="4" t="s">
        <v>15</v>
      </c>
      <c r="E8" s="27"/>
      <c r="F8" s="4">
        <f>F6*F4</f>
        <v>70437.521395985968</v>
      </c>
      <c r="G8" s="4">
        <f t="shared" ref="G8:J8" si="3">G6*G4</f>
        <v>72022.346382494739</v>
      </c>
      <c r="H8" s="4">
        <f t="shared" si="3"/>
        <v>73668.867748078992</v>
      </c>
      <c r="I8" s="4">
        <f t="shared" si="3"/>
        <v>75369.354257011713</v>
      </c>
      <c r="J8" s="4">
        <f t="shared" si="3"/>
        <v>77163.206746010808</v>
      </c>
    </row>
    <row r="9" spans="1:13" x14ac:dyDescent="0.25">
      <c r="B9" s="4" t="s">
        <v>16</v>
      </c>
      <c r="E9" s="27">
        <f>BalSheet!E24</f>
        <v>847517</v>
      </c>
      <c r="F9" s="4">
        <f>F6+F7-F8</f>
        <v>866585.90094187064</v>
      </c>
      <c r="G9" s="4">
        <f t="shared" ref="G9:J9" si="4">G6+G7-G8</f>
        <v>886397.14387801685</v>
      </c>
      <c r="H9" s="4">
        <f t="shared" si="4"/>
        <v>906857.70518154476</v>
      </c>
      <c r="I9" s="4">
        <f t="shared" si="4"/>
        <v>928441.66284768831</v>
      </c>
      <c r="J9" s="4">
        <f t="shared" si="4"/>
        <v>951140.36738252733</v>
      </c>
    </row>
    <row r="10" spans="1:13" x14ac:dyDescent="0.25">
      <c r="A10" s="20" t="s">
        <v>17</v>
      </c>
      <c r="B10" s="41"/>
      <c r="C10" s="235">
        <f t="shared" ref="C10:J10" si="5">C2</f>
        <v>2022</v>
      </c>
      <c r="D10" s="235">
        <f t="shared" si="5"/>
        <v>2023</v>
      </c>
      <c r="E10" s="235">
        <f t="shared" si="5"/>
        <v>2024</v>
      </c>
      <c r="F10" s="235">
        <f t="shared" si="5"/>
        <v>2025</v>
      </c>
      <c r="G10" s="235">
        <f t="shared" ref="G10:J10" si="6">G2</f>
        <v>2026</v>
      </c>
      <c r="H10" s="235">
        <f t="shared" si="6"/>
        <v>2027</v>
      </c>
      <c r="I10" s="235">
        <f t="shared" si="6"/>
        <v>2028</v>
      </c>
      <c r="J10" s="235">
        <f t="shared" si="6"/>
        <v>2029</v>
      </c>
      <c r="K10" s="194"/>
      <c r="L10" s="194"/>
    </row>
    <row r="11" spans="1:13" x14ac:dyDescent="0.25">
      <c r="B11" s="4" t="s">
        <v>18</v>
      </c>
      <c r="E11" s="27"/>
      <c r="F11" s="254">
        <f>Assumptions!F33</f>
        <v>0</v>
      </c>
      <c r="G11" s="254">
        <f>Assumptions!G33</f>
        <v>0</v>
      </c>
      <c r="H11" s="254">
        <f>Assumptions!H33</f>
        <v>0</v>
      </c>
      <c r="I11" s="254">
        <f>Assumptions!I33</f>
        <v>0</v>
      </c>
      <c r="J11" s="254">
        <f>Assumptions!J33</f>
        <v>0</v>
      </c>
      <c r="K11" s="200"/>
      <c r="L11" s="200"/>
    </row>
    <row r="12" spans="1:13" x14ac:dyDescent="0.25">
      <c r="E12" s="27"/>
      <c r="F12" s="76"/>
      <c r="G12" s="76"/>
      <c r="H12" s="76"/>
      <c r="I12" s="76"/>
      <c r="J12" s="76"/>
    </row>
    <row r="13" spans="1:13" x14ac:dyDescent="0.25">
      <c r="B13" s="4" t="s">
        <v>19</v>
      </c>
      <c r="E13" s="27"/>
      <c r="F13" s="4">
        <f>E16</f>
        <v>370017</v>
      </c>
      <c r="G13" s="4">
        <f t="shared" ref="G13:J13" si="7">F16</f>
        <v>405151.97587928909</v>
      </c>
      <c r="H13" s="4">
        <f t="shared" si="7"/>
        <v>446866.2210813018</v>
      </c>
      <c r="I13" s="4">
        <f t="shared" si="7"/>
        <v>495430.72636197339</v>
      </c>
      <c r="J13" s="4">
        <f t="shared" si="7"/>
        <v>551433.792868132</v>
      </c>
    </row>
    <row r="14" spans="1:13" x14ac:dyDescent="0.25">
      <c r="B14" s="4" t="s">
        <v>20</v>
      </c>
      <c r="E14" s="27"/>
      <c r="F14" s="4">
        <f>IncState!F33</f>
        <v>35134.975879289093</v>
      </c>
      <c r="G14" s="4">
        <f>IncState!G33</f>
        <v>41714.245202012709</v>
      </c>
      <c r="H14" s="4">
        <f>IncState!H33</f>
        <v>48564.505280671598</v>
      </c>
      <c r="I14" s="4">
        <f>IncState!I33</f>
        <v>56003.066506158561</v>
      </c>
      <c r="J14" s="4">
        <f>IncState!J33</f>
        <v>63844.233350422124</v>
      </c>
    </row>
    <row r="15" spans="1:13" x14ac:dyDescent="0.25">
      <c r="B15" s="4" t="s">
        <v>21</v>
      </c>
      <c r="E15" s="27"/>
      <c r="F15" s="4">
        <f>F11</f>
        <v>0</v>
      </c>
      <c r="G15" s="4">
        <f t="shared" ref="G15:J15" si="8">G11</f>
        <v>0</v>
      </c>
      <c r="H15" s="4">
        <f t="shared" si="8"/>
        <v>0</v>
      </c>
      <c r="I15" s="4">
        <f t="shared" si="8"/>
        <v>0</v>
      </c>
      <c r="J15" s="4">
        <f t="shared" si="8"/>
        <v>0</v>
      </c>
    </row>
    <row r="16" spans="1:13" x14ac:dyDescent="0.25">
      <c r="B16" s="4" t="s">
        <v>22</v>
      </c>
      <c r="E16" s="27">
        <f>BalSheet!E41</f>
        <v>370017</v>
      </c>
      <c r="F16" s="4">
        <f>SUM(F13:F15)</f>
        <v>405151.97587928909</v>
      </c>
      <c r="G16" s="4">
        <f t="shared" ref="G16:J16" si="9">SUM(G13:G15)</f>
        <v>446866.2210813018</v>
      </c>
      <c r="H16" s="4">
        <f t="shared" si="9"/>
        <v>495430.72636197339</v>
      </c>
      <c r="I16" s="4">
        <f t="shared" si="9"/>
        <v>551433.792868132</v>
      </c>
      <c r="J16" s="4">
        <f t="shared" si="9"/>
        <v>615278.02621855412</v>
      </c>
    </row>
    <row r="17" spans="1:12" x14ac:dyDescent="0.25">
      <c r="A17" s="20" t="s">
        <v>23</v>
      </c>
      <c r="B17" s="41"/>
      <c r="C17" s="235">
        <f>C10</f>
        <v>2022</v>
      </c>
      <c r="D17" s="235">
        <f t="shared" ref="D17:J17" si="10">D10</f>
        <v>2023</v>
      </c>
      <c r="E17" s="235">
        <f t="shared" si="10"/>
        <v>2024</v>
      </c>
      <c r="F17" s="235">
        <f t="shared" si="10"/>
        <v>2025</v>
      </c>
      <c r="G17" s="235">
        <f t="shared" ref="G17:J17" si="11">G10</f>
        <v>2026</v>
      </c>
      <c r="H17" s="235">
        <f t="shared" si="11"/>
        <v>2027</v>
      </c>
      <c r="I17" s="235">
        <f t="shared" si="11"/>
        <v>2028</v>
      </c>
      <c r="J17" s="235">
        <f t="shared" si="11"/>
        <v>2029</v>
      </c>
      <c r="K17" s="194"/>
      <c r="L17" s="194"/>
    </row>
    <row r="18" spans="1:12" x14ac:dyDescent="0.25">
      <c r="A18" s="85"/>
      <c r="B18" s="171" t="s">
        <v>157</v>
      </c>
      <c r="C18" s="194"/>
      <c r="D18" s="194"/>
      <c r="E18" s="215">
        <f>BalSheet!E17</f>
        <v>13573.02</v>
      </c>
      <c r="F18" s="216">
        <f>BalSheet!F17</f>
        <v>13980.2106</v>
      </c>
      <c r="G18" s="216">
        <f>BalSheet!G17</f>
        <v>14343.696075600003</v>
      </c>
      <c r="H18" s="216">
        <f>BalSheet!H17</f>
        <v>14702.288477489999</v>
      </c>
      <c r="I18" s="216">
        <f>BalSheet!I17</f>
        <v>15143.357131814701</v>
      </c>
      <c r="J18" s="216">
        <f>BalSheet!J17</f>
        <v>15597.657845769143</v>
      </c>
      <c r="K18" s="194"/>
      <c r="L18" s="194"/>
    </row>
    <row r="19" spans="1:12" x14ac:dyDescent="0.25">
      <c r="B19" s="4" t="str">
        <f>BalSheet!B19</f>
        <v>Accounts receivable</v>
      </c>
      <c r="D19" s="96"/>
      <c r="E19" s="215">
        <f>BalSheet!E19</f>
        <v>20402</v>
      </c>
      <c r="F19" s="96">
        <f>BalSheet!F19</f>
        <v>21014.06</v>
      </c>
      <c r="G19" s="96">
        <f>BalSheet!G19</f>
        <v>21560.425560000003</v>
      </c>
      <c r="H19" s="96">
        <f>BalSheet!H19</f>
        <v>22099.436199</v>
      </c>
      <c r="I19" s="96">
        <f>BalSheet!I19</f>
        <v>22762.419284970001</v>
      </c>
      <c r="J19" s="96">
        <f>BalSheet!J19</f>
        <v>23445.291863519102</v>
      </c>
      <c r="K19" s="96"/>
      <c r="L19" s="96"/>
    </row>
    <row r="20" spans="1:12" x14ac:dyDescent="0.25">
      <c r="B20" s="4" t="str">
        <f>BalSheet!B20</f>
        <v>Inventories</v>
      </c>
      <c r="C20" s="96"/>
      <c r="D20" s="96"/>
      <c r="E20" s="215">
        <f>BalSheet!E20</f>
        <v>12768</v>
      </c>
      <c r="F20" s="96">
        <f>BalSheet!F20</f>
        <v>13074.213820233466</v>
      </c>
      <c r="G20" s="96">
        <f>BalSheet!G20</f>
        <v>13335.319719119074</v>
      </c>
      <c r="H20" s="96">
        <f>BalSheet!H20</f>
        <v>13587.908460145572</v>
      </c>
      <c r="I20" s="96">
        <f>BalSheet!I20</f>
        <v>13912.327634439922</v>
      </c>
      <c r="J20" s="96">
        <f>BalSheet!J20</f>
        <v>14243.982841577801</v>
      </c>
      <c r="K20" s="96"/>
      <c r="L20" s="96"/>
    </row>
    <row r="21" spans="1:12" x14ac:dyDescent="0.25">
      <c r="B21" s="4" t="s">
        <v>70</v>
      </c>
      <c r="C21" s="96"/>
      <c r="D21" s="96"/>
      <c r="E21" s="215">
        <f>BalSheet!E21</f>
        <v>20299</v>
      </c>
      <c r="F21" s="96">
        <f>BalSheet!F21</f>
        <v>20907.97</v>
      </c>
      <c r="G21" s="96">
        <f>BalSheet!G21</f>
        <v>21451.577219999999</v>
      </c>
      <c r="H21" s="96">
        <f>BalSheet!H21</f>
        <v>21987.866650499996</v>
      </c>
      <c r="I21" s="96">
        <f>BalSheet!I21</f>
        <v>22647.502650014998</v>
      </c>
      <c r="J21" s="96">
        <f>BalSheet!J21</f>
        <v>23326.92772951545</v>
      </c>
      <c r="K21" s="96"/>
      <c r="L21" s="96"/>
    </row>
    <row r="22" spans="1:12" x14ac:dyDescent="0.25">
      <c r="B22" s="4" t="s">
        <v>163</v>
      </c>
      <c r="C22" s="96"/>
      <c r="D22" s="96"/>
      <c r="E22" s="97">
        <f>BalSheet!E33</f>
        <v>51011</v>
      </c>
      <c r="F22" s="96">
        <f>BalSheet!F33</f>
        <v>52234.392323302738</v>
      </c>
      <c r="G22" s="96">
        <f>BalSheet!G33</f>
        <v>53277.568467417223</v>
      </c>
      <c r="H22" s="96">
        <f>BalSheet!H33</f>
        <v>54286.716671403963</v>
      </c>
      <c r="I22" s="96">
        <f>BalSheet!I33</f>
        <v>55582.84343361645</v>
      </c>
      <c r="J22" s="96">
        <f>BalSheet!J33</f>
        <v>56907.87975655742</v>
      </c>
      <c r="K22" s="96"/>
      <c r="L22" s="96"/>
    </row>
    <row r="23" spans="1:12" x14ac:dyDescent="0.25">
      <c r="B23" s="4" t="s">
        <v>76</v>
      </c>
      <c r="C23" s="96"/>
      <c r="D23" s="96"/>
      <c r="E23" s="97">
        <f>BalSheet!E34</f>
        <v>145298</v>
      </c>
      <c r="F23" s="96">
        <f>BalSheet!F34</f>
        <v>149656.94</v>
      </c>
      <c r="G23" s="96">
        <f>BalSheet!G34</f>
        <v>153548.02044000002</v>
      </c>
      <c r="H23" s="96">
        <f>BalSheet!H34</f>
        <v>157386.720951</v>
      </c>
      <c r="I23" s="96">
        <f>BalSheet!I34</f>
        <v>162108.32257953001</v>
      </c>
      <c r="J23" s="96">
        <f>BalSheet!J34</f>
        <v>166971.57225691591</v>
      </c>
      <c r="K23" s="96"/>
      <c r="L23" s="96"/>
    </row>
    <row r="24" spans="1:12" x14ac:dyDescent="0.25">
      <c r="A24" s="11" t="s">
        <v>124</v>
      </c>
      <c r="B24" s="17" t="s">
        <v>23</v>
      </c>
      <c r="C24" s="18"/>
      <c r="D24" s="18"/>
      <c r="E24" s="18">
        <f>SUM(E18:E21)-SUM(E22:E23)</f>
        <v>-129266.98</v>
      </c>
      <c r="F24" s="18">
        <f>SUM(F18:F21)-SUM(F22:F23)</f>
        <v>-132914.87790306928</v>
      </c>
      <c r="G24" s="18">
        <f t="shared" ref="G24:J24" si="12">SUM(G18:G21)-SUM(G22:G23)</f>
        <v>-136134.57033269817</v>
      </c>
      <c r="H24" s="18">
        <f t="shared" si="12"/>
        <v>-139295.93783526839</v>
      </c>
      <c r="I24" s="18">
        <f t="shared" si="12"/>
        <v>-143225.55931190684</v>
      </c>
      <c r="J24" s="18">
        <f t="shared" si="12"/>
        <v>-147265.5917330918</v>
      </c>
      <c r="K24" s="265"/>
      <c r="L24" s="11"/>
    </row>
    <row r="25" spans="1:12" s="11" customFormat="1" x14ac:dyDescent="0.25">
      <c r="A25" s="24"/>
      <c r="B25" s="11" t="s">
        <v>149</v>
      </c>
      <c r="F25" s="11">
        <f>E24-F24</f>
        <v>3647.8979030692863</v>
      </c>
      <c r="G25" s="11">
        <f t="shared" ref="G25:J25" si="13">F24-G24</f>
        <v>3219.6924296288926</v>
      </c>
      <c r="H25" s="11">
        <f t="shared" si="13"/>
        <v>3161.3675025702105</v>
      </c>
      <c r="I25" s="11">
        <f t="shared" si="13"/>
        <v>3929.621476638451</v>
      </c>
      <c r="J25" s="11">
        <f t="shared" si="13"/>
        <v>4040.0324211849656</v>
      </c>
      <c r="K25" s="265"/>
    </row>
    <row r="26" spans="1:12" x14ac:dyDescent="0.25">
      <c r="B26" s="64"/>
      <c r="C26" s="64"/>
      <c r="D26" s="64"/>
      <c r="E26" s="64"/>
      <c r="F26" s="64"/>
      <c r="G26" s="64"/>
      <c r="H26" s="82"/>
      <c r="I26" s="64"/>
      <c r="J26" s="64"/>
    </row>
    <row r="27" spans="1:12" x14ac:dyDescent="0.25">
      <c r="H27" s="6"/>
      <c r="I27" s="4"/>
      <c r="J27" s="4"/>
    </row>
    <row r="28" spans="1:12" x14ac:dyDescent="0.25">
      <c r="H28" s="6"/>
      <c r="I28" s="4"/>
      <c r="J28" s="4"/>
    </row>
    <row r="29" spans="1:12" x14ac:dyDescent="0.25">
      <c r="H29" s="6"/>
      <c r="I29" s="4"/>
      <c r="J29" s="4"/>
    </row>
    <row r="30" spans="1:12" x14ac:dyDescent="0.25">
      <c r="H30" s="6"/>
      <c r="I30" s="4"/>
      <c r="J30" s="4"/>
    </row>
    <row r="31" spans="1:12" x14ac:dyDescent="0.25">
      <c r="H31" s="6"/>
      <c r="I31" s="4"/>
      <c r="J31" s="4"/>
    </row>
    <row r="32" spans="1:12" x14ac:dyDescent="0.25">
      <c r="H32" s="6"/>
      <c r="I32" s="4"/>
      <c r="J32" s="4"/>
    </row>
    <row r="33" spans="8:10" x14ac:dyDescent="0.25">
      <c r="H33" s="6"/>
      <c r="I33" s="4"/>
      <c r="J33" s="4"/>
    </row>
    <row r="34" spans="8:10" x14ac:dyDescent="0.25">
      <c r="H34" s="6"/>
      <c r="I34" s="4"/>
      <c r="J34" s="4"/>
    </row>
    <row r="35" spans="8:10" x14ac:dyDescent="0.25">
      <c r="H35" s="6"/>
      <c r="I35" s="4"/>
      <c r="J35" s="4"/>
    </row>
    <row r="36" spans="8:10" x14ac:dyDescent="0.25">
      <c r="H36" s="6"/>
      <c r="I36" s="4"/>
      <c r="J36" s="4"/>
    </row>
    <row r="37" spans="8:10" x14ac:dyDescent="0.25">
      <c r="H37" s="6"/>
      <c r="I37" s="4"/>
      <c r="J37" s="4"/>
    </row>
    <row r="38" spans="8:10" x14ac:dyDescent="0.25">
      <c r="H38" s="6"/>
      <c r="I38" s="4"/>
      <c r="J38" s="4"/>
    </row>
    <row r="39" spans="8:10" x14ac:dyDescent="0.25">
      <c r="H39" s="6"/>
      <c r="I39" s="4"/>
      <c r="J39" s="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autoPageBreaks="0" fitToPage="1"/>
  </sheetPr>
  <dimension ref="A1:M34"/>
  <sheetViews>
    <sheetView showGridLines="0" zoomScaleNormal="100" workbookViewId="0">
      <selection activeCell="F33" sqref="F12:J33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3" s="2" customFormat="1" ht="19.5" x14ac:dyDescent="0.3">
      <c r="A1" s="253" t="str">
        <f>CoName</f>
        <v xml:space="preserve">BJ's Resturant Inc. 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/>
      <c r="L1" s="40"/>
    </row>
    <row r="2" spans="1:13" s="2" customFormat="1" x14ac:dyDescent="0.25">
      <c r="A2" s="16" t="s">
        <v>10</v>
      </c>
      <c r="B2" s="193"/>
      <c r="C2" s="261">
        <v>2022</v>
      </c>
      <c r="D2" s="261">
        <f>C2+1</f>
        <v>2023</v>
      </c>
      <c r="E2" s="261">
        <f t="shared" ref="E2:J2" si="0">D2+1</f>
        <v>2024</v>
      </c>
      <c r="F2" s="261">
        <f t="shared" si="0"/>
        <v>2025</v>
      </c>
      <c r="G2" s="261">
        <f t="shared" si="0"/>
        <v>2026</v>
      </c>
      <c r="H2" s="261">
        <f t="shared" si="0"/>
        <v>2027</v>
      </c>
      <c r="I2" s="261">
        <f t="shared" si="0"/>
        <v>2028</v>
      </c>
      <c r="J2" s="261">
        <f t="shared" si="0"/>
        <v>2029</v>
      </c>
      <c r="K2" s="202"/>
      <c r="L2" s="202"/>
    </row>
    <row r="3" spans="1:13" s="2" customFormat="1" x14ac:dyDescent="0.25">
      <c r="A3" s="85"/>
      <c r="B3" s="11"/>
      <c r="C3" s="194"/>
      <c r="D3" s="194"/>
      <c r="E3" s="194"/>
      <c r="F3" s="194"/>
      <c r="G3" s="194"/>
      <c r="H3" s="194"/>
      <c r="I3" s="194"/>
      <c r="J3" s="194"/>
      <c r="K3" s="202"/>
      <c r="L3" s="202"/>
    </row>
    <row r="4" spans="1:13" s="2" customFormat="1" x14ac:dyDescent="0.25">
      <c r="A4" s="11"/>
      <c r="B4" s="4" t="s">
        <v>24</v>
      </c>
      <c r="C4" s="29"/>
      <c r="D4" s="54"/>
      <c r="E4" s="58"/>
      <c r="F4" s="109">
        <f>Assumptions!F22</f>
        <v>9.2466165413533835E-2</v>
      </c>
      <c r="G4" s="109">
        <f>Assumptions!G22</f>
        <v>9.2466165413533835E-2</v>
      </c>
      <c r="H4" s="109">
        <f>Assumptions!H22</f>
        <v>9.2466165413533835E-2</v>
      </c>
      <c r="I4" s="109">
        <f>Assumptions!I22</f>
        <v>9.2466165413533835E-2</v>
      </c>
      <c r="J4" s="109">
        <f>Assumptions!J22</f>
        <v>9.2466165413533835E-2</v>
      </c>
      <c r="K4" s="28"/>
      <c r="L4" s="28"/>
    </row>
    <row r="5" spans="1:13" s="2" customFormat="1" x14ac:dyDescent="0.25">
      <c r="A5" s="11"/>
      <c r="B5" s="4" t="s">
        <v>25</v>
      </c>
      <c r="C5" s="29"/>
      <c r="D5" s="55"/>
      <c r="E5" s="59"/>
      <c r="F5" s="109">
        <f>Assumptions!F23</f>
        <v>8.246616541353384E-2</v>
      </c>
      <c r="G5" s="109">
        <f>Assumptions!G23</f>
        <v>8.246616541353384E-2</v>
      </c>
      <c r="H5" s="109">
        <f>Assumptions!H23</f>
        <v>8.246616541353384E-2</v>
      </c>
      <c r="I5" s="109">
        <f>Assumptions!I23</f>
        <v>8.246616541353384E-2</v>
      </c>
      <c r="J5" s="109">
        <f>Assumptions!J23</f>
        <v>8.246616541353384E-2</v>
      </c>
      <c r="K5" s="28"/>
      <c r="L5" s="28"/>
    </row>
    <row r="6" spans="1:13" s="2" customFormat="1" x14ac:dyDescent="0.25">
      <c r="A6" s="11"/>
      <c r="B6" s="4" t="s">
        <v>26</v>
      </c>
      <c r="C6" s="29"/>
      <c r="D6" s="54"/>
      <c r="E6" s="58"/>
      <c r="F6" s="109">
        <f>Assumptions!F24</f>
        <v>0.04</v>
      </c>
      <c r="G6" s="109">
        <f>Assumptions!G24</f>
        <v>0.04</v>
      </c>
      <c r="H6" s="109">
        <f>Assumptions!H24</f>
        <v>0.04</v>
      </c>
      <c r="I6" s="109">
        <f>Assumptions!I24</f>
        <v>0.04</v>
      </c>
      <c r="J6" s="109">
        <f>Assumptions!J24</f>
        <v>0.04</v>
      </c>
      <c r="K6" s="28"/>
      <c r="L6" s="28"/>
    </row>
    <row r="7" spans="1:13" s="2" customFormat="1" x14ac:dyDescent="0.25">
      <c r="A7" s="11"/>
      <c r="B7" s="4"/>
      <c r="C7" s="29"/>
      <c r="D7" s="29"/>
      <c r="E7" s="29"/>
      <c r="F7" s="107"/>
      <c r="G7" s="107"/>
      <c r="H7" s="107"/>
      <c r="I7" s="108"/>
      <c r="J7" s="108"/>
      <c r="K7" s="203"/>
      <c r="L7" s="203"/>
    </row>
    <row r="8" spans="1:13" s="2" customFormat="1" x14ac:dyDescent="0.25">
      <c r="A8" s="11"/>
      <c r="B8" s="4" t="s">
        <v>27</v>
      </c>
      <c r="C8" s="29"/>
      <c r="D8" s="56"/>
      <c r="E8" s="60"/>
      <c r="F8" s="110">
        <f>Assumptions!F26</f>
        <v>0</v>
      </c>
      <c r="G8" s="110">
        <f>Assumptions!G26</f>
        <v>0</v>
      </c>
      <c r="H8" s="110">
        <f>Assumptions!H26</f>
        <v>0</v>
      </c>
      <c r="I8" s="110">
        <f>Assumptions!I26</f>
        <v>0</v>
      </c>
      <c r="J8" s="110">
        <f>Assumptions!J26</f>
        <v>0</v>
      </c>
      <c r="K8" s="204"/>
      <c r="L8" s="204"/>
    </row>
    <row r="9" spans="1:13" s="2" customFormat="1" x14ac:dyDescent="0.25">
      <c r="A9" s="11"/>
      <c r="B9" s="4" t="s">
        <v>28</v>
      </c>
      <c r="C9" s="29"/>
      <c r="D9" s="56"/>
      <c r="E9" s="60"/>
      <c r="F9" s="110">
        <f>Assumptions!F27</f>
        <v>0</v>
      </c>
      <c r="G9" s="110">
        <f>Assumptions!G27</f>
        <v>0</v>
      </c>
      <c r="H9" s="110">
        <f>Assumptions!H27</f>
        <v>0</v>
      </c>
      <c r="I9" s="110">
        <f>Assumptions!I27</f>
        <v>0</v>
      </c>
      <c r="J9" s="110">
        <f>Assumptions!J27</f>
        <v>0</v>
      </c>
      <c r="K9" s="204"/>
      <c r="L9" s="204"/>
    </row>
    <row r="10" spans="1:13" s="2" customFormat="1" ht="18.75" x14ac:dyDescent="0.3">
      <c r="A10" s="32"/>
      <c r="B10" s="3"/>
      <c r="C10" s="52"/>
      <c r="D10" s="52"/>
      <c r="E10" s="52"/>
      <c r="F10" s="106"/>
      <c r="G10" s="106"/>
      <c r="H10" s="106"/>
      <c r="I10" s="106"/>
      <c r="J10" s="106"/>
      <c r="K10" s="52"/>
      <c r="L10" s="52"/>
    </row>
    <row r="11" spans="1:13" x14ac:dyDescent="0.25">
      <c r="A11" s="20" t="s">
        <v>29</v>
      </c>
      <c r="B11" s="53"/>
      <c r="C11" s="252">
        <f>C2</f>
        <v>2022</v>
      </c>
      <c r="D11" s="252">
        <f t="shared" ref="D11:J11" si="1">D2</f>
        <v>2023</v>
      </c>
      <c r="E11" s="252">
        <f t="shared" si="1"/>
        <v>2024</v>
      </c>
      <c r="F11" s="252">
        <f t="shared" si="1"/>
        <v>2025</v>
      </c>
      <c r="G11" s="252">
        <f t="shared" si="1"/>
        <v>2026</v>
      </c>
      <c r="H11" s="252">
        <f t="shared" si="1"/>
        <v>2027</v>
      </c>
      <c r="I11" s="252">
        <f t="shared" si="1"/>
        <v>2028</v>
      </c>
      <c r="J11" s="252">
        <f t="shared" si="1"/>
        <v>2029</v>
      </c>
      <c r="K11" s="205"/>
      <c r="L11" s="205"/>
      <c r="M11" s="46"/>
    </row>
    <row r="12" spans="1:13" x14ac:dyDescent="0.25">
      <c r="B12" s="4" t="s">
        <v>30</v>
      </c>
      <c r="E12" s="27"/>
      <c r="F12" s="4">
        <f>BalSheet!F32</f>
        <v>0</v>
      </c>
      <c r="G12" s="4">
        <f>BalSheet!G32</f>
        <v>0</v>
      </c>
      <c r="H12" s="4">
        <f>BalSheet!H32</f>
        <v>0</v>
      </c>
      <c r="I12" s="4">
        <f>BalSheet!I32</f>
        <v>0</v>
      </c>
      <c r="J12" s="4">
        <f>BalSheet!J32</f>
        <v>0</v>
      </c>
      <c r="M12" s="46"/>
    </row>
    <row r="13" spans="1:13" s="189" customFormat="1" x14ac:dyDescent="0.25">
      <c r="A13" s="278"/>
      <c r="B13" s="189" t="s">
        <v>31</v>
      </c>
      <c r="E13" s="279"/>
      <c r="F13" s="189">
        <f>F4</f>
        <v>9.2466165413533835E-2</v>
      </c>
      <c r="G13" s="189">
        <f t="shared" ref="G13:J13" si="2">G4</f>
        <v>9.2466165413533835E-2</v>
      </c>
      <c r="H13" s="189">
        <f t="shared" si="2"/>
        <v>9.2466165413533835E-2</v>
      </c>
      <c r="I13" s="189">
        <f t="shared" si="2"/>
        <v>9.2466165413533835E-2</v>
      </c>
      <c r="J13" s="189">
        <f t="shared" si="2"/>
        <v>9.2466165413533835E-2</v>
      </c>
    </row>
    <row r="14" spans="1:13" x14ac:dyDescent="0.25">
      <c r="B14" s="4" t="s">
        <v>32</v>
      </c>
      <c r="E14" s="27"/>
      <c r="F14" s="4">
        <f>-F12*F13</f>
        <v>0</v>
      </c>
      <c r="G14" s="4">
        <f t="shared" ref="G14:J14" si="3">-G12*G13</f>
        <v>0</v>
      </c>
      <c r="H14" s="4">
        <f t="shared" si="3"/>
        <v>0</v>
      </c>
      <c r="I14" s="4">
        <f t="shared" si="3"/>
        <v>0</v>
      </c>
      <c r="J14" s="4">
        <f t="shared" si="3"/>
        <v>0</v>
      </c>
      <c r="M14" s="46"/>
    </row>
    <row r="15" spans="1:13" x14ac:dyDescent="0.25">
      <c r="E15" s="27"/>
      <c r="I15" s="4"/>
      <c r="J15" s="4"/>
      <c r="M15" s="46"/>
    </row>
    <row r="16" spans="1:13" x14ac:dyDescent="0.25">
      <c r="A16" s="260" t="s">
        <v>33</v>
      </c>
      <c r="B16" s="19"/>
      <c r="C16" s="252">
        <f t="shared" ref="C16:J16" si="4">C11</f>
        <v>2022</v>
      </c>
      <c r="D16" s="252">
        <f t="shared" si="4"/>
        <v>2023</v>
      </c>
      <c r="E16" s="252">
        <f t="shared" si="4"/>
        <v>2024</v>
      </c>
      <c r="F16" s="252">
        <f t="shared" si="4"/>
        <v>2025</v>
      </c>
      <c r="G16" s="252">
        <f t="shared" ref="G16:J16" si="5">G11</f>
        <v>2026</v>
      </c>
      <c r="H16" s="252">
        <f t="shared" si="5"/>
        <v>2027</v>
      </c>
      <c r="I16" s="252">
        <f t="shared" si="5"/>
        <v>2028</v>
      </c>
      <c r="J16" s="252">
        <f t="shared" si="5"/>
        <v>2029</v>
      </c>
      <c r="K16" s="202"/>
      <c r="L16" s="202"/>
      <c r="M16" s="46"/>
    </row>
    <row r="17" spans="1:13" x14ac:dyDescent="0.25">
      <c r="B17" s="4" t="s">
        <v>19</v>
      </c>
      <c r="E17" s="27"/>
      <c r="F17" s="4">
        <f>E20</f>
        <v>66500</v>
      </c>
      <c r="G17" s="4">
        <f t="shared" ref="G17:J17" si="6">F20</f>
        <v>66500</v>
      </c>
      <c r="H17" s="4">
        <f t="shared" si="6"/>
        <v>66500</v>
      </c>
      <c r="I17" s="4">
        <f t="shared" si="6"/>
        <v>66500</v>
      </c>
      <c r="J17" s="4">
        <f t="shared" si="6"/>
        <v>66500</v>
      </c>
      <c r="M17" s="46"/>
    </row>
    <row r="18" spans="1:13" x14ac:dyDescent="0.25">
      <c r="B18" s="4" t="s">
        <v>34</v>
      </c>
      <c r="E18" s="27"/>
      <c r="F18" s="4">
        <f>F8</f>
        <v>0</v>
      </c>
      <c r="G18" s="4">
        <f t="shared" ref="G18:J18" si="7">G8</f>
        <v>0</v>
      </c>
      <c r="H18" s="4">
        <f t="shared" si="7"/>
        <v>0</v>
      </c>
      <c r="I18" s="4">
        <f t="shared" si="7"/>
        <v>0</v>
      </c>
      <c r="J18" s="4">
        <f t="shared" si="7"/>
        <v>0</v>
      </c>
      <c r="M18" s="46"/>
    </row>
    <row r="19" spans="1:13" x14ac:dyDescent="0.25">
      <c r="B19" s="4" t="s">
        <v>35</v>
      </c>
      <c r="E19" s="27"/>
      <c r="F19" s="4">
        <f>F9</f>
        <v>0</v>
      </c>
      <c r="G19" s="4">
        <f t="shared" ref="G19:J19" si="8">G9</f>
        <v>0</v>
      </c>
      <c r="H19" s="4">
        <f t="shared" si="8"/>
        <v>0</v>
      </c>
      <c r="I19" s="4">
        <f t="shared" si="8"/>
        <v>0</v>
      </c>
      <c r="J19" s="4">
        <f t="shared" si="8"/>
        <v>0</v>
      </c>
    </row>
    <row r="20" spans="1:13" x14ac:dyDescent="0.25">
      <c r="B20" s="4" t="s">
        <v>22</v>
      </c>
      <c r="C20" s="10"/>
      <c r="E20" s="27">
        <f>BalSheet!E37</f>
        <v>66500</v>
      </c>
      <c r="F20" s="4">
        <f>SUM(F17:F19)</f>
        <v>66500</v>
      </c>
      <c r="G20" s="4">
        <f t="shared" ref="G20:J20" si="9">SUM(G17:G19)</f>
        <v>66500</v>
      </c>
      <c r="H20" s="4">
        <f t="shared" si="9"/>
        <v>66500</v>
      </c>
      <c r="I20" s="4">
        <f t="shared" si="9"/>
        <v>66500</v>
      </c>
      <c r="J20" s="4">
        <f t="shared" si="9"/>
        <v>66500</v>
      </c>
    </row>
    <row r="21" spans="1:13" x14ac:dyDescent="0.25">
      <c r="B21" s="4" t="s">
        <v>31</v>
      </c>
      <c r="D21" s="47"/>
      <c r="E21" s="27"/>
      <c r="F21" s="8">
        <f>F5</f>
        <v>8.246616541353384E-2</v>
      </c>
      <c r="G21" s="8">
        <f t="shared" ref="G21:J21" si="10">G5</f>
        <v>8.246616541353384E-2</v>
      </c>
      <c r="H21" s="8">
        <f t="shared" si="10"/>
        <v>8.246616541353384E-2</v>
      </c>
      <c r="I21" s="8">
        <f t="shared" si="10"/>
        <v>8.246616541353384E-2</v>
      </c>
      <c r="J21" s="8">
        <f t="shared" si="10"/>
        <v>8.246616541353384E-2</v>
      </c>
    </row>
    <row r="22" spans="1:13" x14ac:dyDescent="0.25">
      <c r="B22" s="4" t="s">
        <v>32</v>
      </c>
      <c r="E22" s="27"/>
      <c r="F22" s="4">
        <f>-F20*F21</f>
        <v>-5484</v>
      </c>
      <c r="G22" s="4">
        <f t="shared" ref="G22:J22" si="11">-G20*G21</f>
        <v>-5484</v>
      </c>
      <c r="H22" s="4">
        <f t="shared" si="11"/>
        <v>-5484</v>
      </c>
      <c r="I22" s="4">
        <f t="shared" si="11"/>
        <v>-5484</v>
      </c>
      <c r="J22" s="4">
        <f t="shared" si="11"/>
        <v>-5484</v>
      </c>
    </row>
    <row r="23" spans="1:13" x14ac:dyDescent="0.25">
      <c r="E23" s="27"/>
      <c r="I23" s="4"/>
      <c r="J23" s="4"/>
    </row>
    <row r="24" spans="1:13" x14ac:dyDescent="0.25">
      <c r="A24" s="20" t="s">
        <v>36</v>
      </c>
      <c r="B24" s="41"/>
      <c r="C24" s="252">
        <f>C16</f>
        <v>2022</v>
      </c>
      <c r="D24" s="252">
        <f t="shared" ref="D24:J24" si="12">D16</f>
        <v>2023</v>
      </c>
      <c r="E24" s="252">
        <f t="shared" si="12"/>
        <v>2024</v>
      </c>
      <c r="F24" s="252">
        <f t="shared" si="12"/>
        <v>2025</v>
      </c>
      <c r="G24" s="252">
        <f t="shared" ref="G24:J24" si="13">G16</f>
        <v>2026</v>
      </c>
      <c r="H24" s="252">
        <f t="shared" si="13"/>
        <v>2027</v>
      </c>
      <c r="I24" s="252">
        <f t="shared" si="13"/>
        <v>2028</v>
      </c>
      <c r="J24" s="252">
        <f t="shared" si="13"/>
        <v>2029</v>
      </c>
      <c r="K24" s="202"/>
      <c r="L24" s="202"/>
    </row>
    <row r="25" spans="1:13" x14ac:dyDescent="0.25">
      <c r="A25" s="7"/>
      <c r="B25" s="4" t="s">
        <v>29</v>
      </c>
      <c r="E25" s="27"/>
      <c r="F25" s="4">
        <f>F12</f>
        <v>0</v>
      </c>
      <c r="G25" s="4">
        <f t="shared" ref="G25:J25" si="14">G12</f>
        <v>0</v>
      </c>
      <c r="H25" s="4">
        <f t="shared" si="14"/>
        <v>0</v>
      </c>
      <c r="I25" s="4">
        <f t="shared" si="14"/>
        <v>0</v>
      </c>
      <c r="J25" s="4">
        <f t="shared" si="14"/>
        <v>0</v>
      </c>
    </row>
    <row r="26" spans="1:13" x14ac:dyDescent="0.25">
      <c r="A26" s="7"/>
      <c r="B26" s="4" t="s">
        <v>37</v>
      </c>
      <c r="E26" s="27"/>
      <c r="F26" s="4">
        <f>F20</f>
        <v>66500</v>
      </c>
      <c r="G26" s="4">
        <f t="shared" ref="G26:J26" si="15">G20</f>
        <v>66500</v>
      </c>
      <c r="H26" s="4">
        <f t="shared" si="15"/>
        <v>66500</v>
      </c>
      <c r="I26" s="4">
        <f t="shared" si="15"/>
        <v>66500</v>
      </c>
      <c r="J26" s="4">
        <f t="shared" si="15"/>
        <v>66500</v>
      </c>
    </row>
    <row r="27" spans="1:13" x14ac:dyDescent="0.25">
      <c r="A27" s="7"/>
      <c r="B27" s="11" t="s">
        <v>38</v>
      </c>
      <c r="D27" s="11"/>
      <c r="E27" s="24"/>
      <c r="F27" s="11">
        <f>SUM(F25:F26)</f>
        <v>66500</v>
      </c>
      <c r="G27" s="11">
        <f t="shared" ref="G27:J27" si="16">SUM(G25:G26)</f>
        <v>66500</v>
      </c>
      <c r="H27" s="11">
        <f t="shared" si="16"/>
        <v>66500</v>
      </c>
      <c r="I27" s="11">
        <f t="shared" si="16"/>
        <v>66500</v>
      </c>
      <c r="J27" s="11">
        <f t="shared" si="16"/>
        <v>66500</v>
      </c>
      <c r="K27" s="11"/>
      <c r="L27" s="11"/>
    </row>
    <row r="28" spans="1:13" x14ac:dyDescent="0.25">
      <c r="A28" s="7"/>
      <c r="B28" s="4" t="s">
        <v>39</v>
      </c>
      <c r="E28" s="27"/>
      <c r="F28" s="4">
        <f>SUM(F22,F14)</f>
        <v>-5484</v>
      </c>
      <c r="G28" s="4">
        <f t="shared" ref="G28:J28" si="17">SUM(G22,G14)</f>
        <v>-5484</v>
      </c>
      <c r="H28" s="4">
        <f t="shared" si="17"/>
        <v>-5484</v>
      </c>
      <c r="I28" s="4">
        <f t="shared" si="17"/>
        <v>-5484</v>
      </c>
      <c r="J28" s="4">
        <f t="shared" si="17"/>
        <v>-5484</v>
      </c>
    </row>
    <row r="29" spans="1:13" x14ac:dyDescent="0.25">
      <c r="A29" s="7"/>
      <c r="E29" s="27"/>
      <c r="I29" s="4"/>
      <c r="J29" s="4"/>
    </row>
    <row r="30" spans="1:13" x14ac:dyDescent="0.25">
      <c r="A30" s="20" t="s">
        <v>40</v>
      </c>
      <c r="B30" s="41"/>
      <c r="C30" s="252">
        <f>C11</f>
        <v>2022</v>
      </c>
      <c r="D30" s="252">
        <f t="shared" ref="D30:J30" si="18">D11</f>
        <v>2023</v>
      </c>
      <c r="E30" s="252">
        <f t="shared" si="18"/>
        <v>2024</v>
      </c>
      <c r="F30" s="252">
        <f t="shared" si="18"/>
        <v>2025</v>
      </c>
      <c r="G30" s="252">
        <f t="shared" ref="G30:J30" si="19">G11</f>
        <v>2026</v>
      </c>
      <c r="H30" s="252">
        <f t="shared" si="19"/>
        <v>2027</v>
      </c>
      <c r="I30" s="252">
        <f t="shared" si="19"/>
        <v>2028</v>
      </c>
      <c r="J30" s="252">
        <f t="shared" si="19"/>
        <v>2029</v>
      </c>
      <c r="K30" s="202"/>
      <c r="L30" s="202"/>
    </row>
    <row r="31" spans="1:13" x14ac:dyDescent="0.25">
      <c r="A31" s="7"/>
      <c r="B31" s="4" t="s">
        <v>169</v>
      </c>
      <c r="E31" s="27"/>
      <c r="F31" s="4">
        <f>BalSheet!F18</f>
        <v>41332.802840487682</v>
      </c>
      <c r="G31" s="4">
        <f>BalSheet!G18</f>
        <v>74575.059635983111</v>
      </c>
      <c r="H31" s="4">
        <f>BalSheet!H18</f>
        <v>113850.63141819688</v>
      </c>
      <c r="I31" s="4">
        <f>BalSheet!I18</f>
        <v>162051.9819069255</v>
      </c>
      <c r="J31" s="4">
        <f>BalSheet!J18</f>
        <v>217385.7419209308</v>
      </c>
    </row>
    <row r="32" spans="1:13" x14ac:dyDescent="0.25">
      <c r="B32" s="4" t="s">
        <v>31</v>
      </c>
      <c r="D32" s="47"/>
      <c r="E32" s="23"/>
      <c r="F32" s="5">
        <f>F6</f>
        <v>0.04</v>
      </c>
      <c r="G32" s="5">
        <f t="shared" ref="G32:J32" si="20">G6</f>
        <v>0.04</v>
      </c>
      <c r="H32" s="5">
        <f t="shared" si="20"/>
        <v>0.04</v>
      </c>
      <c r="I32" s="5">
        <f t="shared" si="20"/>
        <v>0.04</v>
      </c>
      <c r="J32" s="5">
        <f t="shared" si="20"/>
        <v>0.04</v>
      </c>
      <c r="K32" s="170"/>
      <c r="L32" s="170"/>
    </row>
    <row r="33" spans="2:10" x14ac:dyDescent="0.25">
      <c r="B33" s="4" t="s">
        <v>40</v>
      </c>
      <c r="E33" s="27"/>
      <c r="F33" s="4">
        <f>F31*F32</f>
        <v>1653.3121136195073</v>
      </c>
      <c r="G33" s="4">
        <f t="shared" ref="G33:J33" si="21">G31*G32</f>
        <v>2983.0023854393244</v>
      </c>
      <c r="H33" s="4">
        <f t="shared" si="21"/>
        <v>4554.0252567278749</v>
      </c>
      <c r="I33" s="4">
        <f t="shared" si="21"/>
        <v>6482.0792762770207</v>
      </c>
      <c r="J33" s="4">
        <f t="shared" si="21"/>
        <v>8695.4296768372315</v>
      </c>
    </row>
    <row r="34" spans="2:10" x14ac:dyDescent="0.25">
      <c r="E34" s="27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autoPageBreaks="0" fitToPage="1"/>
  </sheetPr>
  <dimension ref="A1:L40"/>
  <sheetViews>
    <sheetView showGridLines="0" topLeftCell="A4" zoomScaleNormal="100" workbookViewId="0">
      <selection activeCell="F38" sqref="F15:J38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7" width="11.7109375" style="4" customWidth="1"/>
    <col min="8" max="8" width="11.7109375" style="6" customWidth="1"/>
    <col min="9" max="10" width="11.7109375" style="4" customWidth="1"/>
    <col min="11" max="12" width="12" style="4" customWidth="1"/>
    <col min="13" max="253" width="8.85546875" style="4"/>
    <col min="254" max="254" width="1.7109375" style="4" customWidth="1"/>
    <col min="255" max="255" width="40.7109375" style="4" customWidth="1"/>
    <col min="256" max="260" width="10.7109375" style="4" customWidth="1"/>
    <col min="261" max="261" width="11.42578125" style="4" customWidth="1"/>
    <col min="262" max="263" width="12" style="4" customWidth="1"/>
    <col min="264" max="265" width="8.85546875" style="4"/>
    <col min="266" max="266" width="10.7109375" style="4" bestFit="1" customWidth="1"/>
    <col min="267" max="509" width="8.85546875" style="4"/>
    <col min="510" max="510" width="1.7109375" style="4" customWidth="1"/>
    <col min="511" max="511" width="40.7109375" style="4" customWidth="1"/>
    <col min="512" max="516" width="10.7109375" style="4" customWidth="1"/>
    <col min="517" max="517" width="11.42578125" style="4" customWidth="1"/>
    <col min="518" max="519" width="12" style="4" customWidth="1"/>
    <col min="520" max="521" width="8.85546875" style="4"/>
    <col min="522" max="522" width="10.7109375" style="4" bestFit="1" customWidth="1"/>
    <col min="523" max="765" width="8.85546875" style="4"/>
    <col min="766" max="766" width="1.7109375" style="4" customWidth="1"/>
    <col min="767" max="767" width="40.7109375" style="4" customWidth="1"/>
    <col min="768" max="772" width="10.7109375" style="4" customWidth="1"/>
    <col min="773" max="773" width="11.42578125" style="4" customWidth="1"/>
    <col min="774" max="775" width="12" style="4" customWidth="1"/>
    <col min="776" max="777" width="8.85546875" style="4"/>
    <col min="778" max="778" width="10.7109375" style="4" bestFit="1" customWidth="1"/>
    <col min="779" max="1021" width="8.85546875" style="4"/>
    <col min="1022" max="1022" width="1.7109375" style="4" customWidth="1"/>
    <col min="1023" max="1023" width="40.7109375" style="4" customWidth="1"/>
    <col min="1024" max="1028" width="10.7109375" style="4" customWidth="1"/>
    <col min="1029" max="1029" width="11.42578125" style="4" customWidth="1"/>
    <col min="1030" max="1031" width="12" style="4" customWidth="1"/>
    <col min="1032" max="1033" width="8.85546875" style="4"/>
    <col min="1034" max="1034" width="10.7109375" style="4" bestFit="1" customWidth="1"/>
    <col min="1035" max="1277" width="8.85546875" style="4"/>
    <col min="1278" max="1278" width="1.7109375" style="4" customWidth="1"/>
    <col min="1279" max="1279" width="40.7109375" style="4" customWidth="1"/>
    <col min="1280" max="1284" width="10.7109375" style="4" customWidth="1"/>
    <col min="1285" max="1285" width="11.42578125" style="4" customWidth="1"/>
    <col min="1286" max="1287" width="12" style="4" customWidth="1"/>
    <col min="1288" max="1289" width="8.85546875" style="4"/>
    <col min="1290" max="1290" width="10.7109375" style="4" bestFit="1" customWidth="1"/>
    <col min="1291" max="1533" width="8.85546875" style="4"/>
    <col min="1534" max="1534" width="1.7109375" style="4" customWidth="1"/>
    <col min="1535" max="1535" width="40.7109375" style="4" customWidth="1"/>
    <col min="1536" max="1540" width="10.7109375" style="4" customWidth="1"/>
    <col min="1541" max="1541" width="11.42578125" style="4" customWidth="1"/>
    <col min="1542" max="1543" width="12" style="4" customWidth="1"/>
    <col min="1544" max="1545" width="8.85546875" style="4"/>
    <col min="1546" max="1546" width="10.7109375" style="4" bestFit="1" customWidth="1"/>
    <col min="1547" max="1789" width="8.85546875" style="4"/>
    <col min="1790" max="1790" width="1.7109375" style="4" customWidth="1"/>
    <col min="1791" max="1791" width="40.7109375" style="4" customWidth="1"/>
    <col min="1792" max="1796" width="10.7109375" style="4" customWidth="1"/>
    <col min="1797" max="1797" width="11.42578125" style="4" customWidth="1"/>
    <col min="1798" max="1799" width="12" style="4" customWidth="1"/>
    <col min="1800" max="1801" width="8.85546875" style="4"/>
    <col min="1802" max="1802" width="10.7109375" style="4" bestFit="1" customWidth="1"/>
    <col min="1803" max="2045" width="8.85546875" style="4"/>
    <col min="2046" max="2046" width="1.7109375" style="4" customWidth="1"/>
    <col min="2047" max="2047" width="40.7109375" style="4" customWidth="1"/>
    <col min="2048" max="2052" width="10.7109375" style="4" customWidth="1"/>
    <col min="2053" max="2053" width="11.42578125" style="4" customWidth="1"/>
    <col min="2054" max="2055" width="12" style="4" customWidth="1"/>
    <col min="2056" max="2057" width="8.85546875" style="4"/>
    <col min="2058" max="2058" width="10.7109375" style="4" bestFit="1" customWidth="1"/>
    <col min="2059" max="2301" width="8.85546875" style="4"/>
    <col min="2302" max="2302" width="1.7109375" style="4" customWidth="1"/>
    <col min="2303" max="2303" width="40.7109375" style="4" customWidth="1"/>
    <col min="2304" max="2308" width="10.7109375" style="4" customWidth="1"/>
    <col min="2309" max="2309" width="11.42578125" style="4" customWidth="1"/>
    <col min="2310" max="2311" width="12" style="4" customWidth="1"/>
    <col min="2312" max="2313" width="8.85546875" style="4"/>
    <col min="2314" max="2314" width="10.7109375" style="4" bestFit="1" customWidth="1"/>
    <col min="2315" max="2557" width="8.85546875" style="4"/>
    <col min="2558" max="2558" width="1.7109375" style="4" customWidth="1"/>
    <col min="2559" max="2559" width="40.7109375" style="4" customWidth="1"/>
    <col min="2560" max="2564" width="10.7109375" style="4" customWidth="1"/>
    <col min="2565" max="2565" width="11.42578125" style="4" customWidth="1"/>
    <col min="2566" max="2567" width="12" style="4" customWidth="1"/>
    <col min="2568" max="2569" width="8.85546875" style="4"/>
    <col min="2570" max="2570" width="10.7109375" style="4" bestFit="1" customWidth="1"/>
    <col min="2571" max="2813" width="8.85546875" style="4"/>
    <col min="2814" max="2814" width="1.7109375" style="4" customWidth="1"/>
    <col min="2815" max="2815" width="40.7109375" style="4" customWidth="1"/>
    <col min="2816" max="2820" width="10.7109375" style="4" customWidth="1"/>
    <col min="2821" max="2821" width="11.42578125" style="4" customWidth="1"/>
    <col min="2822" max="2823" width="12" style="4" customWidth="1"/>
    <col min="2824" max="2825" width="8.85546875" style="4"/>
    <col min="2826" max="2826" width="10.7109375" style="4" bestFit="1" customWidth="1"/>
    <col min="2827" max="3069" width="8.85546875" style="4"/>
    <col min="3070" max="3070" width="1.7109375" style="4" customWidth="1"/>
    <col min="3071" max="3071" width="40.7109375" style="4" customWidth="1"/>
    <col min="3072" max="3076" width="10.7109375" style="4" customWidth="1"/>
    <col min="3077" max="3077" width="11.42578125" style="4" customWidth="1"/>
    <col min="3078" max="3079" width="12" style="4" customWidth="1"/>
    <col min="3080" max="3081" width="8.85546875" style="4"/>
    <col min="3082" max="3082" width="10.7109375" style="4" bestFit="1" customWidth="1"/>
    <col min="3083" max="3325" width="8.85546875" style="4"/>
    <col min="3326" max="3326" width="1.7109375" style="4" customWidth="1"/>
    <col min="3327" max="3327" width="40.7109375" style="4" customWidth="1"/>
    <col min="3328" max="3332" width="10.7109375" style="4" customWidth="1"/>
    <col min="3333" max="3333" width="11.42578125" style="4" customWidth="1"/>
    <col min="3334" max="3335" width="12" style="4" customWidth="1"/>
    <col min="3336" max="3337" width="8.85546875" style="4"/>
    <col min="3338" max="3338" width="10.7109375" style="4" bestFit="1" customWidth="1"/>
    <col min="3339" max="3581" width="8.85546875" style="4"/>
    <col min="3582" max="3582" width="1.7109375" style="4" customWidth="1"/>
    <col min="3583" max="3583" width="40.7109375" style="4" customWidth="1"/>
    <col min="3584" max="3588" width="10.7109375" style="4" customWidth="1"/>
    <col min="3589" max="3589" width="11.42578125" style="4" customWidth="1"/>
    <col min="3590" max="3591" width="12" style="4" customWidth="1"/>
    <col min="3592" max="3593" width="8.85546875" style="4"/>
    <col min="3594" max="3594" width="10.7109375" style="4" bestFit="1" customWidth="1"/>
    <col min="3595" max="3837" width="8.85546875" style="4"/>
    <col min="3838" max="3838" width="1.7109375" style="4" customWidth="1"/>
    <col min="3839" max="3839" width="40.7109375" style="4" customWidth="1"/>
    <col min="3840" max="3844" width="10.7109375" style="4" customWidth="1"/>
    <col min="3845" max="3845" width="11.42578125" style="4" customWidth="1"/>
    <col min="3846" max="3847" width="12" style="4" customWidth="1"/>
    <col min="3848" max="3849" width="8.85546875" style="4"/>
    <col min="3850" max="3850" width="10.7109375" style="4" bestFit="1" customWidth="1"/>
    <col min="3851" max="4093" width="8.85546875" style="4"/>
    <col min="4094" max="4094" width="1.7109375" style="4" customWidth="1"/>
    <col min="4095" max="4095" width="40.7109375" style="4" customWidth="1"/>
    <col min="4096" max="4100" width="10.7109375" style="4" customWidth="1"/>
    <col min="4101" max="4101" width="11.42578125" style="4" customWidth="1"/>
    <col min="4102" max="4103" width="12" style="4" customWidth="1"/>
    <col min="4104" max="4105" width="8.85546875" style="4"/>
    <col min="4106" max="4106" width="10.7109375" style="4" bestFit="1" customWidth="1"/>
    <col min="4107" max="4349" width="8.85546875" style="4"/>
    <col min="4350" max="4350" width="1.7109375" style="4" customWidth="1"/>
    <col min="4351" max="4351" width="40.7109375" style="4" customWidth="1"/>
    <col min="4352" max="4356" width="10.7109375" style="4" customWidth="1"/>
    <col min="4357" max="4357" width="11.42578125" style="4" customWidth="1"/>
    <col min="4358" max="4359" width="12" style="4" customWidth="1"/>
    <col min="4360" max="4361" width="8.85546875" style="4"/>
    <col min="4362" max="4362" width="10.7109375" style="4" bestFit="1" customWidth="1"/>
    <col min="4363" max="4605" width="8.85546875" style="4"/>
    <col min="4606" max="4606" width="1.7109375" style="4" customWidth="1"/>
    <col min="4607" max="4607" width="40.7109375" style="4" customWidth="1"/>
    <col min="4608" max="4612" width="10.7109375" style="4" customWidth="1"/>
    <col min="4613" max="4613" width="11.42578125" style="4" customWidth="1"/>
    <col min="4614" max="4615" width="12" style="4" customWidth="1"/>
    <col min="4616" max="4617" width="8.85546875" style="4"/>
    <col min="4618" max="4618" width="10.7109375" style="4" bestFit="1" customWidth="1"/>
    <col min="4619" max="4861" width="8.85546875" style="4"/>
    <col min="4862" max="4862" width="1.7109375" style="4" customWidth="1"/>
    <col min="4863" max="4863" width="40.7109375" style="4" customWidth="1"/>
    <col min="4864" max="4868" width="10.7109375" style="4" customWidth="1"/>
    <col min="4869" max="4869" width="11.42578125" style="4" customWidth="1"/>
    <col min="4870" max="4871" width="12" style="4" customWidth="1"/>
    <col min="4872" max="4873" width="8.85546875" style="4"/>
    <col min="4874" max="4874" width="10.7109375" style="4" bestFit="1" customWidth="1"/>
    <col min="4875" max="5117" width="8.85546875" style="4"/>
    <col min="5118" max="5118" width="1.7109375" style="4" customWidth="1"/>
    <col min="5119" max="5119" width="40.7109375" style="4" customWidth="1"/>
    <col min="5120" max="5124" width="10.7109375" style="4" customWidth="1"/>
    <col min="5125" max="5125" width="11.42578125" style="4" customWidth="1"/>
    <col min="5126" max="5127" width="12" style="4" customWidth="1"/>
    <col min="5128" max="5129" width="8.85546875" style="4"/>
    <col min="5130" max="5130" width="10.7109375" style="4" bestFit="1" customWidth="1"/>
    <col min="5131" max="5373" width="8.85546875" style="4"/>
    <col min="5374" max="5374" width="1.7109375" style="4" customWidth="1"/>
    <col min="5375" max="5375" width="40.7109375" style="4" customWidth="1"/>
    <col min="5376" max="5380" width="10.7109375" style="4" customWidth="1"/>
    <col min="5381" max="5381" width="11.42578125" style="4" customWidth="1"/>
    <col min="5382" max="5383" width="12" style="4" customWidth="1"/>
    <col min="5384" max="5385" width="8.85546875" style="4"/>
    <col min="5386" max="5386" width="10.7109375" style="4" bestFit="1" customWidth="1"/>
    <col min="5387" max="5629" width="8.85546875" style="4"/>
    <col min="5630" max="5630" width="1.7109375" style="4" customWidth="1"/>
    <col min="5631" max="5631" width="40.7109375" style="4" customWidth="1"/>
    <col min="5632" max="5636" width="10.7109375" style="4" customWidth="1"/>
    <col min="5637" max="5637" width="11.42578125" style="4" customWidth="1"/>
    <col min="5638" max="5639" width="12" style="4" customWidth="1"/>
    <col min="5640" max="5641" width="8.85546875" style="4"/>
    <col min="5642" max="5642" width="10.7109375" style="4" bestFit="1" customWidth="1"/>
    <col min="5643" max="5885" width="8.85546875" style="4"/>
    <col min="5886" max="5886" width="1.7109375" style="4" customWidth="1"/>
    <col min="5887" max="5887" width="40.7109375" style="4" customWidth="1"/>
    <col min="5888" max="5892" width="10.7109375" style="4" customWidth="1"/>
    <col min="5893" max="5893" width="11.42578125" style="4" customWidth="1"/>
    <col min="5894" max="5895" width="12" style="4" customWidth="1"/>
    <col min="5896" max="5897" width="8.85546875" style="4"/>
    <col min="5898" max="5898" width="10.7109375" style="4" bestFit="1" customWidth="1"/>
    <col min="5899" max="6141" width="8.85546875" style="4"/>
    <col min="6142" max="6142" width="1.7109375" style="4" customWidth="1"/>
    <col min="6143" max="6143" width="40.7109375" style="4" customWidth="1"/>
    <col min="6144" max="6148" width="10.7109375" style="4" customWidth="1"/>
    <col min="6149" max="6149" width="11.42578125" style="4" customWidth="1"/>
    <col min="6150" max="6151" width="12" style="4" customWidth="1"/>
    <col min="6152" max="6153" width="8.85546875" style="4"/>
    <col min="6154" max="6154" width="10.7109375" style="4" bestFit="1" customWidth="1"/>
    <col min="6155" max="6397" width="8.85546875" style="4"/>
    <col min="6398" max="6398" width="1.7109375" style="4" customWidth="1"/>
    <col min="6399" max="6399" width="40.7109375" style="4" customWidth="1"/>
    <col min="6400" max="6404" width="10.7109375" style="4" customWidth="1"/>
    <col min="6405" max="6405" width="11.42578125" style="4" customWidth="1"/>
    <col min="6406" max="6407" width="12" style="4" customWidth="1"/>
    <col min="6408" max="6409" width="8.85546875" style="4"/>
    <col min="6410" max="6410" width="10.7109375" style="4" bestFit="1" customWidth="1"/>
    <col min="6411" max="6653" width="8.85546875" style="4"/>
    <col min="6654" max="6654" width="1.7109375" style="4" customWidth="1"/>
    <col min="6655" max="6655" width="40.7109375" style="4" customWidth="1"/>
    <col min="6656" max="6660" width="10.7109375" style="4" customWidth="1"/>
    <col min="6661" max="6661" width="11.42578125" style="4" customWidth="1"/>
    <col min="6662" max="6663" width="12" style="4" customWidth="1"/>
    <col min="6664" max="6665" width="8.85546875" style="4"/>
    <col min="6666" max="6666" width="10.7109375" style="4" bestFit="1" customWidth="1"/>
    <col min="6667" max="6909" width="8.85546875" style="4"/>
    <col min="6910" max="6910" width="1.7109375" style="4" customWidth="1"/>
    <col min="6911" max="6911" width="40.7109375" style="4" customWidth="1"/>
    <col min="6912" max="6916" width="10.7109375" style="4" customWidth="1"/>
    <col min="6917" max="6917" width="11.42578125" style="4" customWidth="1"/>
    <col min="6918" max="6919" width="12" style="4" customWidth="1"/>
    <col min="6920" max="6921" width="8.85546875" style="4"/>
    <col min="6922" max="6922" width="10.7109375" style="4" bestFit="1" customWidth="1"/>
    <col min="6923" max="7165" width="8.85546875" style="4"/>
    <col min="7166" max="7166" width="1.7109375" style="4" customWidth="1"/>
    <col min="7167" max="7167" width="40.7109375" style="4" customWidth="1"/>
    <col min="7168" max="7172" width="10.7109375" style="4" customWidth="1"/>
    <col min="7173" max="7173" width="11.42578125" style="4" customWidth="1"/>
    <col min="7174" max="7175" width="12" style="4" customWidth="1"/>
    <col min="7176" max="7177" width="8.85546875" style="4"/>
    <col min="7178" max="7178" width="10.7109375" style="4" bestFit="1" customWidth="1"/>
    <col min="7179" max="7421" width="8.85546875" style="4"/>
    <col min="7422" max="7422" width="1.7109375" style="4" customWidth="1"/>
    <col min="7423" max="7423" width="40.7109375" style="4" customWidth="1"/>
    <col min="7424" max="7428" width="10.7109375" style="4" customWidth="1"/>
    <col min="7429" max="7429" width="11.42578125" style="4" customWidth="1"/>
    <col min="7430" max="7431" width="12" style="4" customWidth="1"/>
    <col min="7432" max="7433" width="8.85546875" style="4"/>
    <col min="7434" max="7434" width="10.7109375" style="4" bestFit="1" customWidth="1"/>
    <col min="7435" max="7677" width="8.85546875" style="4"/>
    <col min="7678" max="7678" width="1.7109375" style="4" customWidth="1"/>
    <col min="7679" max="7679" width="40.7109375" style="4" customWidth="1"/>
    <col min="7680" max="7684" width="10.7109375" style="4" customWidth="1"/>
    <col min="7685" max="7685" width="11.42578125" style="4" customWidth="1"/>
    <col min="7686" max="7687" width="12" style="4" customWidth="1"/>
    <col min="7688" max="7689" width="8.85546875" style="4"/>
    <col min="7690" max="7690" width="10.7109375" style="4" bestFit="1" customWidth="1"/>
    <col min="7691" max="7933" width="8.85546875" style="4"/>
    <col min="7934" max="7934" width="1.7109375" style="4" customWidth="1"/>
    <col min="7935" max="7935" width="40.7109375" style="4" customWidth="1"/>
    <col min="7936" max="7940" width="10.7109375" style="4" customWidth="1"/>
    <col min="7941" max="7941" width="11.42578125" style="4" customWidth="1"/>
    <col min="7942" max="7943" width="12" style="4" customWidth="1"/>
    <col min="7944" max="7945" width="8.85546875" style="4"/>
    <col min="7946" max="7946" width="10.7109375" style="4" bestFit="1" customWidth="1"/>
    <col min="7947" max="8189" width="8.85546875" style="4"/>
    <col min="8190" max="8190" width="1.7109375" style="4" customWidth="1"/>
    <col min="8191" max="8191" width="40.7109375" style="4" customWidth="1"/>
    <col min="8192" max="8196" width="10.7109375" style="4" customWidth="1"/>
    <col min="8197" max="8197" width="11.42578125" style="4" customWidth="1"/>
    <col min="8198" max="8199" width="12" style="4" customWidth="1"/>
    <col min="8200" max="8201" width="8.85546875" style="4"/>
    <col min="8202" max="8202" width="10.7109375" style="4" bestFit="1" customWidth="1"/>
    <col min="8203" max="8445" width="8.85546875" style="4"/>
    <col min="8446" max="8446" width="1.7109375" style="4" customWidth="1"/>
    <col min="8447" max="8447" width="40.7109375" style="4" customWidth="1"/>
    <col min="8448" max="8452" width="10.7109375" style="4" customWidth="1"/>
    <col min="8453" max="8453" width="11.42578125" style="4" customWidth="1"/>
    <col min="8454" max="8455" width="12" style="4" customWidth="1"/>
    <col min="8456" max="8457" width="8.85546875" style="4"/>
    <col min="8458" max="8458" width="10.7109375" style="4" bestFit="1" customWidth="1"/>
    <col min="8459" max="8701" width="8.85546875" style="4"/>
    <col min="8702" max="8702" width="1.7109375" style="4" customWidth="1"/>
    <col min="8703" max="8703" width="40.7109375" style="4" customWidth="1"/>
    <col min="8704" max="8708" width="10.7109375" style="4" customWidth="1"/>
    <col min="8709" max="8709" width="11.42578125" style="4" customWidth="1"/>
    <col min="8710" max="8711" width="12" style="4" customWidth="1"/>
    <col min="8712" max="8713" width="8.85546875" style="4"/>
    <col min="8714" max="8714" width="10.7109375" style="4" bestFit="1" customWidth="1"/>
    <col min="8715" max="8957" width="8.85546875" style="4"/>
    <col min="8958" max="8958" width="1.7109375" style="4" customWidth="1"/>
    <col min="8959" max="8959" width="40.7109375" style="4" customWidth="1"/>
    <col min="8960" max="8964" width="10.7109375" style="4" customWidth="1"/>
    <col min="8965" max="8965" width="11.42578125" style="4" customWidth="1"/>
    <col min="8966" max="8967" width="12" style="4" customWidth="1"/>
    <col min="8968" max="8969" width="8.85546875" style="4"/>
    <col min="8970" max="8970" width="10.7109375" style="4" bestFit="1" customWidth="1"/>
    <col min="8971" max="9213" width="8.85546875" style="4"/>
    <col min="9214" max="9214" width="1.7109375" style="4" customWidth="1"/>
    <col min="9215" max="9215" width="40.7109375" style="4" customWidth="1"/>
    <col min="9216" max="9220" width="10.7109375" style="4" customWidth="1"/>
    <col min="9221" max="9221" width="11.42578125" style="4" customWidth="1"/>
    <col min="9222" max="9223" width="12" style="4" customWidth="1"/>
    <col min="9224" max="9225" width="8.85546875" style="4"/>
    <col min="9226" max="9226" width="10.7109375" style="4" bestFit="1" customWidth="1"/>
    <col min="9227" max="9469" width="8.85546875" style="4"/>
    <col min="9470" max="9470" width="1.7109375" style="4" customWidth="1"/>
    <col min="9471" max="9471" width="40.7109375" style="4" customWidth="1"/>
    <col min="9472" max="9476" width="10.7109375" style="4" customWidth="1"/>
    <col min="9477" max="9477" width="11.42578125" style="4" customWidth="1"/>
    <col min="9478" max="9479" width="12" style="4" customWidth="1"/>
    <col min="9480" max="9481" width="8.85546875" style="4"/>
    <col min="9482" max="9482" width="10.7109375" style="4" bestFit="1" customWidth="1"/>
    <col min="9483" max="9725" width="8.85546875" style="4"/>
    <col min="9726" max="9726" width="1.7109375" style="4" customWidth="1"/>
    <col min="9727" max="9727" width="40.7109375" style="4" customWidth="1"/>
    <col min="9728" max="9732" width="10.7109375" style="4" customWidth="1"/>
    <col min="9733" max="9733" width="11.42578125" style="4" customWidth="1"/>
    <col min="9734" max="9735" width="12" style="4" customWidth="1"/>
    <col min="9736" max="9737" width="8.85546875" style="4"/>
    <col min="9738" max="9738" width="10.7109375" style="4" bestFit="1" customWidth="1"/>
    <col min="9739" max="9981" width="8.85546875" style="4"/>
    <col min="9982" max="9982" width="1.7109375" style="4" customWidth="1"/>
    <col min="9983" max="9983" width="40.7109375" style="4" customWidth="1"/>
    <col min="9984" max="9988" width="10.7109375" style="4" customWidth="1"/>
    <col min="9989" max="9989" width="11.42578125" style="4" customWidth="1"/>
    <col min="9990" max="9991" width="12" style="4" customWidth="1"/>
    <col min="9992" max="9993" width="8.85546875" style="4"/>
    <col min="9994" max="9994" width="10.7109375" style="4" bestFit="1" customWidth="1"/>
    <col min="9995" max="10237" width="8.85546875" style="4"/>
    <col min="10238" max="10238" width="1.7109375" style="4" customWidth="1"/>
    <col min="10239" max="10239" width="40.7109375" style="4" customWidth="1"/>
    <col min="10240" max="10244" width="10.7109375" style="4" customWidth="1"/>
    <col min="10245" max="10245" width="11.42578125" style="4" customWidth="1"/>
    <col min="10246" max="10247" width="12" style="4" customWidth="1"/>
    <col min="10248" max="10249" width="8.85546875" style="4"/>
    <col min="10250" max="10250" width="10.7109375" style="4" bestFit="1" customWidth="1"/>
    <col min="10251" max="10493" width="8.85546875" style="4"/>
    <col min="10494" max="10494" width="1.7109375" style="4" customWidth="1"/>
    <col min="10495" max="10495" width="40.7109375" style="4" customWidth="1"/>
    <col min="10496" max="10500" width="10.7109375" style="4" customWidth="1"/>
    <col min="10501" max="10501" width="11.42578125" style="4" customWidth="1"/>
    <col min="10502" max="10503" width="12" style="4" customWidth="1"/>
    <col min="10504" max="10505" width="8.85546875" style="4"/>
    <col min="10506" max="10506" width="10.7109375" style="4" bestFit="1" customWidth="1"/>
    <col min="10507" max="10749" width="8.85546875" style="4"/>
    <col min="10750" max="10750" width="1.7109375" style="4" customWidth="1"/>
    <col min="10751" max="10751" width="40.7109375" style="4" customWidth="1"/>
    <col min="10752" max="10756" width="10.7109375" style="4" customWidth="1"/>
    <col min="10757" max="10757" width="11.42578125" style="4" customWidth="1"/>
    <col min="10758" max="10759" width="12" style="4" customWidth="1"/>
    <col min="10760" max="10761" width="8.85546875" style="4"/>
    <col min="10762" max="10762" width="10.7109375" style="4" bestFit="1" customWidth="1"/>
    <col min="10763" max="11005" width="8.85546875" style="4"/>
    <col min="11006" max="11006" width="1.7109375" style="4" customWidth="1"/>
    <col min="11007" max="11007" width="40.7109375" style="4" customWidth="1"/>
    <col min="11008" max="11012" width="10.7109375" style="4" customWidth="1"/>
    <col min="11013" max="11013" width="11.42578125" style="4" customWidth="1"/>
    <col min="11014" max="11015" width="12" style="4" customWidth="1"/>
    <col min="11016" max="11017" width="8.85546875" style="4"/>
    <col min="11018" max="11018" width="10.7109375" style="4" bestFit="1" customWidth="1"/>
    <col min="11019" max="11261" width="8.85546875" style="4"/>
    <col min="11262" max="11262" width="1.7109375" style="4" customWidth="1"/>
    <col min="11263" max="11263" width="40.7109375" style="4" customWidth="1"/>
    <col min="11264" max="11268" width="10.7109375" style="4" customWidth="1"/>
    <col min="11269" max="11269" width="11.42578125" style="4" customWidth="1"/>
    <col min="11270" max="11271" width="12" style="4" customWidth="1"/>
    <col min="11272" max="11273" width="8.85546875" style="4"/>
    <col min="11274" max="11274" width="10.7109375" style="4" bestFit="1" customWidth="1"/>
    <col min="11275" max="11517" width="8.85546875" style="4"/>
    <col min="11518" max="11518" width="1.7109375" style="4" customWidth="1"/>
    <col min="11519" max="11519" width="40.7109375" style="4" customWidth="1"/>
    <col min="11520" max="11524" width="10.7109375" style="4" customWidth="1"/>
    <col min="11525" max="11525" width="11.42578125" style="4" customWidth="1"/>
    <col min="11526" max="11527" width="12" style="4" customWidth="1"/>
    <col min="11528" max="11529" width="8.85546875" style="4"/>
    <col min="11530" max="11530" width="10.7109375" style="4" bestFit="1" customWidth="1"/>
    <col min="11531" max="11773" width="8.85546875" style="4"/>
    <col min="11774" max="11774" width="1.7109375" style="4" customWidth="1"/>
    <col min="11775" max="11775" width="40.7109375" style="4" customWidth="1"/>
    <col min="11776" max="11780" width="10.7109375" style="4" customWidth="1"/>
    <col min="11781" max="11781" width="11.42578125" style="4" customWidth="1"/>
    <col min="11782" max="11783" width="12" style="4" customWidth="1"/>
    <col min="11784" max="11785" width="8.85546875" style="4"/>
    <col min="11786" max="11786" width="10.7109375" style="4" bestFit="1" customWidth="1"/>
    <col min="11787" max="12029" width="8.85546875" style="4"/>
    <col min="12030" max="12030" width="1.7109375" style="4" customWidth="1"/>
    <col min="12031" max="12031" width="40.7109375" style="4" customWidth="1"/>
    <col min="12032" max="12036" width="10.7109375" style="4" customWidth="1"/>
    <col min="12037" max="12037" width="11.42578125" style="4" customWidth="1"/>
    <col min="12038" max="12039" width="12" style="4" customWidth="1"/>
    <col min="12040" max="12041" width="8.85546875" style="4"/>
    <col min="12042" max="12042" width="10.7109375" style="4" bestFit="1" customWidth="1"/>
    <col min="12043" max="12285" width="8.85546875" style="4"/>
    <col min="12286" max="12286" width="1.7109375" style="4" customWidth="1"/>
    <col min="12287" max="12287" width="40.7109375" style="4" customWidth="1"/>
    <col min="12288" max="12292" width="10.7109375" style="4" customWidth="1"/>
    <col min="12293" max="12293" width="11.42578125" style="4" customWidth="1"/>
    <col min="12294" max="12295" width="12" style="4" customWidth="1"/>
    <col min="12296" max="12297" width="8.85546875" style="4"/>
    <col min="12298" max="12298" width="10.7109375" style="4" bestFit="1" customWidth="1"/>
    <col min="12299" max="12541" width="8.85546875" style="4"/>
    <col min="12542" max="12542" width="1.7109375" style="4" customWidth="1"/>
    <col min="12543" max="12543" width="40.7109375" style="4" customWidth="1"/>
    <col min="12544" max="12548" width="10.7109375" style="4" customWidth="1"/>
    <col min="12549" max="12549" width="11.42578125" style="4" customWidth="1"/>
    <col min="12550" max="12551" width="12" style="4" customWidth="1"/>
    <col min="12552" max="12553" width="8.85546875" style="4"/>
    <col min="12554" max="12554" width="10.7109375" style="4" bestFit="1" customWidth="1"/>
    <col min="12555" max="12797" width="8.85546875" style="4"/>
    <col min="12798" max="12798" width="1.7109375" style="4" customWidth="1"/>
    <col min="12799" max="12799" width="40.7109375" style="4" customWidth="1"/>
    <col min="12800" max="12804" width="10.7109375" style="4" customWidth="1"/>
    <col min="12805" max="12805" width="11.42578125" style="4" customWidth="1"/>
    <col min="12806" max="12807" width="12" style="4" customWidth="1"/>
    <col min="12808" max="12809" width="8.85546875" style="4"/>
    <col min="12810" max="12810" width="10.7109375" style="4" bestFit="1" customWidth="1"/>
    <col min="12811" max="13053" width="8.85546875" style="4"/>
    <col min="13054" max="13054" width="1.7109375" style="4" customWidth="1"/>
    <col min="13055" max="13055" width="40.7109375" style="4" customWidth="1"/>
    <col min="13056" max="13060" width="10.7109375" style="4" customWidth="1"/>
    <col min="13061" max="13061" width="11.42578125" style="4" customWidth="1"/>
    <col min="13062" max="13063" width="12" style="4" customWidth="1"/>
    <col min="13064" max="13065" width="8.85546875" style="4"/>
    <col min="13066" max="13066" width="10.7109375" style="4" bestFit="1" customWidth="1"/>
    <col min="13067" max="13309" width="8.85546875" style="4"/>
    <col min="13310" max="13310" width="1.7109375" style="4" customWidth="1"/>
    <col min="13311" max="13311" width="40.7109375" style="4" customWidth="1"/>
    <col min="13312" max="13316" width="10.7109375" style="4" customWidth="1"/>
    <col min="13317" max="13317" width="11.42578125" style="4" customWidth="1"/>
    <col min="13318" max="13319" width="12" style="4" customWidth="1"/>
    <col min="13320" max="13321" width="8.85546875" style="4"/>
    <col min="13322" max="13322" width="10.7109375" style="4" bestFit="1" customWidth="1"/>
    <col min="13323" max="13565" width="8.85546875" style="4"/>
    <col min="13566" max="13566" width="1.7109375" style="4" customWidth="1"/>
    <col min="13567" max="13567" width="40.7109375" style="4" customWidth="1"/>
    <col min="13568" max="13572" width="10.7109375" style="4" customWidth="1"/>
    <col min="13573" max="13573" width="11.42578125" style="4" customWidth="1"/>
    <col min="13574" max="13575" width="12" style="4" customWidth="1"/>
    <col min="13576" max="13577" width="8.85546875" style="4"/>
    <col min="13578" max="13578" width="10.7109375" style="4" bestFit="1" customWidth="1"/>
    <col min="13579" max="13821" width="8.85546875" style="4"/>
    <col min="13822" max="13822" width="1.7109375" style="4" customWidth="1"/>
    <col min="13823" max="13823" width="40.7109375" style="4" customWidth="1"/>
    <col min="13824" max="13828" width="10.7109375" style="4" customWidth="1"/>
    <col min="13829" max="13829" width="11.42578125" style="4" customWidth="1"/>
    <col min="13830" max="13831" width="12" style="4" customWidth="1"/>
    <col min="13832" max="13833" width="8.85546875" style="4"/>
    <col min="13834" max="13834" width="10.7109375" style="4" bestFit="1" customWidth="1"/>
    <col min="13835" max="14077" width="8.85546875" style="4"/>
    <col min="14078" max="14078" width="1.7109375" style="4" customWidth="1"/>
    <col min="14079" max="14079" width="40.7109375" style="4" customWidth="1"/>
    <col min="14080" max="14084" width="10.7109375" style="4" customWidth="1"/>
    <col min="14085" max="14085" width="11.42578125" style="4" customWidth="1"/>
    <col min="14086" max="14087" width="12" style="4" customWidth="1"/>
    <col min="14088" max="14089" width="8.85546875" style="4"/>
    <col min="14090" max="14090" width="10.7109375" style="4" bestFit="1" customWidth="1"/>
    <col min="14091" max="14333" width="8.85546875" style="4"/>
    <col min="14334" max="14334" width="1.7109375" style="4" customWidth="1"/>
    <col min="14335" max="14335" width="40.7109375" style="4" customWidth="1"/>
    <col min="14336" max="14340" width="10.7109375" style="4" customWidth="1"/>
    <col min="14341" max="14341" width="11.42578125" style="4" customWidth="1"/>
    <col min="14342" max="14343" width="12" style="4" customWidth="1"/>
    <col min="14344" max="14345" width="8.85546875" style="4"/>
    <col min="14346" max="14346" width="10.7109375" style="4" bestFit="1" customWidth="1"/>
    <col min="14347" max="14589" width="8.85546875" style="4"/>
    <col min="14590" max="14590" width="1.7109375" style="4" customWidth="1"/>
    <col min="14591" max="14591" width="40.7109375" style="4" customWidth="1"/>
    <col min="14592" max="14596" width="10.7109375" style="4" customWidth="1"/>
    <col min="14597" max="14597" width="11.42578125" style="4" customWidth="1"/>
    <col min="14598" max="14599" width="12" style="4" customWidth="1"/>
    <col min="14600" max="14601" width="8.85546875" style="4"/>
    <col min="14602" max="14602" width="10.7109375" style="4" bestFit="1" customWidth="1"/>
    <col min="14603" max="14845" width="8.85546875" style="4"/>
    <col min="14846" max="14846" width="1.7109375" style="4" customWidth="1"/>
    <col min="14847" max="14847" width="40.7109375" style="4" customWidth="1"/>
    <col min="14848" max="14852" width="10.7109375" style="4" customWidth="1"/>
    <col min="14853" max="14853" width="11.42578125" style="4" customWidth="1"/>
    <col min="14854" max="14855" width="12" style="4" customWidth="1"/>
    <col min="14856" max="14857" width="8.85546875" style="4"/>
    <col min="14858" max="14858" width="10.7109375" style="4" bestFit="1" customWidth="1"/>
    <col min="14859" max="15101" width="8.85546875" style="4"/>
    <col min="15102" max="15102" width="1.7109375" style="4" customWidth="1"/>
    <col min="15103" max="15103" width="40.7109375" style="4" customWidth="1"/>
    <col min="15104" max="15108" width="10.7109375" style="4" customWidth="1"/>
    <col min="15109" max="15109" width="11.42578125" style="4" customWidth="1"/>
    <col min="15110" max="15111" width="12" style="4" customWidth="1"/>
    <col min="15112" max="15113" width="8.85546875" style="4"/>
    <col min="15114" max="15114" width="10.7109375" style="4" bestFit="1" customWidth="1"/>
    <col min="15115" max="15357" width="8.85546875" style="4"/>
    <col min="15358" max="15358" width="1.7109375" style="4" customWidth="1"/>
    <col min="15359" max="15359" width="40.7109375" style="4" customWidth="1"/>
    <col min="15360" max="15364" width="10.7109375" style="4" customWidth="1"/>
    <col min="15365" max="15365" width="11.42578125" style="4" customWidth="1"/>
    <col min="15366" max="15367" width="12" style="4" customWidth="1"/>
    <col min="15368" max="15369" width="8.85546875" style="4"/>
    <col min="15370" max="15370" width="10.7109375" style="4" bestFit="1" customWidth="1"/>
    <col min="15371" max="15613" width="8.85546875" style="4"/>
    <col min="15614" max="15614" width="1.7109375" style="4" customWidth="1"/>
    <col min="15615" max="15615" width="40.7109375" style="4" customWidth="1"/>
    <col min="15616" max="15620" width="10.7109375" style="4" customWidth="1"/>
    <col min="15621" max="15621" width="11.42578125" style="4" customWidth="1"/>
    <col min="15622" max="15623" width="12" style="4" customWidth="1"/>
    <col min="15624" max="15625" width="8.85546875" style="4"/>
    <col min="15626" max="15626" width="10.7109375" style="4" bestFit="1" customWidth="1"/>
    <col min="15627" max="15869" width="8.85546875" style="4"/>
    <col min="15870" max="15870" width="1.7109375" style="4" customWidth="1"/>
    <col min="15871" max="15871" width="40.7109375" style="4" customWidth="1"/>
    <col min="15872" max="15876" width="10.7109375" style="4" customWidth="1"/>
    <col min="15877" max="15877" width="11.42578125" style="4" customWidth="1"/>
    <col min="15878" max="15879" width="12" style="4" customWidth="1"/>
    <col min="15880" max="15881" width="8.85546875" style="4"/>
    <col min="15882" max="15882" width="10.7109375" style="4" bestFit="1" customWidth="1"/>
    <col min="15883" max="16125" width="8.85546875" style="4"/>
    <col min="16126" max="16126" width="1.7109375" style="4" customWidth="1"/>
    <col min="16127" max="16127" width="40.7109375" style="4" customWidth="1"/>
    <col min="16128" max="16132" width="10.7109375" style="4" customWidth="1"/>
    <col min="16133" max="16133" width="11.42578125" style="4" customWidth="1"/>
    <col min="16134" max="16135" width="12" style="4" customWidth="1"/>
    <col min="16136" max="16137" width="8.85546875" style="4"/>
    <col min="16138" max="16138" width="10.7109375" style="4" bestFit="1" customWidth="1"/>
    <col min="16139" max="16384" width="8.85546875" style="4"/>
  </cols>
  <sheetData>
    <row r="1" spans="1:12" s="2" customFormat="1" ht="19.5" x14ac:dyDescent="0.3">
      <c r="A1" s="253" t="str">
        <f>CoName</f>
        <v xml:space="preserve">BJ's Resturant Inc. 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/>
      <c r="L1" s="40"/>
    </row>
    <row r="2" spans="1:12" x14ac:dyDescent="0.25">
      <c r="A2" s="16" t="s">
        <v>10</v>
      </c>
      <c r="B2" s="15"/>
      <c r="C2" s="262">
        <v>2022</v>
      </c>
      <c r="D2" s="262">
        <f>C2+1</f>
        <v>2023</v>
      </c>
      <c r="E2" s="262">
        <f t="shared" ref="E2:J2" si="0">D2+1</f>
        <v>2024</v>
      </c>
      <c r="F2" s="262">
        <f t="shared" si="0"/>
        <v>2025</v>
      </c>
      <c r="G2" s="262">
        <f t="shared" si="0"/>
        <v>2026</v>
      </c>
      <c r="H2" s="262">
        <f t="shared" si="0"/>
        <v>2027</v>
      </c>
      <c r="I2" s="262">
        <f t="shared" si="0"/>
        <v>2028</v>
      </c>
      <c r="J2" s="262">
        <f t="shared" si="0"/>
        <v>2029</v>
      </c>
    </row>
    <row r="3" spans="1:12" x14ac:dyDescent="0.25">
      <c r="A3" s="85"/>
      <c r="C3" s="98"/>
      <c r="D3" s="98"/>
      <c r="E3" s="98"/>
    </row>
    <row r="4" spans="1:12" x14ac:dyDescent="0.25">
      <c r="B4" s="29" t="s">
        <v>42</v>
      </c>
      <c r="C4" s="30"/>
      <c r="D4" s="30"/>
      <c r="E4" s="31"/>
      <c r="F4" s="174">
        <f>Assumptions!F10</f>
        <v>0.03</v>
      </c>
      <c r="G4" s="174">
        <f>Assumptions!G10</f>
        <v>2.5999999999999999E-2</v>
      </c>
      <c r="H4" s="174">
        <f>Assumptions!H10</f>
        <v>2.5000000000000001E-2</v>
      </c>
      <c r="I4" s="174">
        <f>Assumptions!I10</f>
        <v>0.03</v>
      </c>
      <c r="J4" s="174">
        <f>Assumptions!J10</f>
        <v>0.03</v>
      </c>
      <c r="K4" s="207"/>
      <c r="L4" s="207"/>
    </row>
    <row r="5" spans="1:12" x14ac:dyDescent="0.25">
      <c r="B5" s="29" t="s">
        <v>43</v>
      </c>
      <c r="C5" s="30"/>
      <c r="D5" s="30"/>
      <c r="E5" s="30"/>
      <c r="F5" s="174">
        <f>Assumptions!F11</f>
        <v>0.85089574022583037</v>
      </c>
      <c r="G5" s="174">
        <f>Assumptions!G11</f>
        <v>0.84589574022583036</v>
      </c>
      <c r="H5" s="174">
        <f>Assumptions!H11</f>
        <v>0.84089574022583036</v>
      </c>
      <c r="I5" s="174">
        <f>Assumptions!I11</f>
        <v>0.83589574022583035</v>
      </c>
      <c r="J5" s="174">
        <f>Assumptions!J11</f>
        <v>0.83089574022583035</v>
      </c>
      <c r="K5" s="207"/>
      <c r="L5" s="207"/>
    </row>
    <row r="6" spans="1:12" x14ac:dyDescent="0.25">
      <c r="B6" s="29" t="s">
        <v>44</v>
      </c>
      <c r="C6" s="30"/>
      <c r="D6" s="30"/>
      <c r="E6" s="30"/>
      <c r="F6" s="174">
        <f>Assumptions!F12</f>
        <v>0.11729168249313894</v>
      </c>
      <c r="G6" s="174">
        <f>Assumptions!G12</f>
        <v>0.11729168249313894</v>
      </c>
      <c r="H6" s="174">
        <f>Assumptions!H12</f>
        <v>0.11729168249313894</v>
      </c>
      <c r="I6" s="174">
        <f>Assumptions!I12</f>
        <v>0.11729168249313894</v>
      </c>
      <c r="J6" s="174">
        <f>Assumptions!J12</f>
        <v>0.11729168249313894</v>
      </c>
      <c r="K6" s="207"/>
      <c r="L6" s="207"/>
    </row>
    <row r="7" spans="1:12" x14ac:dyDescent="0.25">
      <c r="A7" s="85"/>
      <c r="B7" s="4" t="s">
        <v>45</v>
      </c>
      <c r="C7" s="29"/>
      <c r="D7" s="29"/>
      <c r="E7" s="29"/>
      <c r="F7" s="175">
        <f>Assumptions!F13</f>
        <v>0</v>
      </c>
      <c r="G7" s="175">
        <f>Assumptions!G13</f>
        <v>0</v>
      </c>
      <c r="H7" s="175">
        <f>Assumptions!H13</f>
        <v>0</v>
      </c>
      <c r="I7" s="175">
        <f>Assumptions!I13</f>
        <v>0</v>
      </c>
      <c r="J7" s="175">
        <f>Assumptions!J13</f>
        <v>0</v>
      </c>
      <c r="K7" s="208"/>
      <c r="L7" s="208"/>
    </row>
    <row r="8" spans="1:12" x14ac:dyDescent="0.25">
      <c r="A8" s="85"/>
      <c r="B8" s="4" t="s">
        <v>46</v>
      </c>
      <c r="C8" s="29"/>
      <c r="D8" s="29"/>
      <c r="E8" s="29"/>
      <c r="F8" s="176">
        <f>Assumptions!F14</f>
        <v>0</v>
      </c>
      <c r="G8" s="176">
        <f>Assumptions!G14</f>
        <v>0</v>
      </c>
      <c r="H8" s="176">
        <f>Assumptions!H14</f>
        <v>0</v>
      </c>
      <c r="I8" s="176">
        <f>Assumptions!I14</f>
        <v>0</v>
      </c>
      <c r="J8" s="176">
        <f>Assumptions!J14</f>
        <v>0</v>
      </c>
      <c r="K8" s="209"/>
      <c r="L8" s="209"/>
    </row>
    <row r="9" spans="1:12" x14ac:dyDescent="0.25">
      <c r="B9" s="4" t="s">
        <v>144</v>
      </c>
      <c r="F9" s="176">
        <f>Assumptions!F15</f>
        <v>0</v>
      </c>
      <c r="G9" s="176">
        <f>Assumptions!G15</f>
        <v>0</v>
      </c>
      <c r="H9" s="176">
        <f>Assumptions!H15</f>
        <v>0</v>
      </c>
      <c r="I9" s="176">
        <f>Assumptions!I15</f>
        <v>0</v>
      </c>
      <c r="J9" s="176">
        <f>Assumptions!J15</f>
        <v>0</v>
      </c>
      <c r="K9" s="209"/>
      <c r="L9" s="209"/>
    </row>
    <row r="10" spans="1:12" x14ac:dyDescent="0.25">
      <c r="B10" s="29" t="s">
        <v>47</v>
      </c>
      <c r="C10" s="42"/>
      <c r="D10" s="42"/>
      <c r="E10" s="42"/>
      <c r="F10" s="174">
        <f>Assumptions!F16</f>
        <v>0.21</v>
      </c>
      <c r="G10" s="174">
        <f>Assumptions!G16</f>
        <v>0.21</v>
      </c>
      <c r="H10" s="174">
        <f>Assumptions!H16</f>
        <v>0.21</v>
      </c>
      <c r="I10" s="174">
        <f>Assumptions!I16</f>
        <v>0.21</v>
      </c>
      <c r="J10" s="174">
        <f>Assumptions!J16</f>
        <v>0.21</v>
      </c>
      <c r="K10" s="207"/>
      <c r="L10" s="207"/>
    </row>
    <row r="11" spans="1:12" x14ac:dyDescent="0.25">
      <c r="B11" s="4" t="s">
        <v>48</v>
      </c>
      <c r="C11" s="29"/>
      <c r="D11" s="29"/>
      <c r="E11" s="38"/>
      <c r="F11" s="176">
        <f>Assumptions!F17</f>
        <v>23132</v>
      </c>
      <c r="G11" s="176">
        <f>Assumptions!G17</f>
        <v>23132</v>
      </c>
      <c r="H11" s="176">
        <f>Assumptions!H17</f>
        <v>23132</v>
      </c>
      <c r="I11" s="176">
        <f>Assumptions!I17</f>
        <v>23132</v>
      </c>
      <c r="J11" s="176">
        <f>Assumptions!J17</f>
        <v>23132</v>
      </c>
      <c r="K11" s="209"/>
      <c r="L11" s="209"/>
    </row>
    <row r="12" spans="1:12" x14ac:dyDescent="0.25">
      <c r="B12" s="4" t="s">
        <v>49</v>
      </c>
      <c r="C12" s="29"/>
      <c r="D12" s="29"/>
      <c r="E12" s="38"/>
      <c r="F12" s="176">
        <f>Assumptions!F18</f>
        <v>23768</v>
      </c>
      <c r="G12" s="176">
        <f>Assumptions!G18</f>
        <v>23768</v>
      </c>
      <c r="H12" s="176">
        <f>Assumptions!H18</f>
        <v>23768</v>
      </c>
      <c r="I12" s="176">
        <f>Assumptions!I18</f>
        <v>23768</v>
      </c>
      <c r="J12" s="176">
        <f>Assumptions!J18</f>
        <v>23768</v>
      </c>
      <c r="K12" s="209"/>
      <c r="L12" s="209"/>
    </row>
    <row r="13" spans="1:12" x14ac:dyDescent="0.25"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4.85" customHeight="1" x14ac:dyDescent="0.25">
      <c r="A14" s="177" t="s">
        <v>41</v>
      </c>
      <c r="B14" s="178"/>
      <c r="C14" s="252">
        <f>C2</f>
        <v>2022</v>
      </c>
      <c r="D14" s="252">
        <f>D2</f>
        <v>2023</v>
      </c>
      <c r="E14" s="252">
        <f>E2</f>
        <v>2024</v>
      </c>
      <c r="F14" s="252">
        <f>F2</f>
        <v>2025</v>
      </c>
      <c r="G14" s="252">
        <f>G2</f>
        <v>2026</v>
      </c>
      <c r="H14" s="252">
        <f>H2</f>
        <v>2027</v>
      </c>
      <c r="I14" s="252">
        <f>I2</f>
        <v>2028</v>
      </c>
      <c r="J14" s="252">
        <f>J2</f>
        <v>2029</v>
      </c>
      <c r="K14" s="205"/>
      <c r="L14" s="205"/>
    </row>
    <row r="15" spans="1:12" x14ac:dyDescent="0.25">
      <c r="B15" s="4" t="s">
        <v>50</v>
      </c>
      <c r="C15" s="96">
        <v>1283926</v>
      </c>
      <c r="D15" s="122">
        <v>1333229</v>
      </c>
      <c r="E15" s="22">
        <v>1357302</v>
      </c>
      <c r="F15" s="4">
        <f>E15*(1+F4)</f>
        <v>1398021.06</v>
      </c>
      <c r="G15" s="4">
        <f t="shared" ref="G15:J15" si="1">F15*(1+G4)</f>
        <v>1434369.6075600001</v>
      </c>
      <c r="H15" s="4">
        <f t="shared" si="1"/>
        <v>1470228.8477489999</v>
      </c>
      <c r="I15" s="4">
        <f t="shared" si="1"/>
        <v>1514335.7131814701</v>
      </c>
      <c r="J15" s="4">
        <f t="shared" si="1"/>
        <v>1559765.7845769143</v>
      </c>
    </row>
    <row r="16" spans="1:12" x14ac:dyDescent="0.25">
      <c r="B16" s="4" t="s">
        <v>156</v>
      </c>
      <c r="C16" s="122">
        <f>349645+483367+306150</f>
        <v>1139162</v>
      </c>
      <c r="D16" s="122">
        <f>346569+491314+317559</f>
        <v>1155442</v>
      </c>
      <c r="E16" s="22">
        <f>350560+495466+315683</f>
        <v>1161709</v>
      </c>
      <c r="F16" s="172">
        <f>F15*F5</f>
        <v>1189570.1647000001</v>
      </c>
      <c r="G16" s="172">
        <f t="shared" ref="G16:J16" si="2">G15*G5</f>
        <v>1213327.1409444001</v>
      </c>
      <c r="H16" s="172">
        <f t="shared" si="2"/>
        <v>1236309.1752292649</v>
      </c>
      <c r="I16" s="172">
        <f t="shared" si="2"/>
        <v>1265826.7719202356</v>
      </c>
      <c r="J16" s="172">
        <f t="shared" si="2"/>
        <v>1296002.7461549581</v>
      </c>
      <c r="K16" s="206"/>
      <c r="L16" s="206"/>
    </row>
    <row r="17" spans="1:12" x14ac:dyDescent="0.25">
      <c r="B17" s="4" t="s">
        <v>51</v>
      </c>
      <c r="C17" s="122">
        <f>1289406-C16-6200+3318</f>
        <v>147362</v>
      </c>
      <c r="D17" s="122">
        <f>1319470-D16-8125</f>
        <v>155903</v>
      </c>
      <c r="E17" s="22">
        <f>1343222-E16-18414</f>
        <v>163099</v>
      </c>
      <c r="F17" s="172">
        <f>F15*F6</f>
        <v>163976.24228824154</v>
      </c>
      <c r="G17" s="172">
        <f t="shared" ref="G17:J17" si="3">G15*G6</f>
        <v>168239.62458773583</v>
      </c>
      <c r="H17" s="172">
        <f t="shared" si="3"/>
        <v>172445.61520242921</v>
      </c>
      <c r="I17" s="172">
        <f t="shared" si="3"/>
        <v>177618.98365850211</v>
      </c>
      <c r="J17" s="172">
        <f t="shared" si="3"/>
        <v>182947.55316825717</v>
      </c>
      <c r="K17" s="206"/>
      <c r="L17" s="206"/>
    </row>
    <row r="18" spans="1:12" s="11" customFormat="1" x14ac:dyDescent="0.25">
      <c r="A18" s="11" t="s">
        <v>124</v>
      </c>
      <c r="B18" s="17" t="s">
        <v>54</v>
      </c>
      <c r="C18" s="18">
        <f>C15-SUM(C16:C17)</f>
        <v>-2598</v>
      </c>
      <c r="D18" s="18">
        <f>D15-SUM(D16:D17)</f>
        <v>21884</v>
      </c>
      <c r="E18" s="18">
        <f>E15-SUM(E16:E17)</f>
        <v>32494</v>
      </c>
      <c r="F18" s="18">
        <f>F15-SUM(F16:F17)</f>
        <v>44474.653011758346</v>
      </c>
      <c r="G18" s="18">
        <f t="shared" ref="G18:J18" si="4">G15-SUM(G16:G17)</f>
        <v>52802.842027864186</v>
      </c>
      <c r="H18" s="18">
        <f t="shared" si="4"/>
        <v>61474.057317305822</v>
      </c>
      <c r="I18" s="18">
        <f t="shared" si="4"/>
        <v>70889.957602732349</v>
      </c>
      <c r="J18" s="18">
        <f t="shared" si="4"/>
        <v>80815.485253698891</v>
      </c>
    </row>
    <row r="19" spans="1:12" s="11" customFormat="1" x14ac:dyDescent="0.25">
      <c r="E19" s="34"/>
    </row>
    <row r="20" spans="1:12" s="11" customFormat="1" x14ac:dyDescent="0.25">
      <c r="B20" s="4" t="s">
        <v>15</v>
      </c>
      <c r="C20" s="123">
        <v>70385</v>
      </c>
      <c r="D20" s="123">
        <v>70992</v>
      </c>
      <c r="E20" s="25">
        <v>72745</v>
      </c>
      <c r="F20" s="4">
        <f>Calcs!F8</f>
        <v>70437.521395985968</v>
      </c>
      <c r="G20" s="4">
        <f>Calcs!G8</f>
        <v>72022.346382494739</v>
      </c>
      <c r="H20" s="4">
        <f>Calcs!H8</f>
        <v>73668.867748078992</v>
      </c>
      <c r="I20" s="4">
        <f>Calcs!I8</f>
        <v>75369.354257011713</v>
      </c>
      <c r="J20" s="4">
        <f>Calcs!J8</f>
        <v>77163.206746010808</v>
      </c>
      <c r="K20" s="4"/>
      <c r="L20" s="4"/>
    </row>
    <row r="21" spans="1:12" s="11" customFormat="1" x14ac:dyDescent="0.25">
      <c r="B21" s="4" t="s">
        <v>53</v>
      </c>
      <c r="C21" s="96">
        <v>0</v>
      </c>
      <c r="D21" s="96">
        <v>0</v>
      </c>
      <c r="E21" s="124">
        <v>0</v>
      </c>
      <c r="F21" s="4">
        <f>F7</f>
        <v>0</v>
      </c>
      <c r="G21" s="4">
        <f t="shared" ref="G21:J21" si="5">G7</f>
        <v>0</v>
      </c>
      <c r="H21" s="4">
        <f t="shared" si="5"/>
        <v>0</v>
      </c>
      <c r="I21" s="4">
        <f t="shared" si="5"/>
        <v>0</v>
      </c>
      <c r="J21" s="4">
        <f t="shared" si="5"/>
        <v>0</v>
      </c>
      <c r="K21" s="4"/>
      <c r="L21" s="4"/>
    </row>
    <row r="22" spans="1:12" s="127" customFormat="1" x14ac:dyDescent="0.25">
      <c r="A22" s="127" t="s">
        <v>124</v>
      </c>
      <c r="B22" s="128" t="s">
        <v>52</v>
      </c>
      <c r="C22" s="129">
        <f>SUM(C18,C20:C21)</f>
        <v>67787</v>
      </c>
      <c r="D22" s="129">
        <f t="shared" ref="D22:F22" si="6">SUM(D18,D20:D21)</f>
        <v>92876</v>
      </c>
      <c r="E22" s="129">
        <f t="shared" si="6"/>
        <v>105239</v>
      </c>
      <c r="F22" s="129">
        <f t="shared" si="6"/>
        <v>114912.17440774431</v>
      </c>
      <c r="G22" s="129">
        <f t="shared" ref="G22:J22" si="7">SUM(G18,G20:G21)</f>
        <v>124825.18841035893</v>
      </c>
      <c r="H22" s="129">
        <f t="shared" si="7"/>
        <v>135142.92506538483</v>
      </c>
      <c r="I22" s="129">
        <f t="shared" si="7"/>
        <v>146259.31185974408</v>
      </c>
      <c r="J22" s="129">
        <f t="shared" si="7"/>
        <v>157978.6919997097</v>
      </c>
    </row>
    <row r="23" spans="1:12" s="11" customFormat="1" x14ac:dyDescent="0.25">
      <c r="C23" s="13"/>
      <c r="D23" s="4"/>
      <c r="E23" s="35"/>
      <c r="F23" s="4"/>
      <c r="G23" s="4"/>
      <c r="H23" s="4"/>
      <c r="I23" s="4"/>
      <c r="J23" s="4"/>
      <c r="K23" s="13"/>
      <c r="L23" s="13"/>
    </row>
    <row r="24" spans="1:12" s="11" customFormat="1" x14ac:dyDescent="0.25">
      <c r="B24" s="4" t="s">
        <v>55</v>
      </c>
      <c r="C24" s="94">
        <f>-6200+3318</f>
        <v>-2882</v>
      </c>
      <c r="D24" s="94">
        <v>-8125</v>
      </c>
      <c r="E24" s="95">
        <v>-18414</v>
      </c>
      <c r="F24" s="4">
        <f>F8</f>
        <v>0</v>
      </c>
      <c r="G24" s="4">
        <f t="shared" ref="G24:J24" si="8">G8</f>
        <v>0</v>
      </c>
      <c r="H24" s="4">
        <f t="shared" si="8"/>
        <v>0</v>
      </c>
      <c r="I24" s="4">
        <f t="shared" si="8"/>
        <v>0</v>
      </c>
      <c r="J24" s="4">
        <f t="shared" si="8"/>
        <v>0</v>
      </c>
      <c r="K24" s="4"/>
      <c r="L24" s="4"/>
    </row>
    <row r="25" spans="1:12" s="11" customFormat="1" x14ac:dyDescent="0.25">
      <c r="B25" s="4" t="s">
        <v>56</v>
      </c>
      <c r="C25" s="94">
        <v>60</v>
      </c>
      <c r="D25" s="94">
        <v>1256</v>
      </c>
      <c r="E25" s="95">
        <v>-331</v>
      </c>
      <c r="F25" s="4">
        <f>F9</f>
        <v>0</v>
      </c>
      <c r="G25" s="4">
        <f t="shared" ref="G25:J25" si="9">G9</f>
        <v>0</v>
      </c>
      <c r="H25" s="4">
        <f t="shared" si="9"/>
        <v>0</v>
      </c>
      <c r="I25" s="4">
        <f t="shared" si="9"/>
        <v>0</v>
      </c>
      <c r="J25" s="4">
        <f t="shared" si="9"/>
        <v>0</v>
      </c>
      <c r="K25" s="4"/>
      <c r="L25" s="4"/>
    </row>
    <row r="26" spans="1:12" s="11" customFormat="1" x14ac:dyDescent="0.25">
      <c r="B26" s="4"/>
      <c r="C26" s="10"/>
      <c r="D26" s="10"/>
      <c r="E26" s="22"/>
      <c r="F26" s="4"/>
      <c r="G26" s="4"/>
      <c r="H26" s="4"/>
      <c r="I26" s="4"/>
      <c r="J26" s="4"/>
      <c r="K26" s="4"/>
      <c r="L26" s="4"/>
    </row>
    <row r="27" spans="1:12" s="11" customFormat="1" x14ac:dyDescent="0.25">
      <c r="B27" s="4" t="s">
        <v>40</v>
      </c>
      <c r="C27" s="9">
        <v>0</v>
      </c>
      <c r="D27" s="9">
        <v>0</v>
      </c>
      <c r="E27" s="44">
        <v>0</v>
      </c>
      <c r="F27" s="280">
        <f>IF(circ=1,Debt!F33,0)</f>
        <v>0</v>
      </c>
      <c r="G27" s="280">
        <f>IF(circ=1,Debt!G33,0)</f>
        <v>0</v>
      </c>
      <c r="H27" s="280">
        <f>IF(circ=1,Debt!H33,0)</f>
        <v>0</v>
      </c>
      <c r="I27" s="280">
        <f>IF(circ=1,Debt!I33,0)</f>
        <v>0</v>
      </c>
      <c r="J27" s="280">
        <f>IF(circ=1,Debt!J33,0)</f>
        <v>0</v>
      </c>
      <c r="K27" s="182"/>
      <c r="L27" s="182"/>
    </row>
    <row r="28" spans="1:12" x14ac:dyDescent="0.25">
      <c r="B28" s="4" t="s">
        <v>32</v>
      </c>
      <c r="C28" s="9">
        <v>-2888</v>
      </c>
      <c r="D28" s="9">
        <v>-4915</v>
      </c>
      <c r="E28" s="44">
        <v>-5484</v>
      </c>
      <c r="F28" s="280">
        <f>IF(circ=1,Debt!F28,0)</f>
        <v>0</v>
      </c>
      <c r="G28" s="280">
        <f>IF(circ=1,Debt!G28,0)</f>
        <v>0</v>
      </c>
      <c r="H28" s="280">
        <f>IF(circ=1,Debt!H28,0)</f>
        <v>0</v>
      </c>
      <c r="I28" s="280">
        <f>IF(circ=1,Debt!I28,0)</f>
        <v>0</v>
      </c>
      <c r="J28" s="280">
        <f>IF(circ=1,Debt!J28,0)</f>
        <v>0</v>
      </c>
      <c r="K28" s="182"/>
      <c r="L28" s="182"/>
    </row>
    <row r="29" spans="1:12" x14ac:dyDescent="0.25">
      <c r="C29" s="10"/>
      <c r="D29" s="10"/>
      <c r="E29" s="22"/>
      <c r="H29" s="4"/>
    </row>
    <row r="30" spans="1:12" s="11" customFormat="1" x14ac:dyDescent="0.25">
      <c r="A30" s="11" t="s">
        <v>124</v>
      </c>
      <c r="B30" s="17" t="s">
        <v>84</v>
      </c>
      <c r="C30" s="18">
        <f t="shared" ref="C30:D30" si="10">C18+SUM(C25:C28)</f>
        <v>-5426</v>
      </c>
      <c r="D30" s="18">
        <f t="shared" si="10"/>
        <v>18225</v>
      </c>
      <c r="E30" s="18">
        <f>E18+SUM(E24:E28)</f>
        <v>8265</v>
      </c>
      <c r="F30" s="18">
        <f>F18+SUM(F24:F28)</f>
        <v>44474.653011758346</v>
      </c>
      <c r="G30" s="18">
        <f t="shared" ref="G30:J30" si="11">G18+SUM(G24:G28)</f>
        <v>52802.842027864186</v>
      </c>
      <c r="H30" s="18">
        <f t="shared" si="11"/>
        <v>61474.057317305822</v>
      </c>
      <c r="I30" s="18">
        <f t="shared" si="11"/>
        <v>70889.957602732349</v>
      </c>
      <c r="J30" s="18">
        <f t="shared" si="11"/>
        <v>80815.485253698891</v>
      </c>
    </row>
    <row r="31" spans="1:12" x14ac:dyDescent="0.25">
      <c r="E31" s="36"/>
      <c r="H31" s="4"/>
    </row>
    <row r="32" spans="1:12" x14ac:dyDescent="0.25">
      <c r="B32" s="4" t="s">
        <v>57</v>
      </c>
      <c r="C32" s="131">
        <v>-12384</v>
      </c>
      <c r="D32" s="4">
        <v>-9560</v>
      </c>
      <c r="E32" s="57">
        <v>-8422</v>
      </c>
      <c r="F32" s="4">
        <f>F30*F10</f>
        <v>9339.6771324692527</v>
      </c>
      <c r="G32" s="4">
        <f t="shared" ref="G32:J32" si="12">G30*G10</f>
        <v>11088.596825851479</v>
      </c>
      <c r="H32" s="4">
        <f t="shared" si="12"/>
        <v>12909.552036634223</v>
      </c>
      <c r="I32" s="4">
        <f t="shared" si="12"/>
        <v>14886.891096573792</v>
      </c>
      <c r="J32" s="4">
        <f t="shared" si="12"/>
        <v>16971.251903276767</v>
      </c>
    </row>
    <row r="33" spans="1:12" s="11" customFormat="1" x14ac:dyDescent="0.25">
      <c r="A33" s="11" t="s">
        <v>124</v>
      </c>
      <c r="B33" s="17" t="s">
        <v>58</v>
      </c>
      <c r="C33" s="18">
        <f>C30-C32</f>
        <v>6958</v>
      </c>
      <c r="D33" s="33">
        <f t="shared" ref="D33:F33" si="13">D30-D32</f>
        <v>27785</v>
      </c>
      <c r="E33" s="18">
        <f t="shared" si="13"/>
        <v>16687</v>
      </c>
      <c r="F33" s="18">
        <f t="shared" si="13"/>
        <v>35134.975879289093</v>
      </c>
      <c r="G33" s="18">
        <f t="shared" ref="G33:J33" si="14">G30-G32</f>
        <v>41714.245202012709</v>
      </c>
      <c r="H33" s="18">
        <f t="shared" si="14"/>
        <v>48564.505280671598</v>
      </c>
      <c r="I33" s="18">
        <f t="shared" si="14"/>
        <v>56003.066506158561</v>
      </c>
      <c r="J33" s="18">
        <f t="shared" si="14"/>
        <v>63844.233350422124</v>
      </c>
    </row>
    <row r="34" spans="1:12" x14ac:dyDescent="0.25">
      <c r="A34" s="20" t="s">
        <v>59</v>
      </c>
      <c r="B34" s="19"/>
      <c r="C34" s="252">
        <f>C14</f>
        <v>2022</v>
      </c>
      <c r="D34" s="252">
        <f>D14</f>
        <v>2023</v>
      </c>
      <c r="E34" s="252">
        <f>E14</f>
        <v>2024</v>
      </c>
      <c r="F34" s="252">
        <f>F14</f>
        <v>2025</v>
      </c>
      <c r="G34" s="252">
        <f t="shared" ref="G34:J34" si="15">G14</f>
        <v>2026</v>
      </c>
      <c r="H34" s="252">
        <f t="shared" si="15"/>
        <v>2027</v>
      </c>
      <c r="I34" s="252">
        <f t="shared" si="15"/>
        <v>2028</v>
      </c>
      <c r="J34" s="252">
        <f t="shared" si="15"/>
        <v>2029</v>
      </c>
      <c r="K34" s="202"/>
      <c r="L34" s="202"/>
    </row>
    <row r="35" spans="1:12" x14ac:dyDescent="0.25">
      <c r="B35" s="4" t="s">
        <v>48</v>
      </c>
      <c r="C35" s="10">
        <v>23405</v>
      </c>
      <c r="D35" s="10">
        <v>23452</v>
      </c>
      <c r="E35" s="22">
        <v>23132</v>
      </c>
      <c r="F35" s="173">
        <f>F11</f>
        <v>23132</v>
      </c>
      <c r="G35" s="173">
        <f t="shared" ref="G35:J35" si="16">G11</f>
        <v>23132</v>
      </c>
      <c r="H35" s="173">
        <f t="shared" si="16"/>
        <v>23132</v>
      </c>
      <c r="I35" s="173">
        <f t="shared" si="16"/>
        <v>23132</v>
      </c>
      <c r="J35" s="173">
        <f t="shared" si="16"/>
        <v>23132</v>
      </c>
      <c r="K35" s="206"/>
      <c r="L35" s="206"/>
    </row>
    <row r="36" spans="1:12" x14ac:dyDescent="0.25">
      <c r="B36" s="4" t="s">
        <v>49</v>
      </c>
      <c r="C36" s="10">
        <v>23662</v>
      </c>
      <c r="D36" s="10">
        <v>23923</v>
      </c>
      <c r="E36" s="22">
        <v>23768</v>
      </c>
      <c r="F36" s="173">
        <f>F12</f>
        <v>23768</v>
      </c>
      <c r="G36" s="173">
        <f t="shared" ref="G36:J36" si="17">G12</f>
        <v>23768</v>
      </c>
      <c r="H36" s="173">
        <f t="shared" si="17"/>
        <v>23768</v>
      </c>
      <c r="I36" s="173">
        <f t="shared" si="17"/>
        <v>23768</v>
      </c>
      <c r="J36" s="173">
        <f t="shared" si="17"/>
        <v>23768</v>
      </c>
      <c r="K36" s="206"/>
      <c r="L36" s="206"/>
    </row>
    <row r="37" spans="1:12" x14ac:dyDescent="0.25">
      <c r="B37" s="4" t="s">
        <v>60</v>
      </c>
      <c r="C37" s="180">
        <f>C33/C35</f>
        <v>0.29728690450758383</v>
      </c>
      <c r="D37" s="180">
        <f>D33/D35</f>
        <v>1.1847603615896298</v>
      </c>
      <c r="E37" s="181">
        <f>E33/E35</f>
        <v>0.72138163582915438</v>
      </c>
      <c r="F37" s="172">
        <f>F33/F35</f>
        <v>1.5188905360232186</v>
      </c>
      <c r="G37" s="172">
        <f t="shared" ref="G37:J37" si="18">G33/G35</f>
        <v>1.8033133841437277</v>
      </c>
      <c r="H37" s="172">
        <f t="shared" si="18"/>
        <v>2.0994512052858205</v>
      </c>
      <c r="I37" s="172">
        <f t="shared" si="18"/>
        <v>2.421021377579049</v>
      </c>
      <c r="J37" s="172">
        <f t="shared" si="18"/>
        <v>2.7599962541251135</v>
      </c>
      <c r="K37" s="206"/>
      <c r="L37" s="206"/>
    </row>
    <row r="38" spans="1:12" s="11" customFormat="1" x14ac:dyDescent="0.25">
      <c r="A38" s="11" t="s">
        <v>124</v>
      </c>
      <c r="B38" s="17" t="s">
        <v>61</v>
      </c>
      <c r="C38" s="179">
        <f>C33/C36</f>
        <v>0.29405798326430566</v>
      </c>
      <c r="D38" s="179">
        <f>D33/D36</f>
        <v>1.16143460268361</v>
      </c>
      <c r="E38" s="179">
        <f>E33/E36</f>
        <v>0.7020784247728038</v>
      </c>
      <c r="F38" s="179">
        <f>F33/F36</f>
        <v>1.4782470497849669</v>
      </c>
      <c r="G38" s="179">
        <f t="shared" ref="G38:J38" si="19">G33/G36</f>
        <v>1.7550591215925913</v>
      </c>
      <c r="H38" s="179">
        <f t="shared" si="19"/>
        <v>2.0432726893584481</v>
      </c>
      <c r="I38" s="179">
        <f t="shared" si="19"/>
        <v>2.3562380724570247</v>
      </c>
      <c r="J38" s="179">
        <f t="shared" si="19"/>
        <v>2.6861424331210926</v>
      </c>
      <c r="K38" s="210"/>
      <c r="L38" s="210"/>
    </row>
    <row r="39" spans="1:12" x14ac:dyDescent="0.25">
      <c r="C39" s="14"/>
      <c r="D39" s="14"/>
      <c r="E39" s="37"/>
      <c r="F39" s="14"/>
      <c r="G39" s="14"/>
      <c r="H39" s="14"/>
      <c r="I39" s="14"/>
      <c r="J39" s="14"/>
    </row>
    <row r="40" spans="1:12" x14ac:dyDescent="0.25">
      <c r="D40" s="14"/>
      <c r="E40" s="14"/>
      <c r="F40" s="14"/>
    </row>
  </sheetData>
  <conditionalFormatting sqref="F4:L12">
    <cfRule type="expression" dxfId="1" priority="35">
      <formula>$E$11&gt;1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autoPageBreaks="0" fitToPage="1"/>
  </sheetPr>
  <dimension ref="A1:L57"/>
  <sheetViews>
    <sheetView showGridLines="0" topLeftCell="A42" zoomScaleNormal="100" workbookViewId="0">
      <selection activeCell="F42" sqref="F42"/>
    </sheetView>
  </sheetViews>
  <sheetFormatPr defaultColWidth="8.85546875" defaultRowHeight="15" x14ac:dyDescent="0.25"/>
  <cols>
    <col min="1" max="1" width="1.7109375" style="4" customWidth="1"/>
    <col min="2" max="2" width="42.855468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2.855468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2.855468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2.855468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2.855468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2.855468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2.855468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2.855468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2.855468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2.855468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2.855468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2.855468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2.855468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2.855468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2.855468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2.855468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2.855468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2.855468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2.855468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2.855468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2.855468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2.855468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2.855468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2.855468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2.855468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2.855468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2.855468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2.855468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2.855468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2.855468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2.855468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2.855468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2.855468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2.855468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2.855468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2.855468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2.855468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2.855468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2.855468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2.855468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2.855468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2.855468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2.855468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2.855468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2.855468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2.855468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2.855468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2.855468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2.855468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2.855468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2.855468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2.855468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2.855468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2.855468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2.855468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2.855468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2.855468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2.855468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2.855468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2.855468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2.855468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2.855468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2.855468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2.855468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3" t="str">
        <f>CoName</f>
        <v xml:space="preserve">BJ's Resturant Inc. 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/>
      <c r="L1" s="40"/>
    </row>
    <row r="2" spans="1:12" x14ac:dyDescent="0.25">
      <c r="A2" s="16" t="s">
        <v>10</v>
      </c>
      <c r="B2" s="62"/>
      <c r="C2" s="263">
        <v>2022</v>
      </c>
      <c r="D2" s="263">
        <f>C2+1</f>
        <v>2023</v>
      </c>
      <c r="E2" s="263">
        <f t="shared" ref="E2:J2" si="0">D2+1</f>
        <v>2024</v>
      </c>
      <c r="F2" s="263">
        <f t="shared" si="0"/>
        <v>2025</v>
      </c>
      <c r="G2" s="263">
        <f t="shared" si="0"/>
        <v>2026</v>
      </c>
      <c r="H2" s="263">
        <f t="shared" si="0"/>
        <v>2027</v>
      </c>
      <c r="I2" s="263">
        <f t="shared" si="0"/>
        <v>2028</v>
      </c>
      <c r="J2" s="263">
        <f t="shared" si="0"/>
        <v>2029</v>
      </c>
      <c r="K2" s="211"/>
      <c r="L2" s="211"/>
    </row>
    <row r="3" spans="1:12" x14ac:dyDescent="0.25">
      <c r="K3" s="6"/>
      <c r="L3" s="6"/>
    </row>
    <row r="4" spans="1:12" x14ac:dyDescent="0.25">
      <c r="B4" s="4" t="s">
        <v>139</v>
      </c>
      <c r="C4" s="42"/>
      <c r="D4" s="42"/>
      <c r="E4" s="43"/>
      <c r="F4" s="101">
        <f>Assumptions!F37</f>
        <v>0.01</v>
      </c>
      <c r="G4" s="101">
        <f>F4</f>
        <v>0.01</v>
      </c>
      <c r="H4" s="101">
        <f t="shared" ref="H4:J4" si="1">G4</f>
        <v>0.01</v>
      </c>
      <c r="I4" s="101">
        <f t="shared" si="1"/>
        <v>0.01</v>
      </c>
      <c r="J4" s="101">
        <f t="shared" si="1"/>
        <v>0.01</v>
      </c>
      <c r="K4" s="169"/>
      <c r="L4" s="169"/>
    </row>
    <row r="5" spans="1:12" x14ac:dyDescent="0.25">
      <c r="B5" s="4" t="s">
        <v>152</v>
      </c>
      <c r="C5" s="42"/>
      <c r="D5" s="42"/>
      <c r="E5" s="43"/>
      <c r="F5" s="101">
        <f>Assumptions!F38</f>
        <v>1.5031290015044552E-2</v>
      </c>
      <c r="G5" s="101">
        <f>Assumptions!G38</f>
        <v>1.5031290015044552E-2</v>
      </c>
      <c r="H5" s="101">
        <f>Assumptions!H38</f>
        <v>1.5031290015044552E-2</v>
      </c>
      <c r="I5" s="101">
        <f>Assumptions!I38</f>
        <v>1.5031290015044552E-2</v>
      </c>
      <c r="J5" s="101">
        <f>Assumptions!J38</f>
        <v>1.5031290015044552E-2</v>
      </c>
      <c r="K5" s="169"/>
      <c r="L5" s="169"/>
    </row>
    <row r="6" spans="1:12" x14ac:dyDescent="0.25">
      <c r="B6" s="4" t="s">
        <v>63</v>
      </c>
      <c r="C6" s="42"/>
      <c r="D6" s="42"/>
      <c r="E6" s="43"/>
      <c r="F6" s="101">
        <f>Assumptions!F39</f>
        <v>1.0990704212500721E-2</v>
      </c>
      <c r="G6" s="101">
        <f>Assumptions!G39</f>
        <v>1.0990704212500721E-2</v>
      </c>
      <c r="H6" s="101">
        <f>Assumptions!H39</f>
        <v>1.0990704212500721E-2</v>
      </c>
      <c r="I6" s="101">
        <f>Assumptions!I39</f>
        <v>1.0990704212500721E-2</v>
      </c>
      <c r="J6" s="101">
        <f>Assumptions!J39</f>
        <v>1.0990704212500721E-2</v>
      </c>
      <c r="K6" s="169"/>
      <c r="L6" s="169"/>
    </row>
    <row r="7" spans="1:12" x14ac:dyDescent="0.25">
      <c r="B7" s="4" t="s">
        <v>64</v>
      </c>
      <c r="C7" s="42"/>
      <c r="D7" s="42"/>
      <c r="E7" s="43"/>
      <c r="F7" s="101">
        <f>Assumptions!F40</f>
        <v>1.4955404176815476E-2</v>
      </c>
      <c r="G7" s="101">
        <f>Assumptions!G40</f>
        <v>1.4955404176815476E-2</v>
      </c>
      <c r="H7" s="101">
        <f>Assumptions!H40</f>
        <v>1.4955404176815476E-2</v>
      </c>
      <c r="I7" s="101">
        <f>Assumptions!I40</f>
        <v>1.4955404176815476E-2</v>
      </c>
      <c r="J7" s="101">
        <f>Assumptions!J40</f>
        <v>1.4955404176815476E-2</v>
      </c>
      <c r="K7" s="169"/>
      <c r="L7" s="169"/>
    </row>
    <row r="8" spans="1:12" x14ac:dyDescent="0.25">
      <c r="A8" s="7"/>
      <c r="C8" s="29"/>
      <c r="D8" s="29"/>
      <c r="E8" s="29"/>
      <c r="F8" s="102"/>
      <c r="G8" s="102"/>
      <c r="H8" s="102"/>
      <c r="I8" s="102"/>
      <c r="J8" s="102"/>
      <c r="K8" s="169"/>
      <c r="L8" s="169"/>
    </row>
    <row r="9" spans="1:12" x14ac:dyDescent="0.25">
      <c r="B9" s="4" t="s">
        <v>65</v>
      </c>
      <c r="C9" s="42"/>
      <c r="D9" s="42"/>
      <c r="E9" s="43"/>
      <c r="F9" s="101">
        <f>Assumptions!F43</f>
        <v>7.7391030146570186E-2</v>
      </c>
      <c r="G9" s="101">
        <f>Assumptions!G43</f>
        <v>7.7391030146570186E-2</v>
      </c>
      <c r="H9" s="101">
        <f>Assumptions!H43</f>
        <v>7.7391030146570186E-2</v>
      </c>
      <c r="I9" s="101">
        <f>Assumptions!I43</f>
        <v>7.7391030146570186E-2</v>
      </c>
      <c r="J9" s="101">
        <f>Assumptions!J43</f>
        <v>7.7391030146570186E-2</v>
      </c>
      <c r="K9" s="169"/>
      <c r="L9" s="169"/>
    </row>
    <row r="10" spans="1:12" x14ac:dyDescent="0.25">
      <c r="B10" s="4" t="s">
        <v>161</v>
      </c>
      <c r="C10" s="42"/>
      <c r="D10" s="42"/>
      <c r="E10" s="149"/>
      <c r="F10" s="100">
        <f>Assumptions!F42</f>
        <v>4266</v>
      </c>
      <c r="G10" s="100">
        <f>Assumptions!G42</f>
        <v>4266</v>
      </c>
      <c r="H10" s="100">
        <f>Assumptions!H42</f>
        <v>4266</v>
      </c>
      <c r="I10" s="100">
        <f>Assumptions!I42</f>
        <v>4266</v>
      </c>
      <c r="J10" s="100">
        <f>Assumptions!J42</f>
        <v>4266</v>
      </c>
      <c r="K10" s="195"/>
      <c r="L10" s="195"/>
    </row>
    <row r="11" spans="1:12" x14ac:dyDescent="0.25">
      <c r="C11" s="29"/>
      <c r="D11" s="29"/>
      <c r="E11" s="29"/>
      <c r="F11" s="102"/>
      <c r="G11" s="102"/>
      <c r="H11" s="102"/>
      <c r="I11" s="102"/>
      <c r="J11" s="102"/>
      <c r="K11" s="169"/>
      <c r="L11" s="169"/>
    </row>
    <row r="12" spans="1:12" x14ac:dyDescent="0.25">
      <c r="B12" s="4" t="s">
        <v>151</v>
      </c>
      <c r="C12" s="42"/>
      <c r="D12" s="42"/>
      <c r="E12" s="43"/>
      <c r="F12" s="101">
        <f>Assumptions!F47</f>
        <v>4.3910308003122983E-2</v>
      </c>
      <c r="G12" s="101">
        <f>Assumptions!G47</f>
        <v>4.3910308003122983E-2</v>
      </c>
      <c r="H12" s="101">
        <f>Assumptions!H47</f>
        <v>4.3910308003122983E-2</v>
      </c>
      <c r="I12" s="101">
        <f>Assumptions!I47</f>
        <v>4.3910308003122983E-2</v>
      </c>
      <c r="J12" s="101">
        <f>Assumptions!J47</f>
        <v>4.3910308003122983E-2</v>
      </c>
      <c r="K12" s="169"/>
      <c r="L12" s="169"/>
    </row>
    <row r="13" spans="1:12" x14ac:dyDescent="0.25">
      <c r="B13" s="4" t="s">
        <v>66</v>
      </c>
      <c r="C13" s="42"/>
      <c r="D13" s="42"/>
      <c r="E13" s="26"/>
      <c r="F13" s="101">
        <f>Assumptions!F48</f>
        <v>0.10704913129134121</v>
      </c>
      <c r="G13" s="101">
        <f>Assumptions!G48</f>
        <v>0.10704913129134121</v>
      </c>
      <c r="H13" s="101">
        <f>Assumptions!H48</f>
        <v>0.10704913129134121</v>
      </c>
      <c r="I13" s="101">
        <f>Assumptions!I48</f>
        <v>0.10704913129134121</v>
      </c>
      <c r="J13" s="101">
        <f>Assumptions!J48</f>
        <v>0.10704913129134121</v>
      </c>
      <c r="K13" s="169"/>
      <c r="L13" s="169"/>
    </row>
    <row r="14" spans="1:12" x14ac:dyDescent="0.25">
      <c r="B14" s="4" t="s">
        <v>67</v>
      </c>
      <c r="C14" s="42"/>
      <c r="D14" s="42"/>
      <c r="E14" s="43"/>
      <c r="F14" s="255">
        <f>Assumptions!F49</f>
        <v>0.30077167793166149</v>
      </c>
      <c r="G14" s="255">
        <f>Assumptions!G49</f>
        <v>0.30077167793166149</v>
      </c>
      <c r="H14" s="255">
        <f>Assumptions!H49</f>
        <v>0.30077167793166149</v>
      </c>
      <c r="I14" s="255">
        <f>Assumptions!I49</f>
        <v>0.30077167793166149</v>
      </c>
      <c r="J14" s="255">
        <f>Assumptions!J49</f>
        <v>0.30077167793166149</v>
      </c>
      <c r="K14" s="169"/>
      <c r="L14" s="169"/>
    </row>
    <row r="15" spans="1:12" x14ac:dyDescent="0.25">
      <c r="C15" s="42"/>
      <c r="D15" s="42"/>
      <c r="E15" s="42"/>
      <c r="F15" s="102"/>
      <c r="G15" s="102"/>
      <c r="H15" s="102"/>
      <c r="I15" s="102"/>
      <c r="J15" s="102"/>
      <c r="K15" s="169"/>
      <c r="L15" s="169"/>
    </row>
    <row r="16" spans="1:12" ht="15" customHeight="1" x14ac:dyDescent="0.25">
      <c r="A16" s="177" t="s">
        <v>62</v>
      </c>
      <c r="B16" s="178"/>
      <c r="C16" s="252">
        <f>C2</f>
        <v>2022</v>
      </c>
      <c r="D16" s="252">
        <f t="shared" ref="D16:J16" si="2">D2</f>
        <v>2023</v>
      </c>
      <c r="E16" s="252">
        <f t="shared" si="2"/>
        <v>2024</v>
      </c>
      <c r="F16" s="252">
        <f t="shared" si="2"/>
        <v>2025</v>
      </c>
      <c r="G16" s="252">
        <f t="shared" si="2"/>
        <v>2026</v>
      </c>
      <c r="H16" s="252">
        <f t="shared" si="2"/>
        <v>2027</v>
      </c>
      <c r="I16" s="252">
        <f t="shared" si="2"/>
        <v>2028</v>
      </c>
      <c r="J16" s="252">
        <f t="shared" si="2"/>
        <v>2029</v>
      </c>
      <c r="K16" s="205"/>
      <c r="L16" s="205"/>
    </row>
    <row r="17" spans="1:12" x14ac:dyDescent="0.25">
      <c r="B17" s="4" t="s">
        <v>157</v>
      </c>
      <c r="C17" s="184">
        <f>1%*IncState!C15</f>
        <v>12839.26</v>
      </c>
      <c r="D17" s="96">
        <f>1%*IncState!D15</f>
        <v>13332.29</v>
      </c>
      <c r="E17" s="185">
        <f>1%*IncState!E15</f>
        <v>13573.02</v>
      </c>
      <c r="F17" s="4">
        <f>F4*IncState!F15</f>
        <v>13980.2106</v>
      </c>
      <c r="G17" s="4">
        <f>G4*IncState!G15</f>
        <v>14343.696075600003</v>
      </c>
      <c r="H17" s="4">
        <f>H4*IncState!H15</f>
        <v>14702.288477489999</v>
      </c>
      <c r="I17" s="4">
        <f>I4*IncState!I15</f>
        <v>15143.357131814701</v>
      </c>
      <c r="J17" s="4">
        <f>J4*IncState!J15</f>
        <v>15597.657845769143</v>
      </c>
    </row>
    <row r="18" spans="1:12" x14ac:dyDescent="0.25">
      <c r="B18" s="4" t="s">
        <v>158</v>
      </c>
      <c r="C18" s="184">
        <f>24873-C17</f>
        <v>12033.74</v>
      </c>
      <c r="D18" s="184">
        <f>29070-D17</f>
        <v>15737.71</v>
      </c>
      <c r="E18" s="185">
        <f>26096-E17</f>
        <v>12522.98</v>
      </c>
      <c r="F18" s="4">
        <f>MAX(CashFlow!F22,0)</f>
        <v>41332.802840487682</v>
      </c>
      <c r="G18" s="4">
        <f>MAX(CashFlow!G22,0)</f>
        <v>74575.059635983111</v>
      </c>
      <c r="H18" s="4">
        <f>MAX(CashFlow!H22,0)</f>
        <v>113850.63141819688</v>
      </c>
      <c r="I18" s="4">
        <f>MAX(CashFlow!I22,0)</f>
        <v>162051.9819069255</v>
      </c>
      <c r="J18" s="4">
        <f>MAX(CashFlow!J22,0)</f>
        <v>217385.7419209308</v>
      </c>
    </row>
    <row r="19" spans="1:12" x14ac:dyDescent="0.25">
      <c r="B19" s="4" t="s">
        <v>68</v>
      </c>
      <c r="C19" s="186">
        <v>28593</v>
      </c>
      <c r="D19" s="186">
        <v>19469</v>
      </c>
      <c r="E19" s="187">
        <v>20402</v>
      </c>
      <c r="F19" s="4">
        <f>F5*IncState!F15</f>
        <v>21014.06</v>
      </c>
      <c r="G19" s="4">
        <f>G5*IncState!G15</f>
        <v>21560.425560000003</v>
      </c>
      <c r="H19" s="4">
        <f>H5*IncState!H15</f>
        <v>22099.436199</v>
      </c>
      <c r="I19" s="4">
        <f>I5*IncState!I15</f>
        <v>22762.419284970001</v>
      </c>
      <c r="J19" s="4">
        <f>J5*IncState!J15</f>
        <v>23445.291863519102</v>
      </c>
    </row>
    <row r="20" spans="1:12" x14ac:dyDescent="0.25">
      <c r="B20" s="4" t="s">
        <v>69</v>
      </c>
      <c r="C20" s="186">
        <v>11887</v>
      </c>
      <c r="D20" s="186">
        <v>13245</v>
      </c>
      <c r="E20" s="187">
        <v>12768</v>
      </c>
      <c r="F20" s="4">
        <f>F6*IncState!F16</f>
        <v>13074.213820233466</v>
      </c>
      <c r="G20" s="4">
        <f>G6*IncState!G16</f>
        <v>13335.319719119074</v>
      </c>
      <c r="H20" s="4">
        <f>H6*IncState!H16</f>
        <v>13587.908460145572</v>
      </c>
      <c r="I20" s="4">
        <f>I6*IncState!I16</f>
        <v>13912.327634439922</v>
      </c>
      <c r="J20" s="4">
        <f>J6*IncState!J16</f>
        <v>14243.982841577801</v>
      </c>
    </row>
    <row r="21" spans="1:12" x14ac:dyDescent="0.25">
      <c r="B21" s="4" t="s">
        <v>70</v>
      </c>
      <c r="C21" s="186">
        <v>16905</v>
      </c>
      <c r="D21" s="186">
        <v>21237</v>
      </c>
      <c r="E21" s="187">
        <v>20299</v>
      </c>
      <c r="F21" s="4">
        <f>F7*IncState!F15</f>
        <v>20907.97</v>
      </c>
      <c r="G21" s="4">
        <f>G7*IncState!G15</f>
        <v>21451.577219999999</v>
      </c>
      <c r="H21" s="4">
        <f>H7*IncState!H15</f>
        <v>21987.866650499996</v>
      </c>
      <c r="I21" s="4">
        <f>I7*IncState!I15</f>
        <v>22647.502650014998</v>
      </c>
      <c r="J21" s="4">
        <f>J7*IncState!J15</f>
        <v>23326.92772951545</v>
      </c>
    </row>
    <row r="22" spans="1:12" s="11" customFormat="1" x14ac:dyDescent="0.25">
      <c r="B22" s="11" t="s">
        <v>71</v>
      </c>
      <c r="C22" s="11">
        <f>SUM(C17:C21)</f>
        <v>82258</v>
      </c>
      <c r="D22" s="11">
        <f>SUM(D17:D21)</f>
        <v>83021</v>
      </c>
      <c r="E22" s="24">
        <f t="shared" ref="E22" si="3">SUM(E17:E21)</f>
        <v>79565</v>
      </c>
      <c r="F22" s="11">
        <f>SUM(F17:F21)</f>
        <v>110309.25726072115</v>
      </c>
      <c r="G22" s="11">
        <f t="shared" ref="G22:J22" si="4">SUM(G17:G21)</f>
        <v>145266.0782107022</v>
      </c>
      <c r="H22" s="11">
        <f t="shared" si="4"/>
        <v>186228.13120533244</v>
      </c>
      <c r="I22" s="11">
        <f t="shared" si="4"/>
        <v>236517.58860816513</v>
      </c>
      <c r="J22" s="11">
        <f t="shared" si="4"/>
        <v>293999.60220131231</v>
      </c>
    </row>
    <row r="23" spans="1:12" x14ac:dyDescent="0.25">
      <c r="A23" s="7"/>
      <c r="E23" s="27"/>
      <c r="I23" s="4"/>
      <c r="J23" s="4"/>
    </row>
    <row r="24" spans="1:12" x14ac:dyDescent="0.25">
      <c r="B24" s="4" t="s">
        <v>72</v>
      </c>
      <c r="C24" s="186">
        <f>507116+368784</f>
        <v>875900</v>
      </c>
      <c r="D24" s="186">
        <f>525190+350091</f>
        <v>875281</v>
      </c>
      <c r="E24" s="187">
        <f>510581+336936</f>
        <v>847517</v>
      </c>
      <c r="F24" s="4">
        <f>Calcs!F9</f>
        <v>866585.90094187064</v>
      </c>
      <c r="G24" s="4">
        <f>Calcs!G9</f>
        <v>886397.14387801685</v>
      </c>
      <c r="H24" s="4">
        <f>Calcs!H9</f>
        <v>906857.70518154476</v>
      </c>
      <c r="I24" s="4">
        <f>Calcs!I9</f>
        <v>928441.66284768831</v>
      </c>
      <c r="J24" s="4">
        <f>Calcs!J9</f>
        <v>951140.36738252733</v>
      </c>
    </row>
    <row r="25" spans="1:12" x14ac:dyDescent="0.25">
      <c r="B25" s="4" t="s">
        <v>159</v>
      </c>
      <c r="C25" s="186">
        <v>4673</v>
      </c>
      <c r="D25" s="186">
        <v>4673</v>
      </c>
      <c r="E25" s="187">
        <f>4673</f>
        <v>4673</v>
      </c>
      <c r="F25" s="130">
        <f>E25-IncState!F21</f>
        <v>4673</v>
      </c>
      <c r="G25" s="130">
        <f>F25-IncState!G21</f>
        <v>4673</v>
      </c>
      <c r="H25" s="130">
        <f>G25-IncState!H21</f>
        <v>4673</v>
      </c>
      <c r="I25" s="130">
        <f>H25-IncState!I21</f>
        <v>4673</v>
      </c>
      <c r="J25" s="130">
        <f>I25-IncState!J21</f>
        <v>4673</v>
      </c>
      <c r="K25" s="130"/>
      <c r="L25" s="130"/>
    </row>
    <row r="26" spans="1:12" x14ac:dyDescent="0.25">
      <c r="B26" s="4" t="s">
        <v>160</v>
      </c>
      <c r="C26" s="186">
        <v>5000</v>
      </c>
      <c r="D26" s="186">
        <v>4770</v>
      </c>
      <c r="E26" s="187">
        <v>4266</v>
      </c>
      <c r="F26" s="4">
        <f>F10</f>
        <v>4266</v>
      </c>
      <c r="G26" s="4">
        <f t="shared" ref="G26:J26" si="5">G10</f>
        <v>4266</v>
      </c>
      <c r="H26" s="4">
        <f t="shared" si="5"/>
        <v>4266</v>
      </c>
      <c r="I26" s="4">
        <f t="shared" si="5"/>
        <v>4266</v>
      </c>
      <c r="J26" s="4">
        <f t="shared" si="5"/>
        <v>4266</v>
      </c>
    </row>
    <row r="27" spans="1:12" x14ac:dyDescent="0.25">
      <c r="B27" s="4" t="s">
        <v>162</v>
      </c>
      <c r="C27" s="186">
        <f>38312+39779</f>
        <v>78091</v>
      </c>
      <c r="D27" s="186">
        <f>50147+40562</f>
        <v>90709</v>
      </c>
      <c r="E27" s="187">
        <f>62318+42725</f>
        <v>105043</v>
      </c>
      <c r="F27" s="4">
        <f>F9*IncState!F15</f>
        <v>108194.29000000001</v>
      </c>
      <c r="G27" s="4">
        <f>G9*IncState!G15</f>
        <v>111007.34154000002</v>
      </c>
      <c r="H27" s="4">
        <f>H9*IncState!H15</f>
        <v>113782.52507850001</v>
      </c>
      <c r="I27" s="4">
        <f>I9*IncState!I15</f>
        <v>117196.00083085502</v>
      </c>
      <c r="J27" s="4">
        <f>J9*IncState!J15</f>
        <v>120711.88085578068</v>
      </c>
    </row>
    <row r="28" spans="1:12" s="11" customFormat="1" x14ac:dyDescent="0.25">
      <c r="B28" s="11" t="s">
        <v>73</v>
      </c>
      <c r="C28" s="11">
        <f>SUM(C24:C27)</f>
        <v>963664</v>
      </c>
      <c r="D28" s="11">
        <f>SUM(D24:D27)</f>
        <v>975433</v>
      </c>
      <c r="E28" s="24">
        <f>SUM(E24:E27)</f>
        <v>961499</v>
      </c>
      <c r="F28" s="11">
        <f>SUM(F24:F27)</f>
        <v>983719.19094187068</v>
      </c>
      <c r="G28" s="11">
        <f t="shared" ref="G28:J28" si="6">SUM(G24:G27)</f>
        <v>1006343.4854180169</v>
      </c>
      <c r="H28" s="11">
        <f t="shared" si="6"/>
        <v>1029579.2302600448</v>
      </c>
      <c r="I28" s="11">
        <f t="shared" si="6"/>
        <v>1054576.6636785434</v>
      </c>
      <c r="J28" s="11">
        <f t="shared" si="6"/>
        <v>1080791.2482383079</v>
      </c>
    </row>
    <row r="29" spans="1:12" x14ac:dyDescent="0.25">
      <c r="E29" s="27"/>
      <c r="I29" s="4"/>
      <c r="J29" s="4"/>
    </row>
    <row r="30" spans="1:12" s="11" customFormat="1" x14ac:dyDescent="0.25">
      <c r="A30" s="11" t="s">
        <v>124</v>
      </c>
      <c r="B30" s="17" t="s">
        <v>74</v>
      </c>
      <c r="C30" s="18">
        <f>SUM(C28,C22)</f>
        <v>1045922</v>
      </c>
      <c r="D30" s="18">
        <f>SUM(D28,D22)</f>
        <v>1058454</v>
      </c>
      <c r="E30" s="18">
        <f>SUM(E28,E22)</f>
        <v>1041064</v>
      </c>
      <c r="F30" s="18">
        <f>SUM(F28,F22)</f>
        <v>1094028.4482025919</v>
      </c>
      <c r="G30" s="18">
        <f t="shared" ref="G30:J30" si="7">SUM(G28,G22)</f>
        <v>1151609.5636287192</v>
      </c>
      <c r="H30" s="18">
        <f t="shared" si="7"/>
        <v>1215807.3614653773</v>
      </c>
      <c r="I30" s="18">
        <f t="shared" si="7"/>
        <v>1291094.2522867084</v>
      </c>
      <c r="J30" s="18">
        <f t="shared" si="7"/>
        <v>1374790.8504396202</v>
      </c>
      <c r="K30" s="265"/>
    </row>
    <row r="31" spans="1:12" x14ac:dyDescent="0.25">
      <c r="A31" s="11"/>
      <c r="E31" s="27"/>
      <c r="I31" s="4"/>
      <c r="J31" s="4"/>
      <c r="K31" s="6"/>
      <c r="L31" s="6"/>
    </row>
    <row r="32" spans="1:12" x14ac:dyDescent="0.25">
      <c r="B32" s="4" t="s">
        <v>75</v>
      </c>
      <c r="C32" s="9">
        <v>0</v>
      </c>
      <c r="D32" s="9">
        <v>0</v>
      </c>
      <c r="E32" s="44">
        <v>0</v>
      </c>
      <c r="F32" s="4">
        <f>-MIN(CashFlow!F22,0)</f>
        <v>0</v>
      </c>
      <c r="G32" s="4">
        <f>-MIN(CashFlow!G22,0)</f>
        <v>0</v>
      </c>
      <c r="H32" s="4">
        <f>-MIN(CashFlow!H22,0)</f>
        <v>0</v>
      </c>
      <c r="I32" s="4">
        <f>-MIN(CashFlow!I22,0)</f>
        <v>0</v>
      </c>
      <c r="J32" s="4">
        <f>-MIN(CashFlow!J22,0)</f>
        <v>0</v>
      </c>
    </row>
    <row r="33" spans="1:12" x14ac:dyDescent="0.25">
      <c r="B33" s="4" t="s">
        <v>150</v>
      </c>
      <c r="C33" s="186">
        <v>59563</v>
      </c>
      <c r="D33" s="9">
        <f>60641</f>
        <v>60641</v>
      </c>
      <c r="E33" s="44">
        <v>51011</v>
      </c>
      <c r="F33" s="4">
        <f>F12*IncState!F16</f>
        <v>52234.392323302738</v>
      </c>
      <c r="G33" s="4">
        <f>G12*IncState!G16</f>
        <v>53277.568467417223</v>
      </c>
      <c r="H33" s="4">
        <f>H12*IncState!H16</f>
        <v>54286.716671403963</v>
      </c>
      <c r="I33" s="4">
        <f>I12*IncState!I16</f>
        <v>55582.84343361645</v>
      </c>
      <c r="J33" s="4">
        <f>J12*IncState!J16</f>
        <v>56907.87975655742</v>
      </c>
    </row>
    <row r="34" spans="1:12" x14ac:dyDescent="0.25">
      <c r="B34" s="4" t="s">
        <v>76</v>
      </c>
      <c r="C34" s="186">
        <f>97258+40037</f>
        <v>137295</v>
      </c>
      <c r="D34" s="9">
        <f>101295+37389</f>
        <v>138684</v>
      </c>
      <c r="E34" s="44">
        <f>105316+39982</f>
        <v>145298</v>
      </c>
      <c r="F34" s="4">
        <f>F13*IncState!F15</f>
        <v>149656.94</v>
      </c>
      <c r="G34" s="4">
        <f>G13*IncState!G15</f>
        <v>153548.02044000002</v>
      </c>
      <c r="H34" s="4">
        <f>H13*IncState!H15</f>
        <v>157386.720951</v>
      </c>
      <c r="I34" s="4">
        <f>I13*IncState!I15</f>
        <v>162108.32257953001</v>
      </c>
      <c r="J34" s="4">
        <f>J13*IncState!J15</f>
        <v>166971.57225691591</v>
      </c>
    </row>
    <row r="35" spans="1:12" s="11" customFormat="1" x14ac:dyDescent="0.25">
      <c r="B35" s="11" t="s">
        <v>77</v>
      </c>
      <c r="C35" s="11">
        <f t="shared" ref="C35:E35" si="8">SUM(C32:C34)</f>
        <v>196858</v>
      </c>
      <c r="D35" s="11">
        <f t="shared" si="8"/>
        <v>199325</v>
      </c>
      <c r="E35" s="24">
        <f t="shared" si="8"/>
        <v>196309</v>
      </c>
      <c r="F35" s="11">
        <f>SUM(F32:F34)</f>
        <v>201891.33232330275</v>
      </c>
      <c r="G35" s="11">
        <f t="shared" ref="G35:J35" si="9">SUM(G32:G34)</f>
        <v>206825.58890741726</v>
      </c>
      <c r="H35" s="11">
        <f t="shared" si="9"/>
        <v>211673.43762240396</v>
      </c>
      <c r="I35" s="11">
        <f t="shared" si="9"/>
        <v>217691.16601314646</v>
      </c>
      <c r="J35" s="11">
        <f t="shared" si="9"/>
        <v>223879.45201347332</v>
      </c>
    </row>
    <row r="36" spans="1:12" x14ac:dyDescent="0.25">
      <c r="B36" s="11"/>
      <c r="E36" s="27"/>
      <c r="I36" s="4"/>
      <c r="J36" s="4"/>
    </row>
    <row r="37" spans="1:12" x14ac:dyDescent="0.25">
      <c r="B37" s="4" t="s">
        <v>78</v>
      </c>
      <c r="C37" s="186">
        <v>60000</v>
      </c>
      <c r="D37" s="9">
        <v>68000</v>
      </c>
      <c r="E37" s="44">
        <v>66500</v>
      </c>
      <c r="F37" s="4">
        <f>Debt!F20</f>
        <v>66500</v>
      </c>
      <c r="G37" s="4">
        <f>Debt!G20</f>
        <v>66500</v>
      </c>
      <c r="H37" s="4">
        <f>Debt!H20</f>
        <v>66500</v>
      </c>
      <c r="I37" s="4">
        <f>Debt!I20</f>
        <v>66500</v>
      </c>
      <c r="J37" s="4">
        <f>Debt!J20</f>
        <v>66500</v>
      </c>
    </row>
    <row r="38" spans="1:12" x14ac:dyDescent="0.25">
      <c r="B38" s="4" t="s">
        <v>79</v>
      </c>
      <c r="C38" s="186">
        <f>432676+10873</f>
        <v>443549</v>
      </c>
      <c r="D38" s="9">
        <f>414144+11254</f>
        <v>425398</v>
      </c>
      <c r="E38" s="44">
        <f>394129+14109</f>
        <v>408238</v>
      </c>
      <c r="F38" s="4">
        <f>F14*IncState!F15</f>
        <v>420485.14</v>
      </c>
      <c r="G38" s="4">
        <f>G14*IncState!G15</f>
        <v>431417.75364000007</v>
      </c>
      <c r="H38" s="4">
        <f>H14*IncState!H15</f>
        <v>442203.19748099998</v>
      </c>
      <c r="I38" s="4">
        <f>I14*IncState!I15</f>
        <v>455469.29340543004</v>
      </c>
      <c r="J38" s="4">
        <f>J14*IncState!J15</f>
        <v>469133.37220759294</v>
      </c>
    </row>
    <row r="39" spans="1:12" x14ac:dyDescent="0.25">
      <c r="B39" s="11" t="s">
        <v>80</v>
      </c>
      <c r="C39" s="11">
        <f t="shared" ref="C39:E39" si="10">SUM(C37:C38)</f>
        <v>503549</v>
      </c>
      <c r="D39" s="11">
        <f t="shared" si="10"/>
        <v>493398</v>
      </c>
      <c r="E39" s="24">
        <f t="shared" si="10"/>
        <v>474738</v>
      </c>
      <c r="F39" s="11">
        <f>SUM(F37:F38)</f>
        <v>486985.14</v>
      </c>
      <c r="G39" s="11">
        <f t="shared" ref="G39:J39" si="11">SUM(G37:G38)</f>
        <v>497917.75364000007</v>
      </c>
      <c r="H39" s="11">
        <f t="shared" si="11"/>
        <v>508703.19748099998</v>
      </c>
      <c r="I39" s="11">
        <f t="shared" si="11"/>
        <v>521969.29340543004</v>
      </c>
      <c r="J39" s="11">
        <f t="shared" si="11"/>
        <v>535633.37220759294</v>
      </c>
      <c r="K39" s="11"/>
      <c r="L39" s="11"/>
    </row>
    <row r="40" spans="1:12" x14ac:dyDescent="0.25">
      <c r="E40" s="27"/>
      <c r="I40" s="4"/>
      <c r="J40" s="4"/>
    </row>
    <row r="41" spans="1:12" x14ac:dyDescent="0.25">
      <c r="B41" s="4" t="s">
        <v>17</v>
      </c>
      <c r="C41" s="188">
        <v>345515</v>
      </c>
      <c r="D41" s="281">
        <v>365731</v>
      </c>
      <c r="E41" s="217">
        <v>370017</v>
      </c>
      <c r="F41" s="4">
        <f>Calcs!F16</f>
        <v>405151.97587928909</v>
      </c>
      <c r="G41" s="4">
        <f>Calcs!G16</f>
        <v>446866.2210813018</v>
      </c>
      <c r="H41" s="4">
        <f>Calcs!H16</f>
        <v>495430.72636197339</v>
      </c>
      <c r="I41" s="4">
        <f>Calcs!I16</f>
        <v>551433.792868132</v>
      </c>
      <c r="J41" s="4">
        <f>Calcs!J16</f>
        <v>615278.02621855412</v>
      </c>
    </row>
    <row r="42" spans="1:12" s="11" customFormat="1" x14ac:dyDescent="0.25">
      <c r="A42" s="11" t="s">
        <v>124</v>
      </c>
      <c r="B42" s="17" t="s">
        <v>81</v>
      </c>
      <c r="C42" s="18">
        <f>SUM(C41,C39,C35)</f>
        <v>1045922</v>
      </c>
      <c r="D42" s="18">
        <f>SUM(D41,D39,D35)</f>
        <v>1058454</v>
      </c>
      <c r="E42" s="18">
        <f t="shared" ref="E42:F42" si="12">SUM(E41,E39,E35)</f>
        <v>1041064</v>
      </c>
      <c r="F42" s="18">
        <f t="shared" si="12"/>
        <v>1094028.4482025919</v>
      </c>
      <c r="G42" s="18">
        <f t="shared" ref="G42:J42" si="13">SUM(G41,G39,G35)</f>
        <v>1151609.5636287192</v>
      </c>
      <c r="H42" s="18">
        <f t="shared" si="13"/>
        <v>1215807.3614653773</v>
      </c>
      <c r="I42" s="18">
        <f t="shared" si="13"/>
        <v>1291094.2522867087</v>
      </c>
      <c r="J42" s="18">
        <f t="shared" si="13"/>
        <v>1374790.8504396204</v>
      </c>
      <c r="K42" s="265"/>
    </row>
    <row r="43" spans="1:12" x14ac:dyDescent="0.25">
      <c r="E43" s="27"/>
      <c r="H43" s="6"/>
      <c r="K43" s="6"/>
      <c r="L43" s="6"/>
    </row>
    <row r="44" spans="1:12" x14ac:dyDescent="0.25">
      <c r="A44" s="4" t="s">
        <v>124</v>
      </c>
      <c r="B44" s="11" t="s">
        <v>82</v>
      </c>
      <c r="C44" s="45">
        <f>C42-C30</f>
        <v>0</v>
      </c>
      <c r="D44" s="45">
        <f t="shared" ref="D44:J44" si="14">D42-D30</f>
        <v>0</v>
      </c>
      <c r="E44" s="150">
        <f t="shared" si="14"/>
        <v>0</v>
      </c>
      <c r="F44" s="45">
        <f t="shared" si="14"/>
        <v>0</v>
      </c>
      <c r="G44" s="45">
        <f t="shared" si="14"/>
        <v>0</v>
      </c>
      <c r="H44" s="45">
        <f t="shared" si="14"/>
        <v>0</v>
      </c>
      <c r="I44" s="45">
        <f t="shared" si="14"/>
        <v>0</v>
      </c>
      <c r="J44" s="45">
        <f t="shared" si="14"/>
        <v>0</v>
      </c>
      <c r="K44" s="45"/>
      <c r="L44" s="45"/>
    </row>
    <row r="45" spans="1:12" x14ac:dyDescent="0.25">
      <c r="I45" s="4"/>
      <c r="J45" s="4"/>
    </row>
    <row r="46" spans="1:12" x14ac:dyDescent="0.25">
      <c r="H46" s="6"/>
    </row>
    <row r="47" spans="1:12" x14ac:dyDescent="0.25">
      <c r="H47" s="6"/>
    </row>
    <row r="48" spans="1:12" x14ac:dyDescent="0.25">
      <c r="H48" s="6"/>
    </row>
    <row r="49" spans="8:8" x14ac:dyDescent="0.25">
      <c r="H49" s="6"/>
    </row>
    <row r="50" spans="8:8" x14ac:dyDescent="0.25">
      <c r="H50" s="6"/>
    </row>
    <row r="51" spans="8:8" x14ac:dyDescent="0.25">
      <c r="H51" s="6"/>
    </row>
    <row r="52" spans="8:8" x14ac:dyDescent="0.25">
      <c r="H52" s="6"/>
    </row>
    <row r="53" spans="8:8" x14ac:dyDescent="0.25">
      <c r="H53" s="6"/>
    </row>
    <row r="54" spans="8:8" x14ac:dyDescent="0.25">
      <c r="H54" s="6"/>
    </row>
    <row r="55" spans="8:8" x14ac:dyDescent="0.25">
      <c r="H55" s="6"/>
    </row>
    <row r="56" spans="8:8" x14ac:dyDescent="0.25">
      <c r="H56" s="6"/>
    </row>
    <row r="57" spans="8:8" x14ac:dyDescent="0.25">
      <c r="H57" s="6"/>
    </row>
  </sheetData>
  <conditionalFormatting sqref="F4:L15">
    <cfRule type="expression" dxfId="0" priority="30">
      <formula>$E$14&gt;1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autoPageBreaks="0" fitToPage="1"/>
  </sheetPr>
  <dimension ref="A1:L22"/>
  <sheetViews>
    <sheetView showGridLines="0" zoomScaleNormal="100" workbookViewId="0">
      <selection activeCell="F22" sqref="F4:J22"/>
    </sheetView>
  </sheetViews>
  <sheetFormatPr defaultColWidth="8.85546875" defaultRowHeight="15" x14ac:dyDescent="0.25"/>
  <cols>
    <col min="1" max="1" width="1.7109375" style="4" customWidth="1"/>
    <col min="2" max="2" width="40.71093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3" t="str">
        <f>CoName</f>
        <v xml:space="preserve">BJ's Resturant Inc. 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/>
      <c r="L1" s="40"/>
    </row>
    <row r="2" spans="1:12" s="2" customFormat="1" x14ac:dyDescent="0.25">
      <c r="A2" s="177" t="s">
        <v>83</v>
      </c>
      <c r="B2" s="178"/>
      <c r="C2" s="183">
        <v>2022</v>
      </c>
      <c r="D2" s="183">
        <f>C2+1</f>
        <v>2023</v>
      </c>
      <c r="E2" s="183">
        <f t="shared" ref="E2:J2" si="0">D2+1</f>
        <v>2024</v>
      </c>
      <c r="F2" s="183">
        <f t="shared" si="0"/>
        <v>2025</v>
      </c>
      <c r="G2" s="183">
        <f t="shared" si="0"/>
        <v>2026</v>
      </c>
      <c r="H2" s="183">
        <f t="shared" si="0"/>
        <v>2027</v>
      </c>
      <c r="I2" s="183">
        <f t="shared" si="0"/>
        <v>2028</v>
      </c>
      <c r="J2" s="183">
        <f t="shared" si="0"/>
        <v>2029</v>
      </c>
      <c r="K2" s="205"/>
      <c r="L2" s="205"/>
    </row>
    <row r="3" spans="1:12" x14ac:dyDescent="0.25">
      <c r="B3" s="4" t="s">
        <v>155</v>
      </c>
      <c r="F3" s="4">
        <f>IncState!F33</f>
        <v>35134.975879289093</v>
      </c>
      <c r="G3" s="4">
        <f>IncState!G33</f>
        <v>41714.245202012709</v>
      </c>
      <c r="H3" s="4">
        <f>IncState!H33</f>
        <v>48564.505280671598</v>
      </c>
      <c r="I3" s="4">
        <f>IncState!I33</f>
        <v>56003.066506158561</v>
      </c>
      <c r="J3" s="4">
        <f>IncState!J33</f>
        <v>63844.233350422124</v>
      </c>
    </row>
    <row r="4" spans="1:12" x14ac:dyDescent="0.25">
      <c r="B4" s="4" t="s">
        <v>15</v>
      </c>
      <c r="F4" s="4">
        <f>IncState!F20</f>
        <v>70437.521395985968</v>
      </c>
      <c r="G4" s="4">
        <f>IncState!G20</f>
        <v>72022.346382494739</v>
      </c>
      <c r="H4" s="4">
        <f>IncState!H20</f>
        <v>73668.867748078992</v>
      </c>
      <c r="I4" s="4">
        <f>IncState!I20</f>
        <v>75369.354257011713</v>
      </c>
      <c r="J4" s="4">
        <f>IncState!J20</f>
        <v>77163.206746010808</v>
      </c>
    </row>
    <row r="5" spans="1:12" x14ac:dyDescent="0.25">
      <c r="B5" s="4" t="s">
        <v>53</v>
      </c>
      <c r="F5" s="4">
        <f>IncState!F21</f>
        <v>0</v>
      </c>
      <c r="G5" s="4">
        <f>IncState!G21</f>
        <v>0</v>
      </c>
      <c r="H5" s="4">
        <f>IncState!H21</f>
        <v>0</v>
      </c>
      <c r="I5" s="4">
        <f>IncState!I21</f>
        <v>0</v>
      </c>
      <c r="J5" s="4">
        <f>IncState!J21</f>
        <v>0</v>
      </c>
    </row>
    <row r="6" spans="1:12" x14ac:dyDescent="0.25">
      <c r="B6" s="4" t="s">
        <v>89</v>
      </c>
      <c r="F6" s="4">
        <f>Calcs!F25</f>
        <v>3647.8979030692863</v>
      </c>
      <c r="G6" s="4">
        <f>Calcs!G25</f>
        <v>3219.6924296288926</v>
      </c>
      <c r="H6" s="4">
        <f>Calcs!H25</f>
        <v>3161.3675025702105</v>
      </c>
      <c r="I6" s="4">
        <f>Calcs!I25</f>
        <v>3929.621476638451</v>
      </c>
      <c r="J6" s="4">
        <f>Calcs!J25</f>
        <v>4040.0324211849656</v>
      </c>
    </row>
    <row r="7" spans="1:12" x14ac:dyDescent="0.25">
      <c r="B7" s="4" t="s">
        <v>189</v>
      </c>
      <c r="F7" s="4">
        <f>BalSheet!E27-BalSheet!F27</f>
        <v>-3151.2900000000081</v>
      </c>
      <c r="G7" s="4">
        <f>BalSheet!F27-BalSheet!G27</f>
        <v>-2813.0515400000149</v>
      </c>
      <c r="H7" s="4">
        <f>BalSheet!G27-BalSheet!H27</f>
        <v>-2775.1835384999868</v>
      </c>
      <c r="I7" s="4">
        <f>BalSheet!H27-BalSheet!I27</f>
        <v>-3413.475752355007</v>
      </c>
      <c r="J7" s="4">
        <f>BalSheet!I27-BalSheet!J27</f>
        <v>-3515.8800249256601</v>
      </c>
    </row>
    <row r="8" spans="1:12" x14ac:dyDescent="0.25">
      <c r="B8" s="4" t="s">
        <v>190</v>
      </c>
      <c r="F8" s="4">
        <f>BalSheet!F38-BalSheet!E38</f>
        <v>12247.140000000014</v>
      </c>
      <c r="G8" s="4">
        <f>BalSheet!G38-BalSheet!F38</f>
        <v>10932.613640000054</v>
      </c>
      <c r="H8" s="4">
        <f>BalSheet!H38-BalSheet!G38</f>
        <v>10785.443840999913</v>
      </c>
      <c r="I8" s="4">
        <f>BalSheet!I38-BalSheet!H38</f>
        <v>13266.095924430061</v>
      </c>
      <c r="J8" s="4">
        <f>BalSheet!J38-BalSheet!I38</f>
        <v>13664.078802162898</v>
      </c>
    </row>
    <row r="9" spans="1:12" s="11" customFormat="1" x14ac:dyDescent="0.25">
      <c r="B9" s="11" t="s">
        <v>191</v>
      </c>
      <c r="F9" s="11">
        <f>SUM(F3:F8)</f>
        <v>118316.24517834435</v>
      </c>
      <c r="G9" s="11">
        <f t="shared" ref="G9:J9" si="1">SUM(G3:G8)</f>
        <v>125075.84611413638</v>
      </c>
      <c r="H9" s="11">
        <f t="shared" si="1"/>
        <v>133405.00083382073</v>
      </c>
      <c r="I9" s="11">
        <f t="shared" si="1"/>
        <v>145154.66241188379</v>
      </c>
      <c r="J9" s="11">
        <f t="shared" si="1"/>
        <v>155195.67129485513</v>
      </c>
    </row>
    <row r="10" spans="1:12" x14ac:dyDescent="0.25">
      <c r="I10" s="4"/>
      <c r="J10" s="4"/>
    </row>
    <row r="11" spans="1:12" x14ac:dyDescent="0.25">
      <c r="B11" s="4" t="s">
        <v>14</v>
      </c>
      <c r="F11" s="4">
        <f>-Calcs!F7</f>
        <v>-89506.422337856668</v>
      </c>
      <c r="G11" s="4">
        <f>-Calcs!G7</f>
        <v>-91833.589318640952</v>
      </c>
      <c r="H11" s="4">
        <f>-Calcs!H7</f>
        <v>-94129.42905160696</v>
      </c>
      <c r="I11" s="4">
        <f>-Calcs!I7</f>
        <v>-96953.311923155183</v>
      </c>
      <c r="J11" s="4">
        <f>-Calcs!J7</f>
        <v>-99861.911280849847</v>
      </c>
    </row>
    <row r="12" spans="1:12" s="11" customFormat="1" x14ac:dyDescent="0.25">
      <c r="B12" s="11" t="s">
        <v>192</v>
      </c>
      <c r="F12" s="11">
        <f>SUM(F11)</f>
        <v>-89506.422337856668</v>
      </c>
      <c r="G12" s="11">
        <f t="shared" ref="G12:J12" si="2">SUM(G11)</f>
        <v>-91833.589318640952</v>
      </c>
      <c r="H12" s="11">
        <f t="shared" si="2"/>
        <v>-94129.42905160696</v>
      </c>
      <c r="I12" s="11">
        <f t="shared" si="2"/>
        <v>-96953.311923155183</v>
      </c>
      <c r="J12" s="11">
        <f t="shared" si="2"/>
        <v>-99861.911280849847</v>
      </c>
    </row>
    <row r="13" spans="1:12" x14ac:dyDescent="0.25">
      <c r="I13" s="4"/>
      <c r="J13" s="4"/>
    </row>
    <row r="14" spans="1:12" x14ac:dyDescent="0.25">
      <c r="B14" s="4" t="s">
        <v>193</v>
      </c>
      <c r="F14" s="4">
        <f>SUM(Debt!F8:F9)</f>
        <v>0</v>
      </c>
      <c r="G14" s="4">
        <f>SUM(Debt!G8:G9)</f>
        <v>0</v>
      </c>
      <c r="H14" s="4">
        <f>SUM(Debt!H8:H9)</f>
        <v>0</v>
      </c>
      <c r="I14" s="4">
        <f>SUM(Debt!I8:I9)</f>
        <v>0</v>
      </c>
      <c r="J14" s="4">
        <f>SUM(Debt!J8:J9)</f>
        <v>0</v>
      </c>
    </row>
    <row r="15" spans="1:12" x14ac:dyDescent="0.25">
      <c r="B15" s="4" t="s">
        <v>194</v>
      </c>
      <c r="F15" s="4">
        <f>Calcs!F11</f>
        <v>0</v>
      </c>
      <c r="G15" s="4">
        <f>Calcs!G11</f>
        <v>0</v>
      </c>
      <c r="H15" s="4">
        <f>Calcs!H11</f>
        <v>0</v>
      </c>
      <c r="I15" s="4">
        <f>Calcs!I11</f>
        <v>0</v>
      </c>
      <c r="J15" s="4">
        <f>Calcs!J11</f>
        <v>0</v>
      </c>
    </row>
    <row r="16" spans="1:12" s="11" customFormat="1" x14ac:dyDescent="0.25">
      <c r="B16" s="11" t="s">
        <v>195</v>
      </c>
      <c r="F16" s="11">
        <f>SUM(F14:F15)</f>
        <v>0</v>
      </c>
      <c r="G16" s="11">
        <f t="shared" ref="G16:J16" si="3">SUM(G14:G15)</f>
        <v>0</v>
      </c>
      <c r="H16" s="11">
        <f t="shared" si="3"/>
        <v>0</v>
      </c>
      <c r="I16" s="11">
        <f t="shared" si="3"/>
        <v>0</v>
      </c>
      <c r="J16" s="11">
        <f t="shared" si="3"/>
        <v>0</v>
      </c>
    </row>
    <row r="17" spans="2:10" x14ac:dyDescent="0.25">
      <c r="I17" s="4"/>
      <c r="J17" s="4"/>
    </row>
    <row r="18" spans="2:10" x14ac:dyDescent="0.25">
      <c r="B18" s="4" t="s">
        <v>196</v>
      </c>
      <c r="F18" s="4">
        <f>SUM(F16,F12,F9)</f>
        <v>28809.822840487686</v>
      </c>
      <c r="G18" s="4">
        <f t="shared" ref="G18:J18" si="4">SUM(G16,G12,G9)</f>
        <v>33242.256795495428</v>
      </c>
      <c r="H18" s="4">
        <f t="shared" si="4"/>
        <v>39275.571782213767</v>
      </c>
      <c r="I18" s="4">
        <f t="shared" si="4"/>
        <v>48201.350488728611</v>
      </c>
      <c r="J18" s="4">
        <f t="shared" si="4"/>
        <v>55333.760014005282</v>
      </c>
    </row>
    <row r="19" spans="2:10" x14ac:dyDescent="0.25">
      <c r="I19" s="4"/>
      <c r="J19" s="4"/>
    </row>
    <row r="20" spans="2:10" x14ac:dyDescent="0.25">
      <c r="B20" s="4" t="s">
        <v>197</v>
      </c>
      <c r="F20" s="4">
        <f>E22</f>
        <v>12522.98</v>
      </c>
      <c r="G20" s="4">
        <f t="shared" ref="G20:J20" si="5">F22</f>
        <v>41332.802840487682</v>
      </c>
      <c r="H20" s="4">
        <f t="shared" si="5"/>
        <v>74575.059635983111</v>
      </c>
      <c r="I20" s="4">
        <f t="shared" si="5"/>
        <v>113850.63141819688</v>
      </c>
      <c r="J20" s="4">
        <f t="shared" si="5"/>
        <v>162051.9819069255</v>
      </c>
    </row>
    <row r="21" spans="2:10" x14ac:dyDescent="0.25">
      <c r="B21" s="4" t="str">
        <f>B18</f>
        <v>net changes in cash</v>
      </c>
      <c r="F21" s="4">
        <f>F18</f>
        <v>28809.822840487686</v>
      </c>
      <c r="G21" s="4">
        <f t="shared" ref="G21:J21" si="6">G18</f>
        <v>33242.256795495428</v>
      </c>
      <c r="H21" s="4">
        <f t="shared" si="6"/>
        <v>39275.571782213767</v>
      </c>
      <c r="I21" s="4">
        <f t="shared" si="6"/>
        <v>48201.350488728611</v>
      </c>
      <c r="J21" s="4">
        <f t="shared" si="6"/>
        <v>55333.760014005282</v>
      </c>
    </row>
    <row r="22" spans="2:10" x14ac:dyDescent="0.25">
      <c r="B22" s="4" t="s">
        <v>198</v>
      </c>
      <c r="E22" s="4">
        <f>BalSheet!E18</f>
        <v>12522.98</v>
      </c>
      <c r="F22" s="4">
        <f>SUM(F20:F21)</f>
        <v>41332.802840487682</v>
      </c>
      <c r="G22" s="4">
        <f t="shared" ref="G22:J22" si="7">SUM(G20:G21)</f>
        <v>74575.059635983111</v>
      </c>
      <c r="H22" s="4">
        <f t="shared" si="7"/>
        <v>113850.63141819688</v>
      </c>
      <c r="I22" s="4">
        <f t="shared" si="7"/>
        <v>162051.9819069255</v>
      </c>
      <c r="J22" s="4">
        <f t="shared" si="7"/>
        <v>217385.7419209308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autoPageBreaks="0" fitToPage="1"/>
  </sheetPr>
  <dimension ref="A1:L30"/>
  <sheetViews>
    <sheetView showGridLines="0" zoomScaleNormal="100" workbookViewId="0">
      <selection activeCell="F15" sqref="F3:J15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3" t="str">
        <f>CoName</f>
        <v xml:space="preserve">BJ's Resturant Inc. </v>
      </c>
      <c r="B1" s="3"/>
      <c r="C1" s="40" t="s">
        <v>0</v>
      </c>
      <c r="D1" s="40" t="s">
        <v>0</v>
      </c>
      <c r="E1" s="40" t="s">
        <v>0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/>
      <c r="L1" s="40"/>
    </row>
    <row r="2" spans="1:12" s="2" customFormat="1" ht="16.350000000000001" customHeight="1" x14ac:dyDescent="0.25">
      <c r="A2" s="177" t="s">
        <v>86</v>
      </c>
      <c r="B2" s="178"/>
      <c r="C2" s="183">
        <v>2022</v>
      </c>
      <c r="D2" s="183">
        <f>C2+1</f>
        <v>2023</v>
      </c>
      <c r="E2" s="183">
        <f t="shared" ref="E2:J2" si="0">D2+1</f>
        <v>2024</v>
      </c>
      <c r="F2" s="183">
        <f t="shared" si="0"/>
        <v>2025</v>
      </c>
      <c r="G2" s="183">
        <f t="shared" si="0"/>
        <v>2026</v>
      </c>
      <c r="H2" s="183">
        <f t="shared" si="0"/>
        <v>2027</v>
      </c>
      <c r="I2" s="183">
        <f t="shared" si="0"/>
        <v>2028</v>
      </c>
      <c r="J2" s="183">
        <f t="shared" si="0"/>
        <v>2029</v>
      </c>
      <c r="K2" s="205"/>
      <c r="L2" s="205"/>
    </row>
    <row r="3" spans="1:12" x14ac:dyDescent="0.25">
      <c r="A3" s="11" t="s">
        <v>124</v>
      </c>
      <c r="B3" s="4" t="s">
        <v>87</v>
      </c>
      <c r="D3" s="236"/>
      <c r="E3" s="23"/>
      <c r="F3" s="237">
        <f>IncState!F15</f>
        <v>1398021.06</v>
      </c>
      <c r="G3" s="237">
        <f>IncState!G15</f>
        <v>1434369.6075600001</v>
      </c>
      <c r="H3" s="237">
        <f>IncState!H15</f>
        <v>1470228.8477489999</v>
      </c>
      <c r="I3" s="237">
        <f>IncState!I15</f>
        <v>1514335.7131814701</v>
      </c>
      <c r="J3" s="237">
        <f>IncState!J15</f>
        <v>1559765.7845769143</v>
      </c>
      <c r="K3" s="213"/>
      <c r="L3" s="213"/>
    </row>
    <row r="4" spans="1:12" x14ac:dyDescent="0.25">
      <c r="B4" s="4" t="s">
        <v>54</v>
      </c>
      <c r="E4" s="27"/>
      <c r="F4" s="4">
        <f>IncState!F18</f>
        <v>44474.653011758346</v>
      </c>
      <c r="G4" s="4">
        <f>IncState!G18</f>
        <v>52802.842027864186</v>
      </c>
      <c r="H4" s="4">
        <f>IncState!H18</f>
        <v>61474.057317305822</v>
      </c>
      <c r="I4" s="4">
        <f>IncState!I18</f>
        <v>70889.957602732349</v>
      </c>
      <c r="J4" s="4">
        <f>IncState!J18</f>
        <v>80815.485253698891</v>
      </c>
    </row>
    <row r="5" spans="1:12" x14ac:dyDescent="0.25">
      <c r="B5" s="29" t="s">
        <v>92</v>
      </c>
      <c r="C5" s="29"/>
      <c r="D5" s="29"/>
      <c r="E5" s="38"/>
      <c r="F5" s="42">
        <f>Assumptions!F16</f>
        <v>0.21</v>
      </c>
      <c r="G5" s="42">
        <f>Assumptions!G16</f>
        <v>0.21</v>
      </c>
      <c r="H5" s="42">
        <f>Assumptions!H16</f>
        <v>0.21</v>
      </c>
      <c r="I5" s="42">
        <f>Assumptions!I16</f>
        <v>0.21</v>
      </c>
      <c r="J5" s="42">
        <f>Assumptions!J16</f>
        <v>0.21</v>
      </c>
      <c r="K5" s="42"/>
      <c r="L5" s="42"/>
    </row>
    <row r="6" spans="1:12" x14ac:dyDescent="0.25">
      <c r="C6" s="5"/>
      <c r="D6" s="5"/>
      <c r="E6" s="23"/>
      <c r="F6" s="5"/>
      <c r="G6" s="5"/>
      <c r="H6" s="5"/>
      <c r="I6" s="5"/>
      <c r="J6" s="5"/>
      <c r="K6" s="170"/>
      <c r="L6" s="170"/>
    </row>
    <row r="7" spans="1:12" x14ac:dyDescent="0.25">
      <c r="A7" s="24" t="s">
        <v>124</v>
      </c>
      <c r="B7" s="21" t="s">
        <v>88</v>
      </c>
      <c r="C7" s="117"/>
      <c r="D7" s="117"/>
      <c r="E7" s="117"/>
      <c r="F7" s="132">
        <f t="shared" ref="F7:J7" si="1">F4*(1-F5)</f>
        <v>35134.975879289093</v>
      </c>
      <c r="G7" s="132">
        <f t="shared" ref="G7:J7" si="2">G4*(1-G5)</f>
        <v>41714.245202012709</v>
      </c>
      <c r="H7" s="132">
        <f t="shared" si="2"/>
        <v>48564.505280671605</v>
      </c>
      <c r="I7" s="132">
        <f t="shared" si="2"/>
        <v>56003.066506158561</v>
      </c>
      <c r="J7" s="132">
        <f t="shared" si="2"/>
        <v>63844.233350422124</v>
      </c>
      <c r="K7" s="266"/>
      <c r="L7" s="213"/>
    </row>
    <row r="8" spans="1:12" x14ac:dyDescent="0.25">
      <c r="B8" s="4" t="s">
        <v>15</v>
      </c>
      <c r="C8" s="117"/>
      <c r="D8" s="117"/>
      <c r="E8" s="118"/>
      <c r="F8" s="133">
        <f>CashFlow!F4</f>
        <v>70437.521395985968</v>
      </c>
      <c r="G8" s="133">
        <f>CashFlow!G4</f>
        <v>72022.346382494739</v>
      </c>
      <c r="H8" s="133">
        <f>CashFlow!H4</f>
        <v>73668.867748078992</v>
      </c>
      <c r="I8" s="133">
        <f>CashFlow!I4</f>
        <v>75369.354257011713</v>
      </c>
      <c r="J8" s="133">
        <f>CashFlow!J4</f>
        <v>77163.206746010808</v>
      </c>
      <c r="K8" s="212"/>
      <c r="L8" s="212"/>
    </row>
    <row r="9" spans="1:12" x14ac:dyDescent="0.25">
      <c r="B9" s="4" t="s">
        <v>53</v>
      </c>
      <c r="C9" s="5"/>
      <c r="D9" s="5"/>
      <c r="E9" s="23"/>
      <c r="F9" s="134">
        <f>CashFlow!F5</f>
        <v>0</v>
      </c>
      <c r="G9" s="134">
        <f>CashFlow!G5</f>
        <v>0</v>
      </c>
      <c r="H9" s="134">
        <f>CashFlow!H5</f>
        <v>0</v>
      </c>
      <c r="I9" s="134">
        <f>CashFlow!I5</f>
        <v>0</v>
      </c>
      <c r="J9" s="134">
        <f>CashFlow!J5</f>
        <v>0</v>
      </c>
      <c r="K9" s="212"/>
      <c r="L9" s="212"/>
    </row>
    <row r="10" spans="1:12" x14ac:dyDescent="0.25">
      <c r="B10" s="4" t="s">
        <v>89</v>
      </c>
      <c r="C10" s="5"/>
      <c r="D10" s="5"/>
      <c r="E10" s="23"/>
      <c r="F10" s="134">
        <f>CashFlow!F6</f>
        <v>3647.8979030692863</v>
      </c>
      <c r="G10" s="134">
        <f>CashFlow!G6</f>
        <v>3219.6924296288926</v>
      </c>
      <c r="H10" s="134">
        <f>CashFlow!H6</f>
        <v>3161.3675025702105</v>
      </c>
      <c r="I10" s="134">
        <f>CashFlow!I6</f>
        <v>3929.621476638451</v>
      </c>
      <c r="J10" s="134">
        <f>CashFlow!J6</f>
        <v>4040.0324211849656</v>
      </c>
      <c r="K10" s="212"/>
      <c r="L10" s="212"/>
    </row>
    <row r="11" spans="1:12" x14ac:dyDescent="0.25">
      <c r="B11" s="4" t="s">
        <v>164</v>
      </c>
      <c r="C11" s="5"/>
      <c r="D11" s="5"/>
      <c r="E11" s="23"/>
      <c r="F11" s="134">
        <f>CashFlow!F7</f>
        <v>-3151.2900000000081</v>
      </c>
      <c r="G11" s="134">
        <f>CashFlow!G7</f>
        <v>-2813.0515400000149</v>
      </c>
      <c r="H11" s="134">
        <f>CashFlow!H7</f>
        <v>-2775.1835384999868</v>
      </c>
      <c r="I11" s="134">
        <f>CashFlow!I7</f>
        <v>-3413.475752355007</v>
      </c>
      <c r="J11" s="134">
        <f>CashFlow!J7</f>
        <v>-3515.8800249256601</v>
      </c>
      <c r="K11" s="212"/>
      <c r="L11" s="212"/>
    </row>
    <row r="12" spans="1:12" x14ac:dyDescent="0.25">
      <c r="B12" s="4" t="s">
        <v>165</v>
      </c>
      <c r="E12" s="27"/>
      <c r="F12" s="134">
        <f>CashFlow!F8</f>
        <v>12247.140000000014</v>
      </c>
      <c r="G12" s="134">
        <f>CashFlow!G8</f>
        <v>10932.613640000054</v>
      </c>
      <c r="H12" s="134">
        <f>CashFlow!H8</f>
        <v>10785.443840999913</v>
      </c>
      <c r="I12" s="134">
        <f>CashFlow!I8</f>
        <v>13266.095924430061</v>
      </c>
      <c r="J12" s="134">
        <f>CashFlow!J8</f>
        <v>13664.078802162898</v>
      </c>
      <c r="K12" s="212"/>
      <c r="L12" s="212"/>
    </row>
    <row r="13" spans="1:12" x14ac:dyDescent="0.25">
      <c r="B13" s="4" t="s">
        <v>90</v>
      </c>
      <c r="E13" s="27"/>
      <c r="F13" s="130">
        <f>CashFlow!F11</f>
        <v>-89506.422337856668</v>
      </c>
      <c r="G13" s="130">
        <f>CashFlow!G11</f>
        <v>-91833.589318640952</v>
      </c>
      <c r="H13" s="130">
        <f>CashFlow!H11</f>
        <v>-94129.42905160696</v>
      </c>
      <c r="I13" s="130">
        <f>CashFlow!I11</f>
        <v>-96953.311923155183</v>
      </c>
      <c r="J13" s="130">
        <f>CashFlow!J11</f>
        <v>-99861.911280849847</v>
      </c>
      <c r="K13" s="130"/>
      <c r="L13" s="130"/>
    </row>
    <row r="14" spans="1:12" x14ac:dyDescent="0.25">
      <c r="E14" s="61"/>
      <c r="F14" s="135"/>
      <c r="G14" s="135"/>
      <c r="H14" s="135"/>
      <c r="I14" s="135"/>
      <c r="J14" s="135"/>
      <c r="K14" s="135"/>
      <c r="L14" s="135"/>
    </row>
    <row r="15" spans="1:12" s="11" customFormat="1" x14ac:dyDescent="0.25">
      <c r="A15" s="24" t="s">
        <v>124</v>
      </c>
      <c r="B15" s="33" t="s">
        <v>91</v>
      </c>
      <c r="C15" s="33"/>
      <c r="D15" s="33"/>
      <c r="E15" s="33"/>
      <c r="F15" s="33">
        <f>SUM(F7:F13)</f>
        <v>28809.822840487686</v>
      </c>
      <c r="G15" s="33">
        <f t="shared" ref="G15:J15" si="3">SUM(G7:G13)</f>
        <v>33242.256795495428</v>
      </c>
      <c r="H15" s="33">
        <f t="shared" si="3"/>
        <v>39275.571782213767</v>
      </c>
      <c r="I15" s="33">
        <f t="shared" si="3"/>
        <v>48201.350488728611</v>
      </c>
      <c r="J15" s="33">
        <f t="shared" si="3"/>
        <v>55333.760014005282</v>
      </c>
      <c r="K15" s="265"/>
    </row>
    <row r="16" spans="1:12" x14ac:dyDescent="0.25">
      <c r="B16" s="64"/>
      <c r="C16" s="64"/>
      <c r="D16" s="64"/>
      <c r="E16" s="64"/>
      <c r="F16" s="64"/>
      <c r="G16" s="64"/>
      <c r="H16" s="64"/>
      <c r="I16" s="82"/>
      <c r="J16" s="82"/>
    </row>
    <row r="17" spans="3:8" x14ac:dyDescent="0.25">
      <c r="C17" s="5"/>
      <c r="D17" s="5"/>
      <c r="E17" s="5"/>
      <c r="F17" s="5"/>
      <c r="G17" s="5"/>
      <c r="H17" s="5"/>
    </row>
    <row r="20" spans="3:8" x14ac:dyDescent="0.25">
      <c r="C20" s="5"/>
      <c r="D20" s="5"/>
      <c r="E20" s="5"/>
      <c r="F20" s="5"/>
      <c r="G20" s="5"/>
      <c r="H20" s="5"/>
    </row>
    <row r="28" spans="3:8" x14ac:dyDescent="0.25">
      <c r="C28" s="5"/>
      <c r="D28" s="5"/>
      <c r="E28" s="5"/>
      <c r="F28" s="5"/>
      <c r="G28" s="5"/>
      <c r="H28" s="5"/>
    </row>
    <row r="29" spans="3:8" x14ac:dyDescent="0.25">
      <c r="C29" s="5"/>
      <c r="D29" s="5"/>
      <c r="E29" s="5"/>
      <c r="F29" s="5"/>
      <c r="G29" s="5"/>
      <c r="H29" s="5"/>
    </row>
    <row r="30" spans="3:8" x14ac:dyDescent="0.25">
      <c r="C30" s="5"/>
      <c r="D30" s="5"/>
      <c r="E30" s="5"/>
      <c r="F30" s="5"/>
      <c r="G30" s="5"/>
      <c r="H30" s="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C759-7EE8-4F94-A92F-62A3DBDD70DA}">
  <sheetPr codeName="Sheet13"/>
  <dimension ref="A1:M15"/>
  <sheetViews>
    <sheetView showGridLines="0" zoomScaleNormal="100" workbookViewId="0">
      <selection activeCell="E8" sqref="E8"/>
    </sheetView>
  </sheetViews>
  <sheetFormatPr defaultColWidth="9" defaultRowHeight="15" x14ac:dyDescent="0.25"/>
  <cols>
    <col min="1" max="1" width="2.7109375" style="4" customWidth="1"/>
    <col min="2" max="3" width="9" style="4"/>
    <col min="4" max="4" width="11" style="4" customWidth="1"/>
    <col min="5" max="5" width="8.28515625" style="4" customWidth="1"/>
    <col min="6" max="7" width="9" style="4"/>
    <col min="8" max="8" width="12.28515625" style="4" customWidth="1"/>
    <col min="9" max="9" width="10.140625" style="4" customWidth="1"/>
    <col min="10" max="10" width="14.28515625" style="4" bestFit="1" customWidth="1"/>
    <col min="11" max="11" width="11.42578125" style="4" customWidth="1"/>
    <col min="12" max="12" width="13.140625" style="4" customWidth="1"/>
    <col min="13" max="13" width="15" style="4" bestFit="1" customWidth="1"/>
    <col min="14" max="16384" width="9" style="4"/>
  </cols>
  <sheetData>
    <row r="1" spans="1:13" ht="19.5" x14ac:dyDescent="0.3">
      <c r="A1" s="253" t="str">
        <f>CoName</f>
        <v xml:space="preserve">BJ's Resturant Inc. </v>
      </c>
    </row>
    <row r="2" spans="1:13" x14ac:dyDescent="0.25">
      <c r="G2" s="145"/>
    </row>
    <row r="3" spans="1:13" x14ac:dyDescent="0.25">
      <c r="A3" s="27" t="s">
        <v>124</v>
      </c>
      <c r="B3" s="160" t="s">
        <v>100</v>
      </c>
      <c r="C3" s="161"/>
      <c r="D3" s="161"/>
      <c r="E3" s="162"/>
      <c r="F3" s="11"/>
      <c r="G3" s="75" t="s">
        <v>108</v>
      </c>
      <c r="H3" s="75" t="s">
        <v>103</v>
      </c>
      <c r="I3" s="75" t="s">
        <v>104</v>
      </c>
      <c r="J3" s="75" t="s">
        <v>105</v>
      </c>
      <c r="K3" s="75" t="s">
        <v>106</v>
      </c>
      <c r="L3" s="75" t="s">
        <v>111</v>
      </c>
      <c r="M3" s="75" t="s">
        <v>107</v>
      </c>
    </row>
    <row r="4" spans="1:13" x14ac:dyDescent="0.25">
      <c r="A4" s="27"/>
      <c r="B4" s="256" t="s">
        <v>166</v>
      </c>
      <c r="C4" s="65"/>
      <c r="D4" s="70"/>
      <c r="E4" s="257">
        <f>Assumptions!F16</f>
        <v>0.21</v>
      </c>
      <c r="G4" s="137"/>
      <c r="H4" s="138"/>
      <c r="I4" s="78"/>
      <c r="J4" s="79"/>
      <c r="K4" s="140"/>
      <c r="L4" s="151">
        <f>E4</f>
        <v>0.21</v>
      </c>
      <c r="M4" s="141">
        <f>H4/((1+K4*(1-L4)))</f>
        <v>0</v>
      </c>
    </row>
    <row r="5" spans="1:13" x14ac:dyDescent="0.25">
      <c r="A5" s="27"/>
      <c r="B5" s="65" t="s">
        <v>93</v>
      </c>
      <c r="C5" s="65"/>
      <c r="D5" s="70"/>
      <c r="E5" s="136">
        <v>4.1000000000000002E-2</v>
      </c>
      <c r="G5" s="137"/>
      <c r="H5" s="138"/>
      <c r="I5" s="78"/>
      <c r="J5" s="79"/>
      <c r="K5" s="140"/>
      <c r="L5" s="151">
        <f>L4</f>
        <v>0.21</v>
      </c>
      <c r="M5" s="141">
        <f t="shared" ref="M5:M7" si="0">H5/((1+K5*(1-L5)))</f>
        <v>0</v>
      </c>
    </row>
    <row r="6" spans="1:13" x14ac:dyDescent="0.25">
      <c r="A6" s="27"/>
      <c r="B6" s="65" t="s">
        <v>94</v>
      </c>
      <c r="C6" s="65"/>
      <c r="D6" s="70"/>
      <c r="E6" s="136">
        <v>0.05</v>
      </c>
      <c r="G6" s="137"/>
      <c r="H6" s="139"/>
      <c r="I6" s="80"/>
      <c r="J6" s="79"/>
      <c r="K6" s="140"/>
      <c r="L6" s="151">
        <f t="shared" ref="L6:L7" si="1">L5</f>
        <v>0.21</v>
      </c>
      <c r="M6" s="141">
        <f t="shared" si="0"/>
        <v>0</v>
      </c>
    </row>
    <row r="7" spans="1:13" x14ac:dyDescent="0.25">
      <c r="A7" s="27"/>
      <c r="B7" s="65" t="s">
        <v>95</v>
      </c>
      <c r="C7" s="65"/>
      <c r="D7" s="70"/>
      <c r="E7" s="219">
        <v>0.67</v>
      </c>
      <c r="G7" s="137"/>
      <c r="H7" s="139"/>
      <c r="I7" s="80"/>
      <c r="J7" s="81"/>
      <c r="K7" s="140"/>
      <c r="L7" s="151">
        <f t="shared" si="1"/>
        <v>0.21</v>
      </c>
      <c r="M7" s="141">
        <f t="shared" si="0"/>
        <v>0</v>
      </c>
    </row>
    <row r="8" spans="1:13" x14ac:dyDescent="0.25">
      <c r="A8" s="27"/>
      <c r="B8" s="65" t="s">
        <v>96</v>
      </c>
      <c r="C8" s="65"/>
      <c r="D8" s="70"/>
      <c r="E8" s="136">
        <f>E5+E6*E7</f>
        <v>7.4500000000000011E-2</v>
      </c>
      <c r="L8" s="64"/>
    </row>
    <row r="9" spans="1:13" x14ac:dyDescent="0.25">
      <c r="A9" s="27"/>
      <c r="B9" s="66" t="s">
        <v>97</v>
      </c>
      <c r="C9" s="66"/>
      <c r="D9" s="71"/>
      <c r="E9" s="142">
        <f>1-E10</f>
        <v>0.40730339736916821</v>
      </c>
      <c r="G9" s="4" t="s">
        <v>109</v>
      </c>
      <c r="L9" s="27"/>
      <c r="M9" s="218">
        <f>AVERAGE(M4:M7)</f>
        <v>0</v>
      </c>
    </row>
    <row r="10" spans="1:13" x14ac:dyDescent="0.25">
      <c r="A10" s="27"/>
      <c r="B10" s="67" t="s">
        <v>98</v>
      </c>
      <c r="C10" s="67"/>
      <c r="D10" s="72"/>
      <c r="E10" s="143">
        <f>MAIN!F8/MAIN!F6</f>
        <v>0.59269660263083179</v>
      </c>
      <c r="M10" s="64"/>
    </row>
    <row r="11" spans="1:13" x14ac:dyDescent="0.25">
      <c r="A11" s="27"/>
      <c r="B11" s="159" t="s">
        <v>177</v>
      </c>
      <c r="C11" s="68"/>
      <c r="D11" s="73"/>
      <c r="E11" s="144">
        <f>Assumptions!F23</f>
        <v>8.246616541353384E-2</v>
      </c>
      <c r="G11" s="4" t="s">
        <v>110</v>
      </c>
      <c r="L11" s="27"/>
      <c r="M11" s="218">
        <f>M9*(1+E10*(1-E4))</f>
        <v>0</v>
      </c>
    </row>
    <row r="12" spans="1:13" x14ac:dyDescent="0.25">
      <c r="A12" s="27"/>
      <c r="B12" s="69" t="s">
        <v>99</v>
      </c>
      <c r="C12" s="69"/>
      <c r="D12" s="74"/>
      <c r="E12" s="144">
        <f>E11*(1-E4)</f>
        <v>6.5148270676691739E-2</v>
      </c>
      <c r="M12" s="64"/>
    </row>
    <row r="13" spans="1:13" s="11" customFormat="1" x14ac:dyDescent="0.25">
      <c r="A13" s="24" t="s">
        <v>124</v>
      </c>
      <c r="B13" s="160" t="s">
        <v>100</v>
      </c>
      <c r="C13" s="161"/>
      <c r="D13" s="162"/>
      <c r="E13" s="156">
        <f>WACC!E8*WACC!E9+WACC!E12*WACC!E10</f>
        <v>6.8957261801352074E-2</v>
      </c>
      <c r="F13" s="4"/>
    </row>
    <row r="14" spans="1:13" s="11" customFormat="1" x14ac:dyDescent="0.25">
      <c r="A14" s="24"/>
      <c r="B14" s="75" t="s">
        <v>101</v>
      </c>
      <c r="C14" s="75"/>
      <c r="D14" s="112"/>
      <c r="E14" s="146">
        <v>2.5000000000000001E-2</v>
      </c>
      <c r="F14" s="4"/>
    </row>
    <row r="15" spans="1:13" x14ac:dyDescent="0.25">
      <c r="B15" s="64"/>
      <c r="C15" s="64"/>
      <c r="D15" s="64"/>
      <c r="E15" s="64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40EB-072D-4DA9-B457-4757931D9A4D}">
  <sheetPr codeName="Sheet14"/>
  <dimension ref="A1:Q44"/>
  <sheetViews>
    <sheetView showGridLines="0" zoomScaleNormal="100" workbookViewId="0">
      <selection activeCell="G8" sqref="G8"/>
    </sheetView>
  </sheetViews>
  <sheetFormatPr defaultColWidth="9" defaultRowHeight="15" x14ac:dyDescent="0.25"/>
  <cols>
    <col min="1" max="1" width="2" style="4" customWidth="1"/>
    <col min="2" max="2" width="22.42578125" style="4" bestFit="1" customWidth="1"/>
    <col min="3" max="10" width="12.28515625" style="4" customWidth="1"/>
    <col min="11" max="12" width="11.7109375" style="4" customWidth="1"/>
    <col min="13" max="16384" width="9" style="4"/>
  </cols>
  <sheetData>
    <row r="1" spans="1:14" ht="19.5" x14ac:dyDescent="0.3">
      <c r="A1" s="253" t="str">
        <f>CoName</f>
        <v xml:space="preserve">BJ's Resturant Inc. </v>
      </c>
      <c r="B1" s="3"/>
      <c r="C1" s="3"/>
      <c r="D1" s="40" t="s">
        <v>1</v>
      </c>
      <c r="E1" s="40" t="s">
        <v>1</v>
      </c>
      <c r="F1" s="40" t="s">
        <v>1</v>
      </c>
      <c r="G1" s="40" t="s">
        <v>1</v>
      </c>
      <c r="H1" s="40" t="s">
        <v>1</v>
      </c>
      <c r="I1" s="40"/>
      <c r="J1" s="40"/>
      <c r="K1" s="40"/>
      <c r="L1" s="40"/>
      <c r="M1" s="40"/>
    </row>
    <row r="2" spans="1:14" x14ac:dyDescent="0.25">
      <c r="A2" s="75" t="s">
        <v>112</v>
      </c>
      <c r="B2" s="19"/>
      <c r="C2" s="41"/>
      <c r="D2" s="75">
        <v>0.5</v>
      </c>
      <c r="E2" s="75">
        <f>D2+1</f>
        <v>1.5</v>
      </c>
      <c r="F2" s="75">
        <f t="shared" ref="F2:H2" si="0">E2+1</f>
        <v>2.5</v>
      </c>
      <c r="G2" s="75">
        <f t="shared" si="0"/>
        <v>3.5</v>
      </c>
      <c r="H2" s="75">
        <f t="shared" si="0"/>
        <v>4.5</v>
      </c>
      <c r="I2" s="157"/>
      <c r="J2" s="157"/>
      <c r="K2" s="157"/>
      <c r="L2" s="157"/>
      <c r="M2" s="157"/>
      <c r="N2" s="157"/>
    </row>
    <row r="3" spans="1:14" x14ac:dyDescent="0.25">
      <c r="B3" s="4" t="s">
        <v>182</v>
      </c>
      <c r="D3" s="8">
        <f>1/(1+$K$17)^D2</f>
        <v>0.96720788644808353</v>
      </c>
      <c r="E3" s="8">
        <f t="shared" ref="E3:H3" si="1">1/(1+$K$17)^E2</f>
        <v>0.90481436537340543</v>
      </c>
      <c r="F3" s="8">
        <f t="shared" si="1"/>
        <v>0.84644578198445319</v>
      </c>
      <c r="G3" s="8">
        <f t="shared" si="1"/>
        <v>0.79184249196087242</v>
      </c>
      <c r="H3" s="8">
        <f t="shared" si="1"/>
        <v>0.7407616003529458</v>
      </c>
      <c r="I3" s="8"/>
      <c r="J3" s="8"/>
      <c r="K3" s="8"/>
    </row>
    <row r="4" spans="1:14" x14ac:dyDescent="0.25">
      <c r="B4" s="4" t="s">
        <v>183</v>
      </c>
      <c r="D4" s="4">
        <f>D3*'Free Cash Flow'!F15</f>
        <v>27865.087858491817</v>
      </c>
      <c r="E4" s="4">
        <f>E3*'Free Cash Flow'!G15</f>
        <v>30078.07148599597</v>
      </c>
      <c r="F4" s="4">
        <f>F3*'Free Cash Flow'!H15</f>
        <v>33244.642070082453</v>
      </c>
      <c r="G4" s="4">
        <f>G3*'Free Cash Flow'!I15</f>
        <v>38167.877486874277</v>
      </c>
      <c r="H4" s="4">
        <f>H3*'Free Cash Flow'!J15</f>
        <v>40989.124621520394</v>
      </c>
    </row>
    <row r="5" spans="1:14" x14ac:dyDescent="0.25">
      <c r="G5" s="145"/>
      <c r="H5" s="4">
        <f>(H4*(1+$K$18))/($K$17-$K$18)</f>
        <v>955788.66870561312</v>
      </c>
    </row>
    <row r="6" spans="1:14" x14ac:dyDescent="0.25">
      <c r="A6" s="75" t="s">
        <v>113</v>
      </c>
      <c r="B6" s="19"/>
      <c r="C6" s="41"/>
      <c r="D6" s="84"/>
      <c r="E6" s="75" t="s">
        <v>171</v>
      </c>
      <c r="F6" s="19"/>
      <c r="G6" s="41"/>
      <c r="H6" s="84" t="s">
        <v>167</v>
      </c>
    </row>
    <row r="7" spans="1:14" x14ac:dyDescent="0.25">
      <c r="B7" s="4" t="s">
        <v>114</v>
      </c>
      <c r="C7" s="4">
        <f>SUM(D4:H4)</f>
        <v>170344.80352296491</v>
      </c>
      <c r="E7" s="4" t="s">
        <v>114</v>
      </c>
      <c r="G7" s="4">
        <f>C7</f>
        <v>170344.80352296491</v>
      </c>
    </row>
    <row r="8" spans="1:14" x14ac:dyDescent="0.25">
      <c r="B8" s="4" t="s">
        <v>115</v>
      </c>
      <c r="C8" s="4">
        <f>H5*H3</f>
        <v>708011.54382958147</v>
      </c>
      <c r="E8" s="4" t="s">
        <v>172</v>
      </c>
      <c r="G8" s="4">
        <f>H3*G10*IncState!J22</f>
        <v>1755368.2306105513</v>
      </c>
    </row>
    <row r="9" spans="1:14" x14ac:dyDescent="0.25">
      <c r="B9" s="4" t="s">
        <v>116</v>
      </c>
      <c r="C9" s="4">
        <f>C7+C8</f>
        <v>878356.34735254641</v>
      </c>
      <c r="E9" s="4" t="s">
        <v>116</v>
      </c>
      <c r="G9" s="4">
        <f>G7+G8</f>
        <v>1925713.0341335163</v>
      </c>
    </row>
    <row r="10" spans="1:14" x14ac:dyDescent="0.25">
      <c r="C10" s="83"/>
      <c r="E10" s="4" t="s">
        <v>117</v>
      </c>
      <c r="G10" s="83">
        <v>15</v>
      </c>
    </row>
    <row r="11" spans="1:14" x14ac:dyDescent="0.25">
      <c r="I11" s="157"/>
    </row>
    <row r="12" spans="1:14" x14ac:dyDescent="0.25">
      <c r="B12" s="27" t="s">
        <v>118</v>
      </c>
      <c r="C12" s="36">
        <f>MAIN!F7</f>
        <v>25431</v>
      </c>
      <c r="E12" s="27" t="s">
        <v>118</v>
      </c>
      <c r="F12" s="154"/>
      <c r="G12" s="77">
        <f>C12</f>
        <v>25431</v>
      </c>
      <c r="I12" s="157"/>
    </row>
    <row r="13" spans="1:14" x14ac:dyDescent="0.25">
      <c r="B13" s="27" t="s">
        <v>119</v>
      </c>
      <c r="C13" s="36">
        <f>MAIN!F8</f>
        <v>501042</v>
      </c>
      <c r="E13" s="27" t="s">
        <v>119</v>
      </c>
      <c r="F13" s="154"/>
      <c r="G13" s="77">
        <f t="shared" ref="G13" si="2">C13</f>
        <v>501042</v>
      </c>
    </row>
    <row r="14" spans="1:14" x14ac:dyDescent="0.25">
      <c r="B14" s="27" t="s">
        <v>120</v>
      </c>
      <c r="C14" s="36">
        <v>0</v>
      </c>
      <c r="E14" s="4" t="s">
        <v>120</v>
      </c>
      <c r="G14" s="77">
        <v>0</v>
      </c>
    </row>
    <row r="15" spans="1:14" x14ac:dyDescent="0.25">
      <c r="B15" s="4" t="s">
        <v>121</v>
      </c>
      <c r="C15" s="64">
        <f>C9+C12-SUM(C13:C14)</f>
        <v>402745.34735254641</v>
      </c>
      <c r="E15" s="4" t="s">
        <v>121</v>
      </c>
      <c r="G15" s="64">
        <f>G9+G12-SUM(G13:G14)</f>
        <v>1450102.0341335163</v>
      </c>
    </row>
    <row r="17" spans="1:17" x14ac:dyDescent="0.25">
      <c r="B17" s="4" t="s">
        <v>122</v>
      </c>
      <c r="C17" s="4">
        <f>MAIN!F5</f>
        <v>21134</v>
      </c>
      <c r="E17" s="4" t="s">
        <v>122</v>
      </c>
      <c r="G17" s="4">
        <f>C17</f>
        <v>21134</v>
      </c>
      <c r="I17" s="160" t="s">
        <v>100</v>
      </c>
      <c r="J17" s="161"/>
      <c r="K17" s="156">
        <f>WACC!E13</f>
        <v>6.8957261801352074E-2</v>
      </c>
    </row>
    <row r="18" spans="1:17" x14ac:dyDescent="0.25">
      <c r="A18" s="4" t="s">
        <v>124</v>
      </c>
      <c r="B18" s="147" t="s">
        <v>123</v>
      </c>
      <c r="C18" s="155">
        <f>C15/C17</f>
        <v>19.056749661803085</v>
      </c>
      <c r="E18" s="147" t="s">
        <v>123</v>
      </c>
      <c r="F18" s="154"/>
      <c r="G18" s="155">
        <f>G15/G17</f>
        <v>68.614650995245398</v>
      </c>
      <c r="I18" s="75" t="s">
        <v>101</v>
      </c>
      <c r="J18" s="75"/>
      <c r="K18" s="146">
        <v>2.5000000000000001E-2</v>
      </c>
    </row>
    <row r="19" spans="1:17" x14ac:dyDescent="0.25">
      <c r="C19" s="21"/>
    </row>
    <row r="20" spans="1:17" x14ac:dyDescent="0.25">
      <c r="A20" s="113" t="s">
        <v>145</v>
      </c>
      <c r="B20" s="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214"/>
    </row>
    <row r="21" spans="1:17" x14ac:dyDescent="0.25">
      <c r="B21" s="114"/>
      <c r="C21" s="114"/>
      <c r="D21" s="114"/>
      <c r="E21" s="114"/>
      <c r="F21" s="114"/>
      <c r="G21" s="114"/>
      <c r="H21" s="114"/>
      <c r="I21" s="114"/>
    </row>
    <row r="22" spans="1:17" x14ac:dyDescent="0.25">
      <c r="B22" s="114"/>
      <c r="C22" s="114" t="s">
        <v>146</v>
      </c>
      <c r="D22" s="114"/>
      <c r="E22" s="115">
        <v>5.0000000000000001E-3</v>
      </c>
      <c r="F22" s="114"/>
      <c r="G22" s="114"/>
      <c r="H22" s="114" t="s">
        <v>146</v>
      </c>
      <c r="I22" s="114"/>
      <c r="J22" s="115">
        <v>5.0000000000000001E-3</v>
      </c>
    </row>
    <row r="23" spans="1:17" x14ac:dyDescent="0.25">
      <c r="B23" s="114"/>
      <c r="C23" s="114" t="s">
        <v>147</v>
      </c>
      <c r="D23" s="114"/>
      <c r="E23" s="148">
        <v>2.5000000000000001E-3</v>
      </c>
      <c r="F23" s="114"/>
      <c r="G23" s="114"/>
      <c r="H23" s="114" t="s">
        <v>170</v>
      </c>
      <c r="I23" s="114"/>
      <c r="J23" s="153">
        <v>2</v>
      </c>
    </row>
    <row r="24" spans="1:17" x14ac:dyDescent="0.25">
      <c r="B24" s="114"/>
      <c r="C24" s="114"/>
      <c r="D24" s="114"/>
      <c r="E24" s="165"/>
      <c r="F24" s="114"/>
      <c r="G24" s="114"/>
      <c r="H24" s="114"/>
      <c r="I24" s="114"/>
      <c r="J24" s="164"/>
    </row>
    <row r="25" spans="1:17" x14ac:dyDescent="0.25">
      <c r="B25" s="114"/>
      <c r="C25" s="238"/>
      <c r="D25" s="238"/>
      <c r="E25" s="238" t="s">
        <v>185</v>
      </c>
      <c r="F25" s="238"/>
      <c r="G25" s="167"/>
      <c r="H25" s="238"/>
      <c r="I25" s="238"/>
      <c r="J25" s="238" t="s">
        <v>186</v>
      </c>
      <c r="K25" s="238"/>
      <c r="P25" s="167"/>
    </row>
    <row r="26" spans="1:17" x14ac:dyDescent="0.25">
      <c r="B26" s="157"/>
      <c r="C26" s="271">
        <f>C18</f>
        <v>19.056749661803085</v>
      </c>
      <c r="D26" s="239">
        <f>E26-E23</f>
        <v>2.2500000000000003E-2</v>
      </c>
      <c r="E26" s="239">
        <v>2.5000000000000001E-2</v>
      </c>
      <c r="F26" s="239">
        <f>E26+E23</f>
        <v>2.75E-2</v>
      </c>
      <c r="G26" s="238"/>
      <c r="H26" s="271">
        <f>G18</f>
        <v>68.614650995245398</v>
      </c>
      <c r="I26" s="269">
        <f>J26-J23</f>
        <v>13</v>
      </c>
      <c r="J26" s="269">
        <v>15</v>
      </c>
      <c r="K26" s="269">
        <f>J26+J23</f>
        <v>17</v>
      </c>
    </row>
    <row r="27" spans="1:17" x14ac:dyDescent="0.25">
      <c r="B27" s="157"/>
      <c r="C27" s="276">
        <f>C28+$E$22</f>
        <v>7.8957261801352083E-2</v>
      </c>
      <c r="D27" s="273">
        <f t="dataTable" ref="D27:F31" dt2D="1" dtr="1" r1="K18" r2="K17" ca="1"/>
        <v>9.2845346880187414</v>
      </c>
      <c r="E27" s="274">
        <v>10.45442416895289</v>
      </c>
      <c r="F27" s="268">
        <v>11.737989488824072</v>
      </c>
      <c r="G27" s="239"/>
      <c r="H27" s="272">
        <f>C27</f>
        <v>7.8957261801352083E-2</v>
      </c>
      <c r="I27" s="273">
        <f t="dataTable" ref="I27:K31" dt2D="1" dtr="1" r1="G10" r2="K17"/>
        <v>54.386635240170044</v>
      </c>
      <c r="J27" s="274">
        <v>65.006713467930823</v>
      </c>
      <c r="K27" s="268">
        <v>75.62679169569158</v>
      </c>
      <c r="N27" s="240"/>
      <c r="P27" s="167"/>
    </row>
    <row r="28" spans="1:17" x14ac:dyDescent="0.25">
      <c r="B28" s="157"/>
      <c r="C28" s="276">
        <f>C29+$E$22</f>
        <v>7.3957261801352078E-2</v>
      </c>
      <c r="D28" s="267">
        <v>12.829120453417721</v>
      </c>
      <c r="E28" s="275">
        <v>14.297332234013266</v>
      </c>
      <c r="F28" s="267">
        <v>15.923561483102052</v>
      </c>
      <c r="G28" s="167"/>
      <c r="H28" s="272">
        <f>C28</f>
        <v>7.3957261801352078E-2</v>
      </c>
      <c r="I28" s="267">
        <v>55.94344125758149</v>
      </c>
      <c r="J28" s="275">
        <v>66.787835833606039</v>
      </c>
      <c r="K28" s="267">
        <v>77.632230409630566</v>
      </c>
      <c r="N28" s="241"/>
      <c r="O28" s="46"/>
      <c r="P28" s="46"/>
      <c r="Q28" s="46"/>
    </row>
    <row r="29" spans="1:17" x14ac:dyDescent="0.25">
      <c r="C29" s="276">
        <v>6.8957261801352074E-2</v>
      </c>
      <c r="D29" s="270">
        <v>17.176647226176588</v>
      </c>
      <c r="E29" s="277">
        <v>19.056749661803085</v>
      </c>
      <c r="F29" s="270">
        <v>21.163603980445323</v>
      </c>
      <c r="G29" s="242"/>
      <c r="H29" s="272">
        <f>C29</f>
        <v>6.8957261801352074E-2</v>
      </c>
      <c r="I29" s="270">
        <v>57.540121922909812</v>
      </c>
      <c r="J29" s="277">
        <v>68.614650995245398</v>
      </c>
      <c r="K29" s="270">
        <v>79.689180067580963</v>
      </c>
      <c r="N29" s="244"/>
      <c r="O29" s="163"/>
      <c r="P29" s="163"/>
      <c r="Q29" s="163"/>
    </row>
    <row r="30" spans="1:17" x14ac:dyDescent="0.25">
      <c r="C30" s="276">
        <f>C29-$E$22</f>
        <v>6.3957261801352069E-2</v>
      </c>
      <c r="D30" s="267">
        <v>22.620437468513401</v>
      </c>
      <c r="E30" s="270">
        <v>25.088555841592409</v>
      </c>
      <c r="F30" s="267">
        <v>27.895168968683297</v>
      </c>
      <c r="G30" s="243"/>
      <c r="H30" s="272">
        <f>C30</f>
        <v>6.3957261801352069E-2</v>
      </c>
      <c r="I30" s="267">
        <v>59.177897512260728</v>
      </c>
      <c r="J30" s="270">
        <v>70.488558417131614</v>
      </c>
      <c r="K30" s="267">
        <v>81.799219322002486</v>
      </c>
      <c r="M30" s="46"/>
      <c r="N30" s="163"/>
      <c r="O30" s="83"/>
      <c r="P30" s="83"/>
      <c r="Q30" s="83"/>
    </row>
    <row r="31" spans="1:17" x14ac:dyDescent="0.25">
      <c r="C31" s="276">
        <f>C30-$E$22</f>
        <v>5.8957261801352072E-2</v>
      </c>
      <c r="D31" s="267">
        <v>29.614927324795701</v>
      </c>
      <c r="E31" s="270">
        <v>32.958450323477074</v>
      </c>
      <c r="F31" s="267">
        <v>36.83341229796558</v>
      </c>
      <c r="G31" s="243"/>
      <c r="H31" s="272">
        <f>C31</f>
        <v>5.8957261801352072E-2</v>
      </c>
      <c r="I31" s="267">
        <v>60.858031703315277</v>
      </c>
      <c r="J31" s="270">
        <v>72.411007363084195</v>
      </c>
      <c r="K31" s="267">
        <v>83.9639830228531</v>
      </c>
      <c r="M31" s="46"/>
      <c r="N31" s="163"/>
      <c r="O31" s="83"/>
      <c r="P31" s="83"/>
      <c r="Q31" s="83"/>
    </row>
    <row r="32" spans="1:17" x14ac:dyDescent="0.25">
      <c r="D32" s="46"/>
      <c r="E32" s="145"/>
      <c r="F32" s="225"/>
      <c r="G32" s="243"/>
      <c r="H32" s="226"/>
      <c r="I32" s="226"/>
      <c r="J32" s="226"/>
      <c r="K32" s="245"/>
      <c r="L32" s="145"/>
      <c r="M32" s="46"/>
      <c r="N32" s="163"/>
      <c r="O32" s="83"/>
      <c r="P32" s="83"/>
      <c r="Q32" s="83"/>
    </row>
    <row r="33" spans="2:17" x14ac:dyDescent="0.25">
      <c r="D33" s="46"/>
      <c r="E33" s="221"/>
      <c r="F33" s="225"/>
      <c r="G33" s="243"/>
      <c r="H33" s="226"/>
      <c r="I33" s="226"/>
      <c r="J33" s="226"/>
      <c r="K33" s="240"/>
      <c r="M33" s="46"/>
      <c r="N33" s="163"/>
      <c r="O33" s="83"/>
      <c r="P33" s="83"/>
      <c r="Q33" s="83"/>
    </row>
    <row r="34" spans="2:17" x14ac:dyDescent="0.25">
      <c r="D34" s="46"/>
      <c r="E34" s="221"/>
      <c r="F34" s="225"/>
      <c r="G34" s="243"/>
      <c r="H34" s="226"/>
      <c r="I34" s="226"/>
      <c r="J34" s="226"/>
      <c r="K34" s="240"/>
      <c r="M34" s="46"/>
      <c r="N34" s="163"/>
      <c r="O34" s="83"/>
      <c r="P34" s="83"/>
      <c r="Q34" s="83"/>
    </row>
    <row r="35" spans="2:17" x14ac:dyDescent="0.25">
      <c r="B35" s="246"/>
      <c r="C35" s="246"/>
      <c r="D35" s="246"/>
      <c r="E35" s="247"/>
      <c r="F35" s="248"/>
      <c r="G35" s="247"/>
    </row>
    <row r="36" spans="2:17" x14ac:dyDescent="0.25">
      <c r="B36" s="114"/>
      <c r="C36" s="114"/>
      <c r="D36" s="114"/>
      <c r="E36" s="114"/>
      <c r="F36" s="238"/>
      <c r="G36" s="238"/>
      <c r="H36" s="238"/>
      <c r="I36" s="167"/>
      <c r="J36" s="167"/>
      <c r="P36" s="167"/>
    </row>
    <row r="37" spans="2:17" x14ac:dyDescent="0.25">
      <c r="F37" s="227"/>
      <c r="G37" s="227"/>
      <c r="H37" s="225"/>
      <c r="I37" s="225"/>
      <c r="J37" s="225"/>
      <c r="M37" s="167"/>
      <c r="O37" s="83"/>
      <c r="P37" s="83"/>
      <c r="Q37" s="83"/>
    </row>
    <row r="38" spans="2:17" x14ac:dyDescent="0.25">
      <c r="E38" s="46"/>
      <c r="F38" s="224"/>
      <c r="G38" s="249"/>
      <c r="H38" s="243"/>
      <c r="I38" s="243"/>
      <c r="J38" s="243"/>
      <c r="L38" s="83"/>
      <c r="M38" s="83"/>
      <c r="N38" s="250"/>
      <c r="O38" s="166"/>
      <c r="P38" s="166"/>
      <c r="Q38" s="166"/>
    </row>
    <row r="39" spans="2:17" x14ac:dyDescent="0.25">
      <c r="E39" s="46"/>
      <c r="F39" s="225"/>
      <c r="G39" s="243"/>
      <c r="H39" s="224"/>
      <c r="I39" s="224"/>
      <c r="J39" s="224"/>
      <c r="K39" s="46"/>
      <c r="M39" s="46"/>
      <c r="N39" s="163"/>
      <c r="O39" s="251"/>
      <c r="P39" s="251"/>
      <c r="Q39" s="251"/>
    </row>
    <row r="40" spans="2:17" x14ac:dyDescent="0.25">
      <c r="D40" s="8"/>
      <c r="E40" s="46"/>
      <c r="F40" s="225"/>
      <c r="G40" s="243"/>
      <c r="H40" s="224"/>
      <c r="I40" s="224"/>
      <c r="J40" s="224"/>
      <c r="K40" s="8"/>
      <c r="L40" s="46"/>
      <c r="M40" s="46"/>
      <c r="N40" s="163"/>
      <c r="O40" s="251"/>
      <c r="P40" s="251"/>
      <c r="Q40" s="251"/>
    </row>
    <row r="41" spans="2:17" x14ac:dyDescent="0.25">
      <c r="D41" s="8"/>
      <c r="E41" s="145"/>
      <c r="F41" s="225"/>
      <c r="G41" s="243"/>
      <c r="H41" s="224"/>
      <c r="I41" s="224"/>
      <c r="J41" s="224"/>
      <c r="K41" s="8"/>
      <c r="L41" s="145"/>
      <c r="M41" s="46"/>
      <c r="N41" s="163"/>
      <c r="O41" s="251"/>
      <c r="P41" s="251"/>
      <c r="Q41" s="251"/>
    </row>
    <row r="42" spans="2:17" x14ac:dyDescent="0.25">
      <c r="D42" s="8"/>
      <c r="E42" s="46"/>
      <c r="F42" s="225"/>
      <c r="G42" s="243"/>
      <c r="H42" s="224"/>
      <c r="I42" s="224"/>
      <c r="J42" s="224"/>
      <c r="K42" s="8"/>
      <c r="L42" s="46"/>
      <c r="M42" s="46"/>
      <c r="N42" s="163"/>
      <c r="O42" s="251"/>
      <c r="P42" s="251"/>
      <c r="Q42" s="251"/>
    </row>
    <row r="43" spans="2:17" x14ac:dyDescent="0.25">
      <c r="D43" s="8"/>
      <c r="E43" s="8"/>
      <c r="F43" s="225"/>
      <c r="G43" s="243"/>
      <c r="H43" s="224"/>
      <c r="I43" s="224"/>
      <c r="J43" s="224"/>
      <c r="K43" s="8"/>
      <c r="L43" s="46"/>
      <c r="M43" s="46"/>
      <c r="N43" s="163"/>
      <c r="O43" s="251"/>
      <c r="P43" s="251"/>
      <c r="Q43" s="251"/>
    </row>
    <row r="44" spans="2:17" x14ac:dyDescent="0.25">
      <c r="D44" s="8"/>
      <c r="E44" s="8"/>
      <c r="F44" s="83"/>
      <c r="G44" s="83"/>
      <c r="H44" s="83"/>
      <c r="J44" s="8"/>
      <c r="K44" s="8"/>
      <c r="L44" s="46"/>
      <c r="M44" s="46"/>
      <c r="N44" s="46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a26cf8-717e-46a4-ac0d-03f11284dc6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D67CCE9C46594A83EA9A0A36DAF059" ma:contentTypeVersion="5" ma:contentTypeDescription="Create a new document." ma:contentTypeScope="" ma:versionID="5fd8b8fd27f650b6dd5d0d1126d790d5">
  <xsd:schema xmlns:xsd="http://www.w3.org/2001/XMLSchema" xmlns:xs="http://www.w3.org/2001/XMLSchema" xmlns:p="http://schemas.microsoft.com/office/2006/metadata/properties" xmlns:ns3="88a26cf8-717e-46a4-ac0d-03f11284dc6b" targetNamespace="http://schemas.microsoft.com/office/2006/metadata/properties" ma:root="true" ma:fieldsID="dfdbcf1abf95335456703ce8a00489ec" ns3:_="">
    <xsd:import namespace="88a26cf8-717e-46a4-ac0d-03f11284dc6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26cf8-717e-46a4-ac0d-03f11284dc6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2CEB71-5BFB-4E6E-B188-5D9054FB6C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9B163E-8FD9-4F0C-B1E1-F38F6A6548CE}">
  <ds:schemaRefs>
    <ds:schemaRef ds:uri="http://schemas.microsoft.com/office/2006/metadata/properties"/>
    <ds:schemaRef ds:uri="http://purl.org/dc/elements/1.1/"/>
    <ds:schemaRef ds:uri="http://www.w3.org/XML/1998/namespace"/>
    <ds:schemaRef ds:uri="88a26cf8-717e-46a4-ac0d-03f11284dc6b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E718D7-04AA-4DF9-97B6-37DAC0AD128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a26cf8-717e-46a4-ac0d-03f11284dc6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MAIN</vt:lpstr>
      <vt:lpstr>Quarterly Projections</vt:lpstr>
      <vt:lpstr>Assumptions</vt:lpstr>
      <vt:lpstr>Calcs</vt:lpstr>
      <vt:lpstr>Debt</vt:lpstr>
      <vt:lpstr>IncState</vt:lpstr>
      <vt:lpstr>BalSheet</vt:lpstr>
      <vt:lpstr>CashFlow</vt:lpstr>
      <vt:lpstr>Free Cash Flow</vt:lpstr>
      <vt:lpstr>WACC</vt:lpstr>
      <vt:lpstr>DCF Model</vt:lpstr>
      <vt:lpstr>Ccy</vt:lpstr>
      <vt:lpstr>circ</vt:lpstr>
      <vt:lpstr>CoName</vt:lpstr>
      <vt:lpstr>ScenarioREV</vt:lpstr>
      <vt:lpstr>Units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dc:description>AMTX-V1/2765</dc:description>
  <cp:lastModifiedBy>Alan Chen</cp:lastModifiedBy>
  <cp:lastPrinted>2017-12-06T12:46:42Z</cp:lastPrinted>
  <dcterms:created xsi:type="dcterms:W3CDTF">2008-02-13T09:24:48Z</dcterms:created>
  <dcterms:modified xsi:type="dcterms:W3CDTF">2025-12-16T22:23:21Z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0x01010001D67CCE9C46594A83EA9A0A36DAF059</vt:lpwstr>
  </property>
  <property fmtid="{D5CDD505-2E9C-101B-9397-08002B2CF9AE}" pid="3" name="MSIP_Label_a73fd474-4f3c-44ed-88fb-5cc4bd2471bf_Enabled">
    <vt:lpwstr>true</vt:lpwstr>
  </property>
  <property fmtid="{D5CDD505-2E9C-101B-9397-08002B2CF9AE}" pid="4" name="MSIP_Label_a73fd474-4f3c-44ed-88fb-5cc4bd2471bf_SetDate">
    <vt:lpwstr>2025-09-20T21:06:41Z</vt:lpwstr>
  </property>
  <property fmtid="{D5CDD505-2E9C-101B-9397-08002B2CF9AE}" pid="5" name="MSIP_Label_a73fd474-4f3c-44ed-88fb-5cc4bd2471bf_Method">
    <vt:lpwstr>Standard</vt:lpwstr>
  </property>
  <property fmtid="{D5CDD505-2E9C-101B-9397-08002B2CF9AE}" pid="6" name="MSIP_Label_a73fd474-4f3c-44ed-88fb-5cc4bd2471bf_Name">
    <vt:lpwstr>defa4170-0d19-0005-0004-bc88714345d2</vt:lpwstr>
  </property>
  <property fmtid="{D5CDD505-2E9C-101B-9397-08002B2CF9AE}" pid="7" name="MSIP_Label_a73fd474-4f3c-44ed-88fb-5cc4bd2471bf_SiteId">
    <vt:lpwstr>8d1a69ec-03b5-4345-ae21-dad112f5fb4f</vt:lpwstr>
  </property>
  <property fmtid="{D5CDD505-2E9C-101B-9397-08002B2CF9AE}" pid="8" name="MSIP_Label_a73fd474-4f3c-44ed-88fb-5cc4bd2471bf_ActionId">
    <vt:lpwstr>ea478097-4d4f-4597-be52-84b7b54bb9e8</vt:lpwstr>
  </property>
  <property fmtid="{D5CDD505-2E9C-101B-9397-08002B2CF9AE}" pid="9" name="MSIP_Label_a73fd474-4f3c-44ed-88fb-5cc4bd2471bf_ContentBits">
    <vt:lpwstr>0</vt:lpwstr>
  </property>
  <property fmtid="{D5CDD505-2E9C-101B-9397-08002B2CF9AE}" pid="10" name="MSIP_Label_a73fd474-4f3c-44ed-88fb-5cc4bd2471bf_Tag">
    <vt:lpwstr>10, 3, 0, 1</vt:lpwstr>
  </property>
</Properties>
</file>