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0" documentId="13_ncr:1_{C3D76EFA-2AE7-407F-A39C-B9D866D5E3B2}" xr6:coauthVersionLast="47" xr6:coauthVersionMax="47" xr10:uidLastSave="{00000000-0000-0000-0000-000000000000}"/>
  <bookViews>
    <workbookView xWindow="-105" yWindow="0" windowWidth="14610" windowHeight="16305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2" l="1"/>
  <c r="K7" i="12"/>
  <c r="K10" i="12"/>
  <c r="F8" i="3"/>
  <c r="C13" i="12" s="1"/>
  <c r="G13" i="12" s="1"/>
  <c r="E10" i="11"/>
  <c r="G3" i="10"/>
  <c r="G4" i="10"/>
  <c r="G5" i="10"/>
  <c r="H5" i="10"/>
  <c r="I5" i="10"/>
  <c r="J5" i="10"/>
  <c r="G7" i="10"/>
  <c r="G15" i="10" s="1"/>
  <c r="G8" i="10"/>
  <c r="H8" i="10"/>
  <c r="G9" i="10"/>
  <c r="H9" i="10"/>
  <c r="I9" i="10"/>
  <c r="J9" i="10"/>
  <c r="G10" i="10"/>
  <c r="G11" i="10"/>
  <c r="G12" i="10"/>
  <c r="G13" i="10"/>
  <c r="G4" i="9"/>
  <c r="H4" i="9"/>
  <c r="G5" i="9"/>
  <c r="H5" i="9"/>
  <c r="I5" i="9"/>
  <c r="J5" i="9"/>
  <c r="G6" i="9"/>
  <c r="G7" i="9"/>
  <c r="G8" i="9"/>
  <c r="G11" i="9"/>
  <c r="G12" i="9"/>
  <c r="G14" i="9"/>
  <c r="H14" i="9"/>
  <c r="I14" i="9"/>
  <c r="J14" i="9"/>
  <c r="G15" i="9"/>
  <c r="H15" i="9"/>
  <c r="I15" i="9"/>
  <c r="J15" i="9"/>
  <c r="G16" i="9"/>
  <c r="H16" i="9"/>
  <c r="I16" i="9"/>
  <c r="J16" i="9"/>
  <c r="G17" i="9"/>
  <c r="H17" i="9"/>
  <c r="I17" i="9"/>
  <c r="J17" i="9"/>
  <c r="G21" i="9"/>
  <c r="G16" i="8"/>
  <c r="G18" i="8"/>
  <c r="G20" i="5" s="1"/>
  <c r="G19" i="8"/>
  <c r="G20" i="8"/>
  <c r="G23" i="8"/>
  <c r="G24" i="8"/>
  <c r="H24" i="8"/>
  <c r="I24" i="8"/>
  <c r="J24" i="8"/>
  <c r="G25" i="8"/>
  <c r="G26" i="8"/>
  <c r="G31" i="8"/>
  <c r="G32" i="8"/>
  <c r="G35" i="8"/>
  <c r="H35" i="8"/>
  <c r="I35" i="8"/>
  <c r="J35" i="8"/>
  <c r="G36" i="8"/>
  <c r="G37" i="8"/>
  <c r="G16" i="7"/>
  <c r="G17" i="7"/>
  <c r="G18" i="7"/>
  <c r="G19" i="7"/>
  <c r="G23" i="7" s="1"/>
  <c r="G21" i="7"/>
  <c r="G22" i="7"/>
  <c r="H22" i="7"/>
  <c r="I22" i="7"/>
  <c r="J22" i="7"/>
  <c r="G25" i="7"/>
  <c r="H25" i="7"/>
  <c r="I25" i="7"/>
  <c r="J25" i="7"/>
  <c r="G26" i="7"/>
  <c r="H26" i="7"/>
  <c r="I26" i="7"/>
  <c r="J26" i="7"/>
  <c r="G28" i="7"/>
  <c r="H28" i="7"/>
  <c r="I28" i="7"/>
  <c r="J28" i="7"/>
  <c r="G29" i="7"/>
  <c r="H29" i="7"/>
  <c r="I29" i="7"/>
  <c r="J29" i="7"/>
  <c r="G35" i="7"/>
  <c r="H35" i="7"/>
  <c r="I35" i="7"/>
  <c r="J35" i="7"/>
  <c r="J36" i="7" s="1"/>
  <c r="J15" i="5" s="1"/>
  <c r="G37" i="7"/>
  <c r="H37" i="7"/>
  <c r="I37" i="7"/>
  <c r="J37" i="7"/>
  <c r="G38" i="7"/>
  <c r="G36" i="7" s="1"/>
  <c r="G15" i="5" s="1"/>
  <c r="H38" i="7"/>
  <c r="H36" i="7" s="1"/>
  <c r="H15" i="5" s="1"/>
  <c r="I38" i="7"/>
  <c r="I36" i="7" s="1"/>
  <c r="I15" i="5" s="1"/>
  <c r="J38" i="7"/>
  <c r="G39" i="7"/>
  <c r="H39" i="7"/>
  <c r="I39" i="7"/>
  <c r="J39" i="7"/>
  <c r="G13" i="6"/>
  <c r="H13" i="6"/>
  <c r="I13" i="6"/>
  <c r="J13" i="6"/>
  <c r="G16" i="6"/>
  <c r="G24" i="6" s="1"/>
  <c r="H16" i="6"/>
  <c r="H24" i="6" s="1"/>
  <c r="I16" i="6"/>
  <c r="I24" i="6" s="1"/>
  <c r="J16" i="6"/>
  <c r="J24" i="6" s="1"/>
  <c r="G17" i="6"/>
  <c r="G18" i="6"/>
  <c r="H18" i="6"/>
  <c r="I18" i="6"/>
  <c r="J18" i="6"/>
  <c r="G19" i="6"/>
  <c r="H19" i="6"/>
  <c r="I19" i="6"/>
  <c r="J19" i="6"/>
  <c r="G20" i="6"/>
  <c r="G21" i="6"/>
  <c r="H21" i="6"/>
  <c r="I21" i="6"/>
  <c r="J21" i="6"/>
  <c r="G22" i="6"/>
  <c r="G30" i="6"/>
  <c r="H30" i="6"/>
  <c r="I30" i="6"/>
  <c r="J30" i="6"/>
  <c r="G32" i="6"/>
  <c r="H32" i="6"/>
  <c r="I32" i="6"/>
  <c r="J32" i="6"/>
  <c r="G6" i="5"/>
  <c r="G8" i="5"/>
  <c r="G10" i="5"/>
  <c r="G18" i="5" s="1"/>
  <c r="H10" i="5"/>
  <c r="H18" i="5" s="1"/>
  <c r="I10" i="5"/>
  <c r="I18" i="5" s="1"/>
  <c r="J10" i="5"/>
  <c r="J18" i="5" s="1"/>
  <c r="G11" i="5"/>
  <c r="G16" i="5" s="1"/>
  <c r="H11" i="5"/>
  <c r="I11" i="5"/>
  <c r="J11" i="5"/>
  <c r="G13" i="5"/>
  <c r="H16" i="5"/>
  <c r="I16" i="5"/>
  <c r="J16" i="5"/>
  <c r="G21" i="5"/>
  <c r="G22" i="5"/>
  <c r="G23" i="5"/>
  <c r="G24" i="5"/>
  <c r="F29" i="7"/>
  <c r="F32" i="6"/>
  <c r="F28" i="7"/>
  <c r="F31" i="7" s="1"/>
  <c r="F13" i="10"/>
  <c r="F12" i="10"/>
  <c r="F11" i="10"/>
  <c r="F10" i="10"/>
  <c r="F9" i="10"/>
  <c r="F8" i="10"/>
  <c r="F21" i="9"/>
  <c r="E23" i="9"/>
  <c r="B22" i="9"/>
  <c r="F17" i="9"/>
  <c r="F16" i="9"/>
  <c r="F15" i="9"/>
  <c r="F14" i="9"/>
  <c r="F12" i="9"/>
  <c r="F11" i="9"/>
  <c r="F8" i="9"/>
  <c r="F7" i="9"/>
  <c r="F6" i="9"/>
  <c r="F5" i="9"/>
  <c r="F4" i="9"/>
  <c r="F26" i="5"/>
  <c r="F24" i="5"/>
  <c r="F23" i="5"/>
  <c r="F22" i="5"/>
  <c r="F21" i="5"/>
  <c r="F25" i="5" s="1"/>
  <c r="F20" i="5"/>
  <c r="F19" i="5"/>
  <c r="E25" i="5"/>
  <c r="E24" i="5"/>
  <c r="E23" i="5"/>
  <c r="E22" i="5"/>
  <c r="E21" i="5"/>
  <c r="E20" i="5"/>
  <c r="E19" i="5"/>
  <c r="F16" i="5"/>
  <c r="F15" i="5"/>
  <c r="F13" i="5"/>
  <c r="E17" i="5"/>
  <c r="F35" i="8"/>
  <c r="F26" i="6"/>
  <c r="F22" i="6"/>
  <c r="F21" i="6"/>
  <c r="F20" i="6"/>
  <c r="F19" i="6"/>
  <c r="F18" i="6"/>
  <c r="F17" i="6"/>
  <c r="E20" i="6"/>
  <c r="F13" i="6"/>
  <c r="F36" i="8"/>
  <c r="F32" i="8"/>
  <c r="F31" i="8"/>
  <c r="F21" i="7"/>
  <c r="F23" i="7" s="1"/>
  <c r="F23" i="8"/>
  <c r="F9" i="5"/>
  <c r="F8" i="5"/>
  <c r="F7" i="5"/>
  <c r="F6" i="5"/>
  <c r="E9" i="5"/>
  <c r="F25" i="8"/>
  <c r="F24" i="8"/>
  <c r="F20" i="8"/>
  <c r="F19" i="8"/>
  <c r="F18" i="8"/>
  <c r="F16" i="8"/>
  <c r="F36" i="7"/>
  <c r="F39" i="7"/>
  <c r="F38" i="7"/>
  <c r="F35" i="7"/>
  <c r="F26" i="7"/>
  <c r="F25" i="7"/>
  <c r="F22" i="7"/>
  <c r="F19" i="7"/>
  <c r="F18" i="7"/>
  <c r="G17" i="13"/>
  <c r="H17" i="13"/>
  <c r="I17" i="13"/>
  <c r="J17" i="13"/>
  <c r="F17" i="13"/>
  <c r="D35" i="7"/>
  <c r="C35" i="7"/>
  <c r="E35" i="7"/>
  <c r="F17" i="7"/>
  <c r="F16" i="7"/>
  <c r="C32" i="13"/>
  <c r="D32" i="13"/>
  <c r="E32" i="13"/>
  <c r="E33" i="13"/>
  <c r="C36" i="8"/>
  <c r="C32" i="8"/>
  <c r="C31" i="8"/>
  <c r="C25" i="8"/>
  <c r="C23" i="8"/>
  <c r="C18" i="8"/>
  <c r="C17" i="8"/>
  <c r="D36" i="8"/>
  <c r="E36" i="8"/>
  <c r="D32" i="8"/>
  <c r="D31" i="8"/>
  <c r="E32" i="8"/>
  <c r="E31" i="8"/>
  <c r="D25" i="8"/>
  <c r="E25" i="8"/>
  <c r="D23" i="8"/>
  <c r="E23" i="8"/>
  <c r="D18" i="8"/>
  <c r="E18" i="8"/>
  <c r="D16" i="8"/>
  <c r="D17" i="8" s="1"/>
  <c r="C16" i="8"/>
  <c r="E16" i="8"/>
  <c r="E17" i="8" s="1"/>
  <c r="C18" i="7"/>
  <c r="D18" i="7"/>
  <c r="E18" i="7"/>
  <c r="F6" i="3"/>
  <c r="E23" i="13"/>
  <c r="C15" i="7"/>
  <c r="C37" i="7" s="1"/>
  <c r="C5" i="3"/>
  <c r="H29" i="12"/>
  <c r="K26" i="12"/>
  <c r="I26" i="12"/>
  <c r="C30" i="12"/>
  <c r="C28" i="12"/>
  <c r="D26" i="12"/>
  <c r="F26" i="12"/>
  <c r="C17" i="12"/>
  <c r="G17" i="12" s="1"/>
  <c r="C12" i="12"/>
  <c r="G12" i="12" s="1"/>
  <c r="E2" i="6"/>
  <c r="F2" i="6"/>
  <c r="G2" i="6"/>
  <c r="H2" i="6"/>
  <c r="I2" i="6"/>
  <c r="J2" i="6"/>
  <c r="D2" i="6"/>
  <c r="C31" i="12" l="1"/>
  <c r="H31" i="12" s="1"/>
  <c r="H30" i="12"/>
  <c r="C27" i="12"/>
  <c r="H27" i="12" s="1"/>
  <c r="H28" i="12"/>
  <c r="G31" i="7"/>
  <c r="G19" i="5"/>
  <c r="G25" i="5" s="1"/>
  <c r="H16" i="7"/>
  <c r="G7" i="5"/>
  <c r="G9" i="5" s="1"/>
  <c r="H6" i="5" s="1"/>
  <c r="G33" i="7"/>
  <c r="G34" i="7" s="1"/>
  <c r="G26" i="6"/>
  <c r="H17" i="6"/>
  <c r="H20" i="6" s="1"/>
  <c r="H8" i="5"/>
  <c r="H21" i="7" s="1"/>
  <c r="G26" i="5"/>
  <c r="F32" i="13"/>
  <c r="D17" i="13"/>
  <c r="C17" i="13"/>
  <c r="E14" i="13"/>
  <c r="D40" i="13"/>
  <c r="D14" i="13"/>
  <c r="E47" i="13"/>
  <c r="F47" i="13" s="1"/>
  <c r="F11" i="8" s="1"/>
  <c r="E12" i="13"/>
  <c r="D10" i="13"/>
  <c r="E10" i="13"/>
  <c r="D33" i="13"/>
  <c r="F33" i="13" s="1"/>
  <c r="G33" i="13" s="1"/>
  <c r="H33" i="13" s="1"/>
  <c r="I33" i="13" s="1"/>
  <c r="J33" i="13" s="1"/>
  <c r="E49" i="13"/>
  <c r="D49" i="13"/>
  <c r="C49" i="13"/>
  <c r="E48" i="13"/>
  <c r="D48" i="13"/>
  <c r="C48" i="13"/>
  <c r="C47" i="13"/>
  <c r="E43" i="13"/>
  <c r="D43" i="13"/>
  <c r="C43" i="13"/>
  <c r="E41" i="13"/>
  <c r="F41" i="13" s="1"/>
  <c r="D41" i="13"/>
  <c r="C41" i="13"/>
  <c r="C40" i="13"/>
  <c r="E39" i="13"/>
  <c r="D39" i="13"/>
  <c r="C39" i="13"/>
  <c r="E38" i="13"/>
  <c r="D38" i="13"/>
  <c r="C38" i="13"/>
  <c r="E17" i="13"/>
  <c r="E15" i="13"/>
  <c r="D15" i="13"/>
  <c r="C15" i="13"/>
  <c r="C14" i="13"/>
  <c r="E13" i="13"/>
  <c r="F13" i="13" s="1"/>
  <c r="F7" i="7" s="1"/>
  <c r="D13" i="13"/>
  <c r="C13" i="13"/>
  <c r="D12" i="13"/>
  <c r="C12" i="13"/>
  <c r="C11" i="13"/>
  <c r="E19" i="13"/>
  <c r="D19" i="13"/>
  <c r="C19" i="13"/>
  <c r="E18" i="13"/>
  <c r="D18" i="13"/>
  <c r="C18" i="13"/>
  <c r="F4" i="10"/>
  <c r="F3" i="10"/>
  <c r="G8" i="13"/>
  <c r="H8" i="13"/>
  <c r="I8" i="13"/>
  <c r="J8" i="13"/>
  <c r="F8" i="13"/>
  <c r="G7" i="13"/>
  <c r="H7" i="13"/>
  <c r="I7" i="13"/>
  <c r="J7" i="13"/>
  <c r="F7" i="13"/>
  <c r="D2" i="8"/>
  <c r="E2" i="8" s="1"/>
  <c r="E15" i="8" s="1"/>
  <c r="D2" i="7"/>
  <c r="D11" i="6"/>
  <c r="D16" i="6" s="1"/>
  <c r="D24" i="6" s="1"/>
  <c r="C21" i="13"/>
  <c r="C30" i="13" s="1"/>
  <c r="C36" i="13" s="1"/>
  <c r="C45" i="13" s="1"/>
  <c r="D2" i="13"/>
  <c r="E2" i="13" s="1"/>
  <c r="G8" i="7"/>
  <c r="H8" i="7"/>
  <c r="I8" i="7"/>
  <c r="J8" i="7"/>
  <c r="G9" i="7"/>
  <c r="H9" i="7"/>
  <c r="I9" i="7"/>
  <c r="J9" i="7"/>
  <c r="A1" i="10"/>
  <c r="C21" i="8"/>
  <c r="D21" i="8"/>
  <c r="E21" i="8"/>
  <c r="D26" i="8"/>
  <c r="C26" i="8"/>
  <c r="E26" i="8"/>
  <c r="E33" i="8"/>
  <c r="C33" i="8"/>
  <c r="D33" i="8"/>
  <c r="C37" i="8"/>
  <c r="D37" i="8"/>
  <c r="E37" i="8"/>
  <c r="C10" i="5"/>
  <c r="C18" i="5" s="1"/>
  <c r="D2" i="5"/>
  <c r="E2" i="5" s="1"/>
  <c r="G10" i="13"/>
  <c r="G4" i="7" s="1"/>
  <c r="H10" i="13"/>
  <c r="H4" i="7" s="1"/>
  <c r="I10" i="13"/>
  <c r="I4" i="7" s="1"/>
  <c r="J10" i="13"/>
  <c r="J4" i="7" s="1"/>
  <c r="F3" i="5"/>
  <c r="C11" i="6"/>
  <c r="C30" i="6" s="1"/>
  <c r="F24" i="13"/>
  <c r="F23" i="13"/>
  <c r="F4" i="6" s="1"/>
  <c r="F25" i="13"/>
  <c r="F6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5" i="8"/>
  <c r="C15" i="8"/>
  <c r="F9" i="7"/>
  <c r="A1" i="3"/>
  <c r="A1" i="13"/>
  <c r="A1" i="5"/>
  <c r="A1" i="6"/>
  <c r="A1" i="7"/>
  <c r="A1" i="8"/>
  <c r="A1" i="9"/>
  <c r="A1" i="11"/>
  <c r="A1" i="12"/>
  <c r="C19" i="7"/>
  <c r="C31" i="7" s="1"/>
  <c r="C16" i="13" s="1"/>
  <c r="F8" i="6"/>
  <c r="F11" i="5"/>
  <c r="B20" i="5"/>
  <c r="B21" i="5"/>
  <c r="F9" i="6"/>
  <c r="G9" i="6"/>
  <c r="H9" i="6"/>
  <c r="I9" i="6"/>
  <c r="J9" i="6"/>
  <c r="J8" i="6"/>
  <c r="I8" i="6"/>
  <c r="H8" i="6"/>
  <c r="G8" i="6"/>
  <c r="E2" i="12"/>
  <c r="F8" i="7"/>
  <c r="H16" i="8" l="1"/>
  <c r="H19" i="5" s="1"/>
  <c r="H18" i="8"/>
  <c r="H20" i="5" s="1"/>
  <c r="H20" i="8"/>
  <c r="H22" i="5" s="1"/>
  <c r="H25" i="8"/>
  <c r="H32" i="8"/>
  <c r="H24" i="5" s="1"/>
  <c r="H36" i="8"/>
  <c r="H3" i="10"/>
  <c r="H18" i="7"/>
  <c r="I16" i="7"/>
  <c r="H7" i="5"/>
  <c r="H17" i="7"/>
  <c r="G41" i="7"/>
  <c r="G14" i="5"/>
  <c r="G17" i="5" s="1"/>
  <c r="G40" i="7"/>
  <c r="I17" i="6"/>
  <c r="I20" i="6" s="1"/>
  <c r="H26" i="6"/>
  <c r="H22" i="6"/>
  <c r="I8" i="5"/>
  <c r="I21" i="7" s="1"/>
  <c r="I4" i="9" s="1"/>
  <c r="I8" i="10" s="1"/>
  <c r="C40" i="8"/>
  <c r="D40" i="8"/>
  <c r="E2" i="7"/>
  <c r="D15" i="7"/>
  <c r="D37" i="7" s="1"/>
  <c r="F2" i="12"/>
  <c r="G24" i="13"/>
  <c r="E11" i="11"/>
  <c r="C23" i="7"/>
  <c r="C34" i="7"/>
  <c r="F11" i="7"/>
  <c r="D11" i="13"/>
  <c r="D47" i="13"/>
  <c r="D19" i="7"/>
  <c r="D23" i="7" s="1"/>
  <c r="E40" i="13"/>
  <c r="F40" i="13" s="1"/>
  <c r="F6" i="8" s="1"/>
  <c r="E11" i="13"/>
  <c r="E9" i="11"/>
  <c r="F9" i="3"/>
  <c r="G14" i="12" s="1"/>
  <c r="D21" i="13"/>
  <c r="D30" i="13" s="1"/>
  <c r="D36" i="13" s="1"/>
  <c r="D45" i="13" s="1"/>
  <c r="F2" i="13"/>
  <c r="E21" i="13"/>
  <c r="E30" i="13" s="1"/>
  <c r="E36" i="13" s="1"/>
  <c r="E45" i="13" s="1"/>
  <c r="F2" i="8"/>
  <c r="F11" i="6"/>
  <c r="F30" i="6" s="1"/>
  <c r="E11" i="6"/>
  <c r="E16" i="6" s="1"/>
  <c r="E24" i="6" s="1"/>
  <c r="E30" i="6"/>
  <c r="F5" i="6"/>
  <c r="G5" i="6"/>
  <c r="H24" i="13"/>
  <c r="G25" i="13"/>
  <c r="G6" i="6" s="1"/>
  <c r="G47" i="13"/>
  <c r="G13" i="13"/>
  <c r="G23" i="13"/>
  <c r="G4" i="6" s="1"/>
  <c r="D10" i="5"/>
  <c r="D18" i="5" s="1"/>
  <c r="E10" i="5"/>
  <c r="E18" i="5" s="1"/>
  <c r="F2" i="5"/>
  <c r="D30" i="6"/>
  <c r="D28" i="8"/>
  <c r="C16" i="6"/>
  <c r="C24" i="6" s="1"/>
  <c r="E40" i="8"/>
  <c r="E28" i="8"/>
  <c r="C28" i="8"/>
  <c r="G32" i="13"/>
  <c r="F4" i="5"/>
  <c r="G4" i="5" s="1"/>
  <c r="H4" i="5" s="1"/>
  <c r="I4" i="5" s="1"/>
  <c r="J4" i="5" s="1"/>
  <c r="F7" i="8"/>
  <c r="G41" i="13"/>
  <c r="F38" i="13"/>
  <c r="F48" i="13"/>
  <c r="F39" i="13"/>
  <c r="E19" i="7"/>
  <c r="E23" i="7" s="1"/>
  <c r="F43" i="13"/>
  <c r="F49" i="13"/>
  <c r="H7" i="9" l="1"/>
  <c r="H11" i="10" s="1"/>
  <c r="H8" i="9"/>
  <c r="H12" i="10" s="1"/>
  <c r="H37" i="8"/>
  <c r="I16" i="8"/>
  <c r="I19" i="5" s="1"/>
  <c r="I18" i="8"/>
  <c r="I20" i="5" s="1"/>
  <c r="I20" i="8"/>
  <c r="I22" i="5" s="1"/>
  <c r="I25" i="8"/>
  <c r="I7" i="9" s="1"/>
  <c r="I11" i="10" s="1"/>
  <c r="I32" i="8"/>
  <c r="I24" i="5" s="1"/>
  <c r="I36" i="8"/>
  <c r="I3" i="10"/>
  <c r="H9" i="5"/>
  <c r="H11" i="9"/>
  <c r="H19" i="7"/>
  <c r="H4" i="10" s="1"/>
  <c r="H7" i="10" s="1"/>
  <c r="H19" i="8"/>
  <c r="H21" i="5" s="1"/>
  <c r="H25" i="5" s="1"/>
  <c r="H31" i="8"/>
  <c r="H23" i="5" s="1"/>
  <c r="H13" i="5"/>
  <c r="G39" i="8"/>
  <c r="H31" i="7"/>
  <c r="H23" i="7"/>
  <c r="I7" i="5"/>
  <c r="I18" i="7"/>
  <c r="I17" i="7"/>
  <c r="J16" i="7"/>
  <c r="J17" i="6"/>
  <c r="J20" i="6" s="1"/>
  <c r="I26" i="6"/>
  <c r="I22" i="6"/>
  <c r="C42" i="8"/>
  <c r="D42" i="8"/>
  <c r="E15" i="7"/>
  <c r="E37" i="7" s="1"/>
  <c r="F2" i="7"/>
  <c r="C40" i="7"/>
  <c r="C41" i="7"/>
  <c r="G2" i="12"/>
  <c r="D31" i="7"/>
  <c r="G40" i="13"/>
  <c r="H40" i="13" s="1"/>
  <c r="H6" i="8" s="1"/>
  <c r="G2" i="13"/>
  <c r="F21" i="13"/>
  <c r="F30" i="13" s="1"/>
  <c r="F36" i="13" s="1"/>
  <c r="F45" i="13" s="1"/>
  <c r="F15" i="8"/>
  <c r="G2" i="8"/>
  <c r="G11" i="6"/>
  <c r="F16" i="6"/>
  <c r="F24" i="6" s="1"/>
  <c r="E42" i="8"/>
  <c r="H25" i="13"/>
  <c r="I25" i="13" s="1"/>
  <c r="H5" i="6"/>
  <c r="I24" i="13"/>
  <c r="H23" i="13"/>
  <c r="H13" i="13"/>
  <c r="G7" i="7"/>
  <c r="G11" i="8"/>
  <c r="H47" i="13"/>
  <c r="G2" i="5"/>
  <c r="F10" i="5"/>
  <c r="F18" i="5" s="1"/>
  <c r="H32" i="13"/>
  <c r="G3" i="5"/>
  <c r="F5" i="8"/>
  <c r="G39" i="13"/>
  <c r="G38" i="13"/>
  <c r="H38" i="13" s="1"/>
  <c r="I38" i="13" s="1"/>
  <c r="J38" i="13" s="1"/>
  <c r="F4" i="8"/>
  <c r="F12" i="13"/>
  <c r="G12" i="13" s="1"/>
  <c r="F13" i="8"/>
  <c r="G49" i="13"/>
  <c r="G43" i="13"/>
  <c r="F9" i="8"/>
  <c r="F11" i="13"/>
  <c r="G11" i="13" s="1"/>
  <c r="E31" i="7"/>
  <c r="F12" i="8"/>
  <c r="G48" i="13"/>
  <c r="G7" i="8"/>
  <c r="H41" i="13"/>
  <c r="I8" i="9" l="1"/>
  <c r="I12" i="10" s="1"/>
  <c r="I37" i="8"/>
  <c r="H23" i="8"/>
  <c r="H26" i="8" s="1"/>
  <c r="I6" i="5"/>
  <c r="H13" i="10"/>
  <c r="H12" i="9"/>
  <c r="H26" i="5"/>
  <c r="H6" i="9" s="1"/>
  <c r="H10" i="10" s="1"/>
  <c r="H15" i="10" s="1"/>
  <c r="I9" i="5"/>
  <c r="I11" i="9"/>
  <c r="I19" i="7"/>
  <c r="I4" i="10" s="1"/>
  <c r="I7" i="10" s="1"/>
  <c r="I19" i="8"/>
  <c r="I21" i="5" s="1"/>
  <c r="I31" i="8"/>
  <c r="I23" i="5" s="1"/>
  <c r="J16" i="8"/>
  <c r="J19" i="5" s="1"/>
  <c r="J18" i="8"/>
  <c r="J20" i="5" s="1"/>
  <c r="J20" i="8"/>
  <c r="J22" i="5" s="1"/>
  <c r="J25" i="8"/>
  <c r="J7" i="9" s="1"/>
  <c r="J11" i="10" s="1"/>
  <c r="J32" i="8"/>
  <c r="J24" i="5" s="1"/>
  <c r="J36" i="8"/>
  <c r="J3" i="10"/>
  <c r="H33" i="7"/>
  <c r="H34" i="7" s="1"/>
  <c r="I31" i="7"/>
  <c r="I23" i="7"/>
  <c r="J7" i="5"/>
  <c r="J11" i="9" s="1"/>
  <c r="J17" i="7"/>
  <c r="J18" i="7"/>
  <c r="J19" i="7" s="1"/>
  <c r="J4" i="10" s="1"/>
  <c r="J7" i="10" s="1"/>
  <c r="J26" i="6"/>
  <c r="J22" i="6"/>
  <c r="G11" i="7"/>
  <c r="H4" i="6"/>
  <c r="I23" i="13"/>
  <c r="I4" i="6" s="1"/>
  <c r="F15" i="7"/>
  <c r="F37" i="7" s="1"/>
  <c r="G2" i="7"/>
  <c r="H2" i="12"/>
  <c r="I40" i="13"/>
  <c r="G6" i="8"/>
  <c r="D34" i="7"/>
  <c r="D16" i="13"/>
  <c r="E34" i="7"/>
  <c r="E16" i="13"/>
  <c r="H2" i="13"/>
  <c r="G21" i="13"/>
  <c r="G30" i="13" s="1"/>
  <c r="G36" i="13" s="1"/>
  <c r="G45" i="13" s="1"/>
  <c r="H11" i="7"/>
  <c r="G15" i="8"/>
  <c r="H2" i="8"/>
  <c r="H11" i="6"/>
  <c r="H6" i="6"/>
  <c r="J24" i="13"/>
  <c r="I5" i="6"/>
  <c r="H11" i="8"/>
  <c r="I47" i="13"/>
  <c r="G5" i="7"/>
  <c r="H11" i="13"/>
  <c r="I13" i="13"/>
  <c r="H7" i="7"/>
  <c r="H12" i="13"/>
  <c r="G6" i="7"/>
  <c r="H2" i="5"/>
  <c r="J23" i="13"/>
  <c r="I32" i="13"/>
  <c r="H3" i="5"/>
  <c r="J25" i="13"/>
  <c r="I6" i="6"/>
  <c r="F26" i="8"/>
  <c r="H48" i="13"/>
  <c r="G12" i="8"/>
  <c r="F5" i="7"/>
  <c r="H43" i="13"/>
  <c r="G9" i="8"/>
  <c r="H49" i="13"/>
  <c r="G13" i="8"/>
  <c r="F37" i="8"/>
  <c r="I41" i="13"/>
  <c r="H7" i="8"/>
  <c r="F6" i="7"/>
  <c r="G4" i="8"/>
  <c r="H39" i="13"/>
  <c r="G5" i="8"/>
  <c r="I25" i="5" l="1"/>
  <c r="I23" i="8"/>
  <c r="I26" i="8" s="1"/>
  <c r="J6" i="5"/>
  <c r="I13" i="10"/>
  <c r="I12" i="9"/>
  <c r="J8" i="9"/>
  <c r="J12" i="10" s="1"/>
  <c r="J37" i="8"/>
  <c r="I26" i="5"/>
  <c r="I6" i="9" s="1"/>
  <c r="I10" i="10" s="1"/>
  <c r="I15" i="10" s="1"/>
  <c r="J13" i="10"/>
  <c r="J12" i="9"/>
  <c r="J19" i="8"/>
  <c r="J21" i="5" s="1"/>
  <c r="J31" i="8"/>
  <c r="J23" i="5" s="1"/>
  <c r="H14" i="5"/>
  <c r="H17" i="5" s="1"/>
  <c r="H41" i="7"/>
  <c r="H40" i="7"/>
  <c r="I33" i="7"/>
  <c r="I34" i="7" s="1"/>
  <c r="J31" i="7"/>
  <c r="J40" i="13"/>
  <c r="J6" i="8" s="1"/>
  <c r="I6" i="8"/>
  <c r="G15" i="7"/>
  <c r="H2" i="7"/>
  <c r="D40" i="7"/>
  <c r="D41" i="7"/>
  <c r="E40" i="7"/>
  <c r="E41" i="7"/>
  <c r="G16" i="13"/>
  <c r="F5" i="10"/>
  <c r="E4" i="11"/>
  <c r="L4" i="11" s="1"/>
  <c r="L5" i="11" s="1"/>
  <c r="L6" i="11" s="1"/>
  <c r="L7" i="11" s="1"/>
  <c r="I2" i="13"/>
  <c r="H21" i="13"/>
  <c r="H30" i="13" s="1"/>
  <c r="H36" i="13" s="1"/>
  <c r="H45" i="13" s="1"/>
  <c r="I11" i="7"/>
  <c r="I2" i="8"/>
  <c r="H15" i="8"/>
  <c r="J11" i="6"/>
  <c r="I11" i="6"/>
  <c r="J5" i="6"/>
  <c r="I12" i="13"/>
  <c r="H6" i="7"/>
  <c r="J13" i="13"/>
  <c r="I7" i="7"/>
  <c r="I11" i="13"/>
  <c r="H5" i="7"/>
  <c r="J47" i="13"/>
  <c r="I11" i="8"/>
  <c r="I2" i="5"/>
  <c r="I3" i="5"/>
  <c r="J32" i="13"/>
  <c r="J4" i="6"/>
  <c r="J6" i="6"/>
  <c r="F18" i="13"/>
  <c r="J41" i="13"/>
  <c r="I7" i="8"/>
  <c r="H13" i="8"/>
  <c r="I49" i="13"/>
  <c r="I43" i="13"/>
  <c r="H9" i="8"/>
  <c r="I39" i="13"/>
  <c r="H5" i="8"/>
  <c r="H4" i="8"/>
  <c r="I48" i="13"/>
  <c r="H12" i="8"/>
  <c r="J8" i="5" l="1"/>
  <c r="J21" i="7" s="1"/>
  <c r="J9" i="5"/>
  <c r="J23" i="8" s="1"/>
  <c r="J26" i="8" s="1"/>
  <c r="J25" i="5"/>
  <c r="J26" i="5" s="1"/>
  <c r="J6" i="9" s="1"/>
  <c r="J10" i="10" s="1"/>
  <c r="I13" i="5"/>
  <c r="H39" i="8"/>
  <c r="I14" i="5"/>
  <c r="I17" i="5" s="1"/>
  <c r="I41" i="7"/>
  <c r="I40" i="7"/>
  <c r="J33" i="7"/>
  <c r="J34" i="7" s="1"/>
  <c r="H15" i="7"/>
  <c r="I2" i="7"/>
  <c r="G10" i="7"/>
  <c r="H16" i="13"/>
  <c r="J2" i="13"/>
  <c r="J21" i="13" s="1"/>
  <c r="J30" i="13" s="1"/>
  <c r="J36" i="13" s="1"/>
  <c r="J45" i="13" s="1"/>
  <c r="I21" i="13"/>
  <c r="I30" i="13" s="1"/>
  <c r="I36" i="13" s="1"/>
  <c r="I45" i="13" s="1"/>
  <c r="J11" i="7"/>
  <c r="G18" i="13"/>
  <c r="I15" i="8"/>
  <c r="J2" i="8"/>
  <c r="J15" i="8" s="1"/>
  <c r="J11" i="8"/>
  <c r="J11" i="13"/>
  <c r="I5" i="7"/>
  <c r="J7" i="7"/>
  <c r="I6" i="7"/>
  <c r="J12" i="13"/>
  <c r="J2" i="5"/>
  <c r="J3" i="5"/>
  <c r="I4" i="8"/>
  <c r="F19" i="13"/>
  <c r="I5" i="8"/>
  <c r="J39" i="13"/>
  <c r="J43" i="13"/>
  <c r="I9" i="8"/>
  <c r="I13" i="8"/>
  <c r="J49" i="13"/>
  <c r="J7" i="8"/>
  <c r="J48" i="13"/>
  <c r="I12" i="8"/>
  <c r="F10" i="7"/>
  <c r="F33" i="7" s="1"/>
  <c r="F34" i="7" s="1"/>
  <c r="E12" i="11"/>
  <c r="F12" i="7"/>
  <c r="J23" i="7" l="1"/>
  <c r="J4" i="9"/>
  <c r="J8" i="10" s="1"/>
  <c r="J15" i="10" s="1"/>
  <c r="J13" i="5"/>
  <c r="I39" i="8"/>
  <c r="J14" i="5"/>
  <c r="J17" i="5" s="1"/>
  <c r="J39" i="8" s="1"/>
  <c r="J41" i="7"/>
  <c r="J40" i="7"/>
  <c r="F14" i="5"/>
  <c r="F17" i="5" s="1"/>
  <c r="F39" i="8" s="1"/>
  <c r="F41" i="7"/>
  <c r="F40" i="7"/>
  <c r="I15" i="7"/>
  <c r="J2" i="7"/>
  <c r="J15" i="7" s="1"/>
  <c r="H10" i="7"/>
  <c r="I16" i="13"/>
  <c r="G12" i="7"/>
  <c r="G19" i="13"/>
  <c r="H18" i="13"/>
  <c r="G13" i="7"/>
  <c r="J6" i="7"/>
  <c r="J5" i="7"/>
  <c r="J9" i="8"/>
  <c r="M4" i="11"/>
  <c r="J13" i="8"/>
  <c r="J12" i="8"/>
  <c r="F7" i="10"/>
  <c r="F15" i="10" s="1"/>
  <c r="J5" i="8"/>
  <c r="F13" i="7"/>
  <c r="J4" i="8"/>
  <c r="I18" i="13" l="1"/>
  <c r="H19" i="13"/>
  <c r="H12" i="7"/>
  <c r="J16" i="13"/>
  <c r="J10" i="7" s="1"/>
  <c r="I10" i="7"/>
  <c r="F3" i="9"/>
  <c r="F9" i="9" s="1"/>
  <c r="F19" i="9" s="1"/>
  <c r="F22" i="9" s="1"/>
  <c r="F23" i="9" s="1"/>
  <c r="M5" i="11"/>
  <c r="F30" i="8" l="1"/>
  <c r="F12" i="6" s="1"/>
  <c r="F17" i="8"/>
  <c r="F31" i="6" s="1"/>
  <c r="J18" i="13"/>
  <c r="J12" i="7" s="1"/>
  <c r="I12" i="7"/>
  <c r="H13" i="7"/>
  <c r="I19" i="13"/>
  <c r="G3" i="9"/>
  <c r="G9" i="9" s="1"/>
  <c r="G19" i="9" s="1"/>
  <c r="G22" i="9" s="1"/>
  <c r="G23" i="9" s="1"/>
  <c r="M6" i="11"/>
  <c r="M7" i="11"/>
  <c r="G17" i="8" l="1"/>
  <c r="G30" i="8"/>
  <c r="H21" i="9"/>
  <c r="F25" i="6"/>
  <c r="F27" i="6" s="1"/>
  <c r="F14" i="6"/>
  <c r="F28" i="6" s="1"/>
  <c r="F33" i="6"/>
  <c r="J19" i="13"/>
  <c r="I13" i="7"/>
  <c r="J13" i="7"/>
  <c r="M9" i="11"/>
  <c r="M11" i="11" s="1"/>
  <c r="E8" i="11" s="1"/>
  <c r="E13" i="11" s="1"/>
  <c r="K17" i="12" s="1"/>
  <c r="H3" i="9"/>
  <c r="H9" i="9" s="1"/>
  <c r="H19" i="9" s="1"/>
  <c r="H22" i="9" s="1"/>
  <c r="H23" i="9" s="1"/>
  <c r="F21" i="8"/>
  <c r="F28" i="8" s="1"/>
  <c r="F33" i="8"/>
  <c r="G21" i="8" l="1"/>
  <c r="G28" i="8" s="1"/>
  <c r="G31" i="6"/>
  <c r="G33" i="6" s="1"/>
  <c r="G12" i="6"/>
  <c r="G33" i="8"/>
  <c r="G40" i="8" s="1"/>
  <c r="G42" i="8" s="1"/>
  <c r="I21" i="9"/>
  <c r="H17" i="8"/>
  <c r="H30" i="8"/>
  <c r="H3" i="12"/>
  <c r="G3" i="12"/>
  <c r="G4" i="12" s="1"/>
  <c r="F3" i="12"/>
  <c r="F4" i="12" s="1"/>
  <c r="E3" i="12"/>
  <c r="E4" i="12" s="1"/>
  <c r="D3" i="12"/>
  <c r="F40" i="8"/>
  <c r="F42" i="8" s="1"/>
  <c r="J3" i="9"/>
  <c r="J9" i="9" s="1"/>
  <c r="J19" i="9" s="1"/>
  <c r="J22" i="9" s="1"/>
  <c r="I3" i="9"/>
  <c r="I9" i="9" s="1"/>
  <c r="I19" i="9" s="1"/>
  <c r="I22" i="9" s="1"/>
  <c r="I23" i="9" s="1"/>
  <c r="H4" i="12" l="1"/>
  <c r="H5" i="12" s="1"/>
  <c r="C8" i="12" s="1"/>
  <c r="G8" i="12"/>
  <c r="G14" i="6"/>
  <c r="G28" i="6" s="1"/>
  <c r="G25" i="6"/>
  <c r="G27" i="6" s="1"/>
  <c r="I17" i="8"/>
  <c r="J21" i="9"/>
  <c r="J23" i="9" s="1"/>
  <c r="I30" i="8"/>
  <c r="H21" i="8"/>
  <c r="H28" i="8" s="1"/>
  <c r="H31" i="6"/>
  <c r="H33" i="6" s="1"/>
  <c r="H12" i="6"/>
  <c r="H33" i="8"/>
  <c r="H40" i="8" s="1"/>
  <c r="D4" i="12"/>
  <c r="C7" i="12" l="1"/>
  <c r="I21" i="8"/>
  <c r="I28" i="8" s="1"/>
  <c r="I31" i="6"/>
  <c r="I33" i="6" s="1"/>
  <c r="J17" i="8"/>
  <c r="J30" i="8"/>
  <c r="I33" i="8"/>
  <c r="I40" i="8" s="1"/>
  <c r="I42" i="8" s="1"/>
  <c r="I12" i="6"/>
  <c r="H14" i="6"/>
  <c r="H28" i="6" s="1"/>
  <c r="H25" i="6"/>
  <c r="H27" i="6" s="1"/>
  <c r="H42" i="8"/>
  <c r="G7" i="12" l="1"/>
  <c r="G9" i="12" s="1"/>
  <c r="G15" i="12" s="1"/>
  <c r="G18" i="12" s="1"/>
  <c r="K11" i="12" s="1"/>
  <c r="K5" i="3" s="1"/>
  <c r="C9" i="12"/>
  <c r="C15" i="12" s="1"/>
  <c r="C18" i="12" s="1"/>
  <c r="J21" i="8"/>
  <c r="J28" i="8" s="1"/>
  <c r="J31" i="6"/>
  <c r="J33" i="6" s="1"/>
  <c r="J33" i="8"/>
  <c r="J40" i="8" s="1"/>
  <c r="J12" i="6"/>
  <c r="I14" i="6"/>
  <c r="I28" i="6" s="1"/>
  <c r="I25" i="6"/>
  <c r="I27" i="6" s="1"/>
  <c r="H26" i="12" l="1"/>
  <c r="J5" i="3"/>
  <c r="C26" i="12"/>
  <c r="I5" i="3"/>
  <c r="J14" i="6"/>
  <c r="J28" i="6" s="1"/>
  <c r="J25" i="6"/>
  <c r="J27" i="6" s="1"/>
  <c r="J42" i="8"/>
  <c r="L5" i="3" l="1"/>
  <c r="J6" i="3"/>
  <c r="I6" i="3"/>
  <c r="K6" i="3" l="1"/>
  <c r="L6" i="3"/>
  <c r="F10" i="13"/>
  <c r="F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<sst xmlns="http://schemas.openxmlformats.org/spreadsheetml/2006/main" count="341" uniqueCount="205">
  <si>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</si>
  <si>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</si>
  <si>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</si>
  <si>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</si>
  <si>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</si>
  <si>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</si>
  <si>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</si>
  <si>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</si>
  <si>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</si>
  <si>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</si>
  <si>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</si>
  <si>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</si>
  <si>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</si>
  <si>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</si>
  <si>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</si>
  <si>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</si>
  <si>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</si>
  <si>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</si>
  <si>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</si>
  <si>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</si>
  <si>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</si>
  <si>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</si>
  <si>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</si>
  <si>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</si>
  <si>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</si>
  <si>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</si>
  <si>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</si>
  <si>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</si>
  <si>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</si>
  <si>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</si>
  <si>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</si>
  <si>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</si>
  <si>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</si>
  <si>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</si>
  <si>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</si>
  <si>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</si>
  <si>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</si>
  <si>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</si>
  <si>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</si>
  <si>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</si>
  <si>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</si>
  <si>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</si>
  <si>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</si>
  <si>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</si>
  <si>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</si>
  <si>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</si>
  <si>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</si>
  <si>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</si>
  <si>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</si>
  <si>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</si>
  <si>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</si>
  <si>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</si>
  <si>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</si>
  <si>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</si>
  <si>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</si>
  <si>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</si>
  <si>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</si>
  <si>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</si>
  <si>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</si>
  <si>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</si>
  <si>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</si>
  <si>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</si>
  <si>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</si>
  <si>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</si>
  <si>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</si>
  <si>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</si>
  <si>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</si>
  <si>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</si>
  <si>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</si>
  <si>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</si>
  <si>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</si>
  <si>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</si>
  <si>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</si>
  <si>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</si>
  <si>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</si>
  <si>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</si>
  <si>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</si>
  <si>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</si>
  <si>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</si>
  <si>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</si>
  <si>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</si>
  <si>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</si>
  <si>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</si>
  <si>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</si>
  <si>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</si>
  <si>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</si>
  <si>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</si>
  <si>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</si>
  <si>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</si>
  <si>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</si>
  <si>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</si>
  <si>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</si>
  <si>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</si>
  <si>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</si>
  <si>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</si>
  <si>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</si>
  <si>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</si>
  <si>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</si>
  <si>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</si>
  <si>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</si>
  <si>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</si>
  <si>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</si>
  <si>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</si>
  <si>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</si>
  <si>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</si>
  <si>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</si>
  <si>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</si>
  <si>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</si>
  <si>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</si>
  <si>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</si>
  <si>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</si>
  <si>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</si>
  <si>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</si>
  <si>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</si>
  <si>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</si>
  <si>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</si>
  <si>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</si>
  <si>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</si>
  <si>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</si>
  <si>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</si>
  <si>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</si>
  <si>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</si>
  <si>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</si>
  <si>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</si>
  <si>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</si>
  <si>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</si>
  <si>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</si>
  <si>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</si>
  <si>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</si>
  <si>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</si>
  <si>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</si>
  <si>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</si>
  <si>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</si>
  <si>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</si>
  <si>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</si>
  <si>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</si>
  <si>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</si>
  <si>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</si>
  <si>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</si>
  <si>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</si>
  <si>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</si>
  <si>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</si>
  <si>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</si>
  <si>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</si>
  <si>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</si>
  <si>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</si>
  <si>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</si>
  <si>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</si>
  <si>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</si>
  <si>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</si>
  <si>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</si>
  <si>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</si>
  <si>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</si>
  <si>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</si>
  <si>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</si>
  <si>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</si>
  <si>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</si>
  <si>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</si>
  <si>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</si>
  <si>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</si>
  <si>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</si>
  <si>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</si>
  <si>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</si>
  <si>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</si>
  <si>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</si>
  <si>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</si>
  <si>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</si>
  <si>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</si>
  <si>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</si>
  <si>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</si>
  <si>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</si>
  <si>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</si>
  <si>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</si>
  <si>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</si>
  <si>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Cash</t>
  </si>
  <si>
    <t>Implied Price</t>
  </si>
  <si>
    <t>Difference</t>
  </si>
  <si>
    <t>Dividend payout rate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</si>
  <si>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</si>
  <si>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</si>
  <si>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</si>
  <si>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</si>
  <si>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</si>
  <si>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</si>
  <si>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</si>
  <si>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S/O</t>
  </si>
  <si>
    <t>LTGR</t>
  </si>
  <si>
    <t>Exit Multiple</t>
  </si>
  <si>
    <t>Average</t>
  </si>
  <si>
    <t>(inc) / dec In OWC</t>
  </si>
  <si>
    <t>(inc) / dec in LT assets</t>
  </si>
  <si>
    <t>inc / (dec) in LT liabilities</t>
  </si>
  <si>
    <t>CFFO</t>
  </si>
  <si>
    <t>CFFI</t>
  </si>
  <si>
    <t>Dividends Paid</t>
  </si>
  <si>
    <t>Debt issuance</t>
  </si>
  <si>
    <t>Share issuance</t>
  </si>
  <si>
    <t>CFFF</t>
  </si>
  <si>
    <t>Net changes in cash</t>
  </si>
  <si>
    <t>Beginning cash</t>
  </si>
  <si>
    <t>Ending cash</t>
  </si>
  <si>
    <t>DDM</t>
  </si>
  <si>
    <t>Dividend Discount Model</t>
  </si>
  <si>
    <t>FY Dividend</t>
  </si>
  <si>
    <t>Papa John's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</si>
</sst>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  <numFmt numFmtId="183" formatCode="&quot;$&quot;#,##0"/>
  </numFmts>
  <fonts count="7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b/>
      <i/>
      <sz val="11"/>
      <color rgb="FF34A853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92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79" fontId="37" fillId="0" borderId="0" xfId="0" applyNumberFormat="1" applyFont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56" fillId="0" borderId="0" xfId="3" applyNumberFormat="1" applyFont="1" applyFill="1" applyBorder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67" fillId="0" borderId="0" xfId="3" applyNumberFormat="1" applyFont="1" applyFill="1" applyBorder="1"/>
    <xf numFmtId="2" fontId="38" fillId="0" borderId="0" xfId="57" applyNumberFormat="1" applyFont="1" applyBorder="1"/>
    <xf numFmtId="2" fontId="38" fillId="0" borderId="18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167" fontId="45" fillId="0" borderId="23" xfId="0" applyFont="1" applyBorder="1"/>
    <xf numFmtId="167" fontId="39" fillId="0" borderId="23" xfId="4" applyNumberFormat="1" applyFont="1" applyFill="1" applyBorder="1"/>
    <xf numFmtId="183" fontId="39" fillId="0" borderId="0" xfId="0" applyNumberFormat="1" applyFont="1" applyAlignment="1">
      <alignment horizontal="center"/>
    </xf>
    <xf numFmtId="183" fontId="39" fillId="0" borderId="15" xfId="59" applyNumberFormat="1" applyFont="1" applyBorder="1" applyAlignment="1" applyProtection="1">
      <alignment horizontal="center"/>
    </xf>
    <xf numFmtId="176" fontId="39" fillId="0" borderId="0" xfId="59" applyNumberFormat="1" applyFont="1" applyAlignment="1" applyProtection="1">
      <alignment horizontal="center"/>
    </xf>
    <xf numFmtId="9" fontId="45" fillId="0" borderId="0" xfId="0" applyNumberFormat="1" applyFont="1"/>
    <xf numFmtId="9" fontId="39" fillId="0" borderId="18" xfId="4" applyNumberFormat="1" applyFont="1" applyFill="1" applyBorder="1"/>
    <xf numFmtId="166" fontId="39" fillId="0" borderId="0" xfId="57" applyFont="1" applyFill="1"/>
    <xf numFmtId="173" fontId="39" fillId="0" borderId="18" xfId="0" applyNumberFormat="1" applyFont="1" applyBorder="1" applyAlignment="1">
      <alignment horizontal="center"/>
    </xf>
    <xf numFmtId="183" fontId="39" fillId="0" borderId="20" xfId="0" applyNumberFormat="1" applyFont="1" applyBorder="1" applyAlignment="1">
      <alignment horizontal="center"/>
    </xf>
    <xf numFmtId="183" fontId="45" fillId="0" borderId="0" xfId="4" applyNumberFormat="1" applyFont="1" applyFill="1" applyBorder="1" applyAlignment="1" applyProtection="1">
      <alignment horizontal="center"/>
    </xf>
    <xf numFmtId="183" fontId="45" fillId="0" borderId="15" xfId="59" applyNumberFormat="1" applyFont="1" applyBorder="1" applyAlignment="1" applyProtection="1">
      <alignment horizontal="center"/>
    </xf>
    <xf numFmtId="183" fontId="45" fillId="0" borderId="0" xfId="59" applyNumberFormat="1" applyFont="1" applyAlignment="1" applyProtection="1">
      <alignment horizontal="center"/>
    </xf>
    <xf numFmtId="183" fontId="45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0" fontId="39" fillId="0" borderId="18" xfId="0" applyNumberFormat="1" applyFont="1" applyBorder="1" applyAlignment="1">
      <alignment horizontal="center"/>
    </xf>
    <xf numFmtId="10" fontId="70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44546A"/>
      <color rgb="FFEA4335"/>
      <color rgb="FF5F6368"/>
      <color rgb="FF4472C4"/>
      <color rgb="FFFBBC05"/>
      <color rgb="FF0000FF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zoomScaleNormal="100" workbookViewId="0">
      <selection activeCell="D15" sqref="D14:D15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2" width="15.7109375" style="4" customWidth="1"/>
    <col min="13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8" customFormat="1" ht="19.5" x14ac:dyDescent="0.3">
      <c r="A1" s="253" t="str">
        <f>CoName</f>
        <v>Papa John's Inc</v>
      </c>
      <c r="B1" s="2"/>
      <c r="C1" s="2"/>
      <c r="D1" s="151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s="15" customFormat="1" x14ac:dyDescent="0.25">
      <c r="A2" s="63" t="s">
        <v>181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4" spans="1:15" x14ac:dyDescent="0.25">
      <c r="B4" s="4" t="s">
        <v>3</v>
      </c>
      <c r="C4" s="50" t="s">
        <v>204</v>
      </c>
      <c r="E4" s="4" t="s">
        <v>169</v>
      </c>
      <c r="F4" s="221">
        <v>42</v>
      </c>
      <c r="H4" s="167" t="s">
        <v>182</v>
      </c>
      <c r="I4" s="166" t="s">
        <v>179</v>
      </c>
      <c r="J4" s="166" t="s">
        <v>180</v>
      </c>
      <c r="K4" s="166" t="s">
        <v>201</v>
      </c>
      <c r="L4" s="166" t="s">
        <v>188</v>
      </c>
    </row>
    <row r="5" spans="1:15" x14ac:dyDescent="0.25">
      <c r="B5" s="4" t="s">
        <v>4</v>
      </c>
      <c r="C5" s="51">
        <f ca="1">TODAY()</f>
        <v>46006</v>
      </c>
      <c r="E5" s="4" t="s">
        <v>185</v>
      </c>
      <c r="F5" s="157">
        <v>32789.415999999997</v>
      </c>
      <c r="H5" s="166" t="s">
        <v>175</v>
      </c>
      <c r="I5" s="228">
        <f>'DCF Model'!C18</f>
        <v>44.432451266223062</v>
      </c>
      <c r="J5" s="227">
        <f>'DCF Model'!G18</f>
        <v>68.788548642378856</v>
      </c>
      <c r="K5" s="227">
        <f>'DCF Model'!K11</f>
        <v>30.426408592753088</v>
      </c>
      <c r="L5" s="227">
        <f>AVERAGE(I5:K5)</f>
        <v>47.88246950045167</v>
      </c>
    </row>
    <row r="6" spans="1:15" x14ac:dyDescent="0.25">
      <c r="B6" s="4" t="s">
        <v>5</v>
      </c>
      <c r="C6" s="50" t="s">
        <v>9</v>
      </c>
      <c r="E6" s="4" t="s">
        <v>104</v>
      </c>
      <c r="F6" s="157">
        <f>F5*F4</f>
        <v>1377155.4719999998</v>
      </c>
      <c r="H6" s="166" t="s">
        <v>176</v>
      </c>
      <c r="I6" s="291">
        <f>I5/$F$4-1</f>
        <v>5.7915506338644285E-2</v>
      </c>
      <c r="J6" s="291">
        <f t="shared" ref="J6:K6" si="0">J5/$F$4-1</f>
        <v>0.63782258672330605</v>
      </c>
      <c r="K6" s="222">
        <f t="shared" si="0"/>
        <v>-0.27556170017254555</v>
      </c>
      <c r="L6" s="291">
        <f t="shared" ref="L6" si="1">L5/$F$4-1</f>
        <v>0.14005879762980156</v>
      </c>
    </row>
    <row r="7" spans="1:15" x14ac:dyDescent="0.25">
      <c r="B7" s="4" t="s">
        <v>6</v>
      </c>
      <c r="C7" s="50" t="s">
        <v>8</v>
      </c>
      <c r="E7" s="4" t="s">
        <v>174</v>
      </c>
      <c r="F7" s="50">
        <v>38972</v>
      </c>
    </row>
    <row r="8" spans="1:15" x14ac:dyDescent="0.25">
      <c r="B8" s="4" t="s">
        <v>2</v>
      </c>
      <c r="C8" s="50" t="s">
        <v>87</v>
      </c>
      <c r="E8" s="4" t="s">
        <v>146</v>
      </c>
      <c r="F8" s="50">
        <f>727135</f>
        <v>727135</v>
      </c>
    </row>
    <row r="9" spans="1:15" x14ac:dyDescent="0.25">
      <c r="B9" s="4" t="s">
        <v>7</v>
      </c>
      <c r="C9" s="50">
        <v>0</v>
      </c>
      <c r="E9" s="4" t="s">
        <v>118</v>
      </c>
      <c r="F9" s="50">
        <f>F6-F7+F8</f>
        <v>2065318.4719999998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M2"/>
  <sheetViews>
    <sheetView showGridLines="0" workbookViewId="0">
      <selection activeCell="G52" sqref="G52"/>
    </sheetView>
  </sheetViews>
  <sheetFormatPr defaultColWidth="11.7109375" defaultRowHeight="15" x14ac:dyDescent="0.25"/>
  <cols>
    <col min="1" max="2" width="11.7109375" style="4" customWidth="1"/>
    <col min="3" max="16384" width="11.7109375" style="4"/>
  </cols>
  <sheetData>
    <row r="1" spans="1:13" ht="19.5" x14ac:dyDescent="0.3">
      <c r="A1" s="253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x14ac:dyDescent="0.25">
      <c r="A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2"/>
  <sheetViews>
    <sheetView showGridLines="0" topLeftCell="B1" zoomScaleNormal="100" workbookViewId="0">
      <selection activeCell="J6" sqref="J6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53" t="str">
        <f>CoName</f>
        <v>Papa John's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20" x14ac:dyDescent="0.25">
      <c r="A2" s="62" t="s">
        <v>126</v>
      </c>
      <c r="B2" s="261" t="s">
        <v>127</v>
      </c>
      <c r="C2" s="261">
        <v>2022</v>
      </c>
      <c r="D2" s="261">
        <f>C2+1</f>
        <v>2023</v>
      </c>
      <c r="E2" s="261">
        <f t="shared" ref="E2:J2" si="0">D2+1</f>
        <v>2024</v>
      </c>
      <c r="F2" s="261">
        <f t="shared" si="0"/>
        <v>2025</v>
      </c>
      <c r="G2" s="261">
        <f t="shared" si="0"/>
        <v>2026</v>
      </c>
      <c r="H2" s="261">
        <f t="shared" si="0"/>
        <v>2027</v>
      </c>
      <c r="I2" s="261">
        <f t="shared" si="0"/>
        <v>2028</v>
      </c>
      <c r="J2" s="261">
        <f t="shared" si="0"/>
        <v>2029</v>
      </c>
      <c r="K2" s="193"/>
      <c r="L2" s="193"/>
    </row>
    <row r="3" spans="1:20" x14ac:dyDescent="0.25">
      <c r="A3" s="84"/>
      <c r="B3" s="156"/>
      <c r="C3" s="193"/>
      <c r="D3" s="193"/>
      <c r="E3" s="193"/>
      <c r="F3" s="193"/>
      <c r="G3" s="193"/>
      <c r="H3" s="193"/>
      <c r="I3" s="193"/>
      <c r="J3" s="193"/>
      <c r="K3" s="193"/>
      <c r="L3" s="193"/>
    </row>
    <row r="4" spans="1:20" x14ac:dyDescent="0.25">
      <c r="B4" s="92" t="s">
        <v>133</v>
      </c>
      <c r="C4"/>
      <c r="D4" s="258">
        <v>1</v>
      </c>
      <c r="E4"/>
      <c r="F4"/>
      <c r="G4" s="87"/>
      <c r="H4" s="87"/>
      <c r="I4" s="87"/>
      <c r="J4" s="87"/>
      <c r="K4" s="87"/>
      <c r="M4" s="229"/>
      <c r="N4" s="230"/>
      <c r="O4" s="230"/>
    </row>
    <row r="5" spans="1:20" x14ac:dyDescent="0.25">
      <c r="B5" s="86"/>
      <c r="C5" s="88"/>
      <c r="D5" s="111" t="s">
        <v>128</v>
      </c>
      <c r="E5" s="89"/>
      <c r="K5" s="87"/>
      <c r="M5" s="231"/>
      <c r="N5" s="232"/>
      <c r="O5" s="232"/>
    </row>
    <row r="6" spans="1:20" x14ac:dyDescent="0.25">
      <c r="B6" s="90" t="s">
        <v>134</v>
      </c>
      <c r="D6" s="99">
        <v>0</v>
      </c>
      <c r="E6" s="91"/>
      <c r="F6" s="99">
        <v>6.0000000000000001E-3</v>
      </c>
      <c r="G6" s="99">
        <v>-1.9E-2</v>
      </c>
      <c r="H6" s="99">
        <v>-0.02</v>
      </c>
      <c r="I6" s="99">
        <v>-0.02</v>
      </c>
      <c r="J6" s="99">
        <v>-0.02</v>
      </c>
      <c r="K6" s="168"/>
      <c r="M6" s="168"/>
      <c r="N6" s="233"/>
      <c r="O6" s="233"/>
      <c r="P6" s="233"/>
      <c r="Q6" s="233"/>
      <c r="R6" s="233"/>
      <c r="S6" s="233"/>
      <c r="T6" s="233"/>
    </row>
    <row r="7" spans="1:20" x14ac:dyDescent="0.25">
      <c r="B7" s="4" t="s">
        <v>130</v>
      </c>
      <c r="D7" s="99">
        <v>2.5000000000000001E-2</v>
      </c>
      <c r="E7" s="91"/>
      <c r="F7" s="99">
        <f>F6+$D$7</f>
        <v>3.1E-2</v>
      </c>
      <c r="G7" s="99">
        <f t="shared" ref="G7:J7" si="1">G6+$D$7</f>
        <v>6.0000000000000019E-3</v>
      </c>
      <c r="H7" s="99">
        <f t="shared" si="1"/>
        <v>5.000000000000001E-3</v>
      </c>
      <c r="I7" s="99">
        <f t="shared" si="1"/>
        <v>5.000000000000001E-3</v>
      </c>
      <c r="J7" s="99">
        <f t="shared" si="1"/>
        <v>5.000000000000001E-3</v>
      </c>
      <c r="K7" s="168"/>
      <c r="M7" s="168"/>
      <c r="N7" s="168"/>
      <c r="O7" s="168"/>
      <c r="P7" s="168"/>
      <c r="Q7" s="168"/>
      <c r="R7" s="168"/>
      <c r="S7" s="168"/>
      <c r="T7" s="168"/>
    </row>
    <row r="8" spans="1:20" x14ac:dyDescent="0.25">
      <c r="B8" s="4" t="s">
        <v>129</v>
      </c>
      <c r="D8" s="99">
        <v>-2.5000000000000001E-2</v>
      </c>
      <c r="E8" s="91"/>
      <c r="F8" s="99">
        <f>F6+$D$8</f>
        <v>-1.9000000000000003E-2</v>
      </c>
      <c r="G8" s="99">
        <f t="shared" ref="G8:J8" si="2">G6+$D$8</f>
        <v>-4.3999999999999997E-2</v>
      </c>
      <c r="H8" s="99">
        <f t="shared" si="2"/>
        <v>-4.4999999999999998E-2</v>
      </c>
      <c r="I8" s="99">
        <f t="shared" si="2"/>
        <v>-4.4999999999999998E-2</v>
      </c>
      <c r="J8" s="99">
        <f t="shared" si="2"/>
        <v>-4.4999999999999998E-2</v>
      </c>
      <c r="K8" s="168"/>
    </row>
    <row r="9" spans="1:20" x14ac:dyDescent="0.25">
      <c r="K9" s="29"/>
      <c r="L9" s="29"/>
      <c r="M9" s="168"/>
      <c r="N9" s="168"/>
    </row>
    <row r="10" spans="1:20" x14ac:dyDescent="0.25">
      <c r="B10" s="116" t="s">
        <v>151</v>
      </c>
      <c r="C10" s="188"/>
      <c r="D10" s="273">
        <f>IncState!D16/IncState!C16-1</f>
        <v>1.5988750313376654E-2</v>
      </c>
      <c r="E10" s="189">
        <f>IncState!E16/IncState!D16-1</f>
        <v>-3.5737947935888359E-2</v>
      </c>
      <c r="F10" s="103">
        <f t="shared" ref="F10" si="3">CHOOSE(ScenarioREV,F6,F7,F8)</f>
        <v>6.0000000000000001E-3</v>
      </c>
      <c r="G10" s="103">
        <f t="shared" ref="G10:J10" si="4">CHOOSE(ScenarioREV,G6,G7,G8)</f>
        <v>-1.9E-2</v>
      </c>
      <c r="H10" s="103">
        <f t="shared" si="4"/>
        <v>-0.02</v>
      </c>
      <c r="I10" s="103">
        <f t="shared" si="4"/>
        <v>-0.02</v>
      </c>
      <c r="J10" s="103">
        <f t="shared" si="4"/>
        <v>-0.02</v>
      </c>
      <c r="K10" s="28"/>
      <c r="L10" s="28"/>
      <c r="M10" s="168"/>
      <c r="N10" s="168"/>
    </row>
    <row r="11" spans="1:20" x14ac:dyDescent="0.25">
      <c r="B11" s="4" t="s">
        <v>135</v>
      </c>
      <c r="C11" s="8">
        <f>IncState!C17/IncState!C16</f>
        <v>0.74103695204278763</v>
      </c>
      <c r="D11" s="8">
        <f>IncState!D17/IncState!D16</f>
        <v>0.72970385065783649</v>
      </c>
      <c r="E11" s="8">
        <f>IncState!E17/IncState!E16</f>
        <v>0.71789615065065482</v>
      </c>
      <c r="F11" s="99">
        <f>E11</f>
        <v>0.71789615065065482</v>
      </c>
      <c r="G11" s="99">
        <f t="shared" ref="G11:J11" si="5">F11</f>
        <v>0.71789615065065482</v>
      </c>
      <c r="H11" s="99">
        <f t="shared" si="5"/>
        <v>0.71789615065065482</v>
      </c>
      <c r="I11" s="99">
        <f t="shared" si="5"/>
        <v>0.71789615065065482</v>
      </c>
      <c r="J11" s="99">
        <f t="shared" si="5"/>
        <v>0.71789615065065482</v>
      </c>
      <c r="K11" s="168"/>
      <c r="L11" s="168"/>
      <c r="M11" s="168"/>
      <c r="N11" s="168"/>
    </row>
    <row r="12" spans="1:20" x14ac:dyDescent="0.25">
      <c r="B12" s="4" t="s">
        <v>45</v>
      </c>
      <c r="C12" s="8">
        <f>IncState!C18/IncState!C16</f>
        <v>0.20148536965124925</v>
      </c>
      <c r="D12" s="8">
        <f>IncState!D18/IncState!D16</f>
        <v>0.20140018813389252</v>
      </c>
      <c r="E12" s="8">
        <f>IncState!E18/IncState!E16</f>
        <v>0.20601130336357373</v>
      </c>
      <c r="F12" s="99">
        <f>E12</f>
        <v>0.20601130336357373</v>
      </c>
      <c r="G12" s="99">
        <f t="shared" ref="G12:J12" si="6">F12</f>
        <v>0.20601130336357373</v>
      </c>
      <c r="H12" s="99">
        <f t="shared" si="6"/>
        <v>0.20601130336357373</v>
      </c>
      <c r="I12" s="99">
        <f t="shared" si="6"/>
        <v>0.20601130336357373</v>
      </c>
      <c r="J12" s="99">
        <f t="shared" si="6"/>
        <v>0.20601130336357373</v>
      </c>
      <c r="K12" s="168"/>
      <c r="L12" s="168"/>
    </row>
    <row r="13" spans="1:20" x14ac:dyDescent="0.25">
      <c r="B13" s="4" t="s">
        <v>137</v>
      </c>
      <c r="C13" s="4">
        <f>IncState!C22</f>
        <v>0</v>
      </c>
      <c r="D13" s="4">
        <f>IncState!D22</f>
        <v>0</v>
      </c>
      <c r="E13" s="4">
        <f>IncState!E22</f>
        <v>0</v>
      </c>
      <c r="F13" s="100">
        <f>E13</f>
        <v>0</v>
      </c>
      <c r="G13" s="100">
        <f t="shared" ref="G13:J13" si="7">F13</f>
        <v>0</v>
      </c>
      <c r="H13" s="100">
        <f t="shared" si="7"/>
        <v>0</v>
      </c>
      <c r="I13" s="100">
        <f t="shared" si="7"/>
        <v>0</v>
      </c>
      <c r="J13" s="100">
        <f t="shared" si="7"/>
        <v>0</v>
      </c>
      <c r="K13" s="194"/>
      <c r="L13" s="194"/>
    </row>
    <row r="14" spans="1:20" x14ac:dyDescent="0.25">
      <c r="B14" s="4" t="s">
        <v>138</v>
      </c>
      <c r="C14" s="4">
        <f>IncState!C25</f>
        <v>-12065</v>
      </c>
      <c r="D14" s="4">
        <f>IncState!D25</f>
        <v>0</v>
      </c>
      <c r="E14" s="4">
        <f>IncState!E25</f>
        <v>0</v>
      </c>
      <c r="F14" s="100">
        <v>0</v>
      </c>
      <c r="G14" s="100">
        <v>0</v>
      </c>
      <c r="H14" s="100">
        <v>0</v>
      </c>
      <c r="I14" s="100">
        <v>0</v>
      </c>
      <c r="J14" s="100">
        <v>0</v>
      </c>
      <c r="K14" s="194"/>
      <c r="L14" s="194"/>
    </row>
    <row r="15" spans="1:20" x14ac:dyDescent="0.25">
      <c r="B15" s="4" t="s">
        <v>140</v>
      </c>
      <c r="C15" s="4">
        <f>IncState!C26</f>
        <v>0</v>
      </c>
      <c r="D15" s="4">
        <f>IncState!D26</f>
        <v>0</v>
      </c>
      <c r="E15" s="4">
        <f>IncState!E26</f>
        <v>0</v>
      </c>
      <c r="F15" s="100">
        <v>0</v>
      </c>
      <c r="G15" s="100">
        <v>0</v>
      </c>
      <c r="H15" s="100">
        <v>0</v>
      </c>
      <c r="I15" s="100">
        <v>0</v>
      </c>
      <c r="J15" s="100">
        <v>0</v>
      </c>
      <c r="K15" s="194"/>
      <c r="L15" s="194"/>
    </row>
    <row r="16" spans="1:20" x14ac:dyDescent="0.25">
      <c r="B16" s="4" t="s">
        <v>48</v>
      </c>
      <c r="C16" s="8">
        <f>IncState!C33/IncState!C31</f>
        <v>0.15089522095371641</v>
      </c>
      <c r="D16" s="8">
        <f>IncState!D33/IncState!D31</f>
        <v>0.20134461238702459</v>
      </c>
      <c r="E16" s="8">
        <f>IncState!E33/IncState!E31</f>
        <v>0.26224523771971331</v>
      </c>
      <c r="F16" s="99">
        <v>0.21</v>
      </c>
      <c r="G16" s="99">
        <f t="shared" ref="G16:J16" si="8">F16</f>
        <v>0.21</v>
      </c>
      <c r="H16" s="99">
        <f t="shared" si="8"/>
        <v>0.21</v>
      </c>
      <c r="I16" s="99">
        <f t="shared" si="8"/>
        <v>0.21</v>
      </c>
      <c r="J16" s="99">
        <f t="shared" si="8"/>
        <v>0.21</v>
      </c>
      <c r="K16" s="168"/>
      <c r="L16" s="168"/>
    </row>
    <row r="17" spans="1:12" s="264" customFormat="1" x14ac:dyDescent="0.25">
      <c r="B17" s="264" t="s">
        <v>141</v>
      </c>
      <c r="C17" s="264">
        <f>IncState!C35</f>
        <v>1.5428627771360961</v>
      </c>
      <c r="D17" s="264">
        <f>IncState!D35</f>
        <v>1.7749536910509853</v>
      </c>
      <c r="E17" s="264">
        <f>IncState!E35</f>
        <v>1.850994895620014</v>
      </c>
      <c r="F17" s="265">
        <f>E17+(E17-AVERAGE(C17:D17))</f>
        <v>2.0430815571464871</v>
      </c>
      <c r="G17" s="265">
        <f t="shared" ref="G17:J17" si="9">F17+(F17-AVERAGE(D17:E17))</f>
        <v>2.2731888209574747</v>
      </c>
      <c r="H17" s="265">
        <f t="shared" si="9"/>
        <v>2.5993394155316989</v>
      </c>
      <c r="I17" s="265">
        <f t="shared" si="9"/>
        <v>3.0405436420114169</v>
      </c>
      <c r="J17" s="265">
        <f t="shared" si="9"/>
        <v>3.6448231657782468</v>
      </c>
      <c r="K17" s="266"/>
      <c r="L17" s="266"/>
    </row>
    <row r="18" spans="1:12" x14ac:dyDescent="0.25">
      <c r="B18" s="4" t="s">
        <v>49</v>
      </c>
      <c r="C18" s="4">
        <f>IncState!C38</f>
        <v>35497</v>
      </c>
      <c r="D18" s="4">
        <f>IncState!D38</f>
        <v>32931</v>
      </c>
      <c r="E18" s="4">
        <f>IncState!E38</f>
        <v>32717</v>
      </c>
      <c r="F18" s="100">
        <f>E18</f>
        <v>32717</v>
      </c>
      <c r="G18" s="100">
        <f t="shared" ref="G18:J18" si="10">F18</f>
        <v>32717</v>
      </c>
      <c r="H18" s="100">
        <f t="shared" si="10"/>
        <v>32717</v>
      </c>
      <c r="I18" s="100">
        <f t="shared" si="10"/>
        <v>32717</v>
      </c>
      <c r="J18" s="100">
        <f t="shared" si="10"/>
        <v>32717</v>
      </c>
      <c r="K18" s="194"/>
      <c r="L18" s="194"/>
    </row>
    <row r="19" spans="1:12" x14ac:dyDescent="0.25">
      <c r="B19" s="4" t="s">
        <v>50</v>
      </c>
      <c r="C19" s="4">
        <f>IncState!C39</f>
        <v>35717</v>
      </c>
      <c r="D19" s="4">
        <f>IncState!D39</f>
        <v>33159</v>
      </c>
      <c r="E19" s="4">
        <f>IncState!E39</f>
        <v>32819</v>
      </c>
      <c r="F19" s="100">
        <f>E19</f>
        <v>32819</v>
      </c>
      <c r="G19" s="100">
        <f t="shared" ref="G19:J19" si="11">F19</f>
        <v>32819</v>
      </c>
      <c r="H19" s="100">
        <f t="shared" si="11"/>
        <v>32819</v>
      </c>
      <c r="I19" s="100">
        <f t="shared" si="11"/>
        <v>32819</v>
      </c>
      <c r="J19" s="100">
        <f t="shared" si="11"/>
        <v>32819</v>
      </c>
      <c r="K19" s="194"/>
      <c r="L19" s="194"/>
    </row>
    <row r="20" spans="1:12" x14ac:dyDescent="0.25">
      <c r="F20" s="102"/>
      <c r="G20" s="102"/>
      <c r="H20" s="102"/>
      <c r="I20" s="102"/>
      <c r="J20" s="102"/>
      <c r="K20" s="168"/>
      <c r="L20" s="168"/>
    </row>
    <row r="21" spans="1:12" x14ac:dyDescent="0.25">
      <c r="A21" s="62" t="s">
        <v>126</v>
      </c>
      <c r="B21" s="105" t="s">
        <v>146</v>
      </c>
      <c r="C21" s="261">
        <f>C2</f>
        <v>2022</v>
      </c>
      <c r="D21" s="261">
        <f>D2</f>
        <v>2023</v>
      </c>
      <c r="E21" s="261">
        <f>E2</f>
        <v>2024</v>
      </c>
      <c r="F21" s="261">
        <f>F2</f>
        <v>2025</v>
      </c>
      <c r="G21" s="261">
        <f>G2</f>
        <v>2026</v>
      </c>
      <c r="H21" s="261">
        <f>H2</f>
        <v>2027</v>
      </c>
      <c r="I21" s="261">
        <f>I2</f>
        <v>2028</v>
      </c>
      <c r="J21" s="261">
        <f>J2</f>
        <v>2029</v>
      </c>
      <c r="K21" s="195"/>
      <c r="L21" s="195"/>
    </row>
    <row r="22" spans="1:12" x14ac:dyDescent="0.25">
      <c r="A22" s="84"/>
      <c r="B22" s="156"/>
      <c r="C22" s="193"/>
      <c r="D22" s="193"/>
      <c r="E22" s="193"/>
      <c r="F22" s="195"/>
      <c r="G22" s="195"/>
      <c r="H22" s="195"/>
      <c r="I22" s="195"/>
      <c r="J22" s="195"/>
      <c r="K22" s="195"/>
      <c r="L22" s="195"/>
    </row>
    <row r="23" spans="1:12" x14ac:dyDescent="0.25">
      <c r="B23" s="4" t="s">
        <v>139</v>
      </c>
      <c r="E23" s="8">
        <f>E24+1%</f>
        <v>4.8750000000000002E-2</v>
      </c>
      <c r="F23" s="99">
        <f>E23</f>
        <v>4.8750000000000002E-2</v>
      </c>
      <c r="G23" s="99">
        <f t="shared" ref="G23:J23" si="12">F23</f>
        <v>4.8750000000000002E-2</v>
      </c>
      <c r="H23" s="99">
        <f t="shared" si="12"/>
        <v>4.8750000000000002E-2</v>
      </c>
      <c r="I23" s="99">
        <f t="shared" si="12"/>
        <v>4.8750000000000002E-2</v>
      </c>
      <c r="J23" s="99">
        <f t="shared" si="12"/>
        <v>4.8750000000000002E-2</v>
      </c>
      <c r="K23" s="168"/>
      <c r="L23" s="168"/>
    </row>
    <row r="24" spans="1:12" x14ac:dyDescent="0.25">
      <c r="B24" s="4" t="s">
        <v>26</v>
      </c>
      <c r="E24" s="8">
        <v>3.875E-2</v>
      </c>
      <c r="F24" s="99">
        <f>E24</f>
        <v>3.875E-2</v>
      </c>
      <c r="G24" s="99">
        <f t="shared" ref="G24:J24" si="13">F24</f>
        <v>3.875E-2</v>
      </c>
      <c r="H24" s="99">
        <f t="shared" si="13"/>
        <v>3.875E-2</v>
      </c>
      <c r="I24" s="99">
        <f t="shared" si="13"/>
        <v>3.875E-2</v>
      </c>
      <c r="J24" s="99">
        <f t="shared" si="13"/>
        <v>3.875E-2</v>
      </c>
      <c r="K24" s="168"/>
      <c r="L24" s="168"/>
    </row>
    <row r="25" spans="1:12" x14ac:dyDescent="0.25">
      <c r="B25" s="4" t="s">
        <v>27</v>
      </c>
      <c r="C25" s="8"/>
      <c r="D25" s="8"/>
      <c r="E25" s="8">
        <v>0.04</v>
      </c>
      <c r="F25" s="125">
        <f>E25</f>
        <v>0.04</v>
      </c>
      <c r="G25" s="125">
        <f t="shared" ref="G25:J25" si="14">F25</f>
        <v>0.04</v>
      </c>
      <c r="H25" s="125">
        <f t="shared" si="14"/>
        <v>0.04</v>
      </c>
      <c r="I25" s="125">
        <f t="shared" si="14"/>
        <v>0.04</v>
      </c>
      <c r="J25" s="125">
        <f t="shared" si="14"/>
        <v>0.04</v>
      </c>
      <c r="K25" s="168"/>
      <c r="L25" s="168"/>
    </row>
    <row r="26" spans="1:12" x14ac:dyDescent="0.25">
      <c r="F26" s="102"/>
      <c r="G26" s="102"/>
      <c r="H26" s="102"/>
      <c r="I26" s="102"/>
      <c r="J26" s="102"/>
      <c r="K26" s="168"/>
      <c r="L26" s="168"/>
    </row>
    <row r="27" spans="1:12" x14ac:dyDescent="0.25">
      <c r="B27" s="4" t="s">
        <v>28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94"/>
      <c r="L27" s="194"/>
    </row>
    <row r="28" spans="1:12" x14ac:dyDescent="0.25">
      <c r="B28" s="4" t="s">
        <v>29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94"/>
      <c r="L28" s="194"/>
    </row>
    <row r="29" spans="1:12" x14ac:dyDescent="0.25">
      <c r="F29" s="102"/>
      <c r="G29" s="102"/>
      <c r="H29" s="102"/>
      <c r="I29" s="102"/>
      <c r="J29" s="102"/>
      <c r="K29" s="168"/>
      <c r="L29" s="168"/>
    </row>
    <row r="30" spans="1:12" x14ac:dyDescent="0.25">
      <c r="A30" s="62" t="s">
        <v>126</v>
      </c>
      <c r="B30" s="105" t="s">
        <v>143</v>
      </c>
      <c r="C30" s="261">
        <f>C21</f>
        <v>2022</v>
      </c>
      <c r="D30" s="261">
        <f t="shared" ref="D30:J30" si="15">D21</f>
        <v>2023</v>
      </c>
      <c r="E30" s="261">
        <f t="shared" si="15"/>
        <v>2024</v>
      </c>
      <c r="F30" s="261">
        <f t="shared" si="15"/>
        <v>2025</v>
      </c>
      <c r="G30" s="261">
        <f t="shared" si="15"/>
        <v>2026</v>
      </c>
      <c r="H30" s="261">
        <f t="shared" si="15"/>
        <v>2027</v>
      </c>
      <c r="I30" s="261">
        <f t="shared" si="15"/>
        <v>2028</v>
      </c>
      <c r="J30" s="261">
        <f t="shared" si="15"/>
        <v>2029</v>
      </c>
      <c r="K30" s="196"/>
      <c r="L30" s="196"/>
    </row>
    <row r="31" spans="1:12" x14ac:dyDescent="0.25">
      <c r="A31" s="84"/>
      <c r="B31" s="156"/>
      <c r="C31" s="193"/>
      <c r="D31" s="193"/>
      <c r="E31" s="193"/>
      <c r="F31" s="195"/>
      <c r="G31" s="195"/>
      <c r="H31" s="195"/>
      <c r="I31" s="195"/>
      <c r="J31" s="195"/>
      <c r="K31" s="196"/>
      <c r="L31" s="196"/>
    </row>
    <row r="32" spans="1:12" x14ac:dyDescent="0.25">
      <c r="B32" s="4" t="s">
        <v>144</v>
      </c>
      <c r="C32" s="8">
        <f>78391/IncState!C16</f>
        <v>3.729170264254416E-2</v>
      </c>
      <c r="D32" s="8">
        <f>76620/IncState!D16</f>
        <v>3.5875606881636248E-2</v>
      </c>
      <c r="E32" s="8">
        <f>72848/IncState!E16</f>
        <v>3.5373633027692218E-2</v>
      </c>
      <c r="F32" s="219">
        <f>AVERAGE(C32:E32)</f>
        <v>3.6180314183957542E-2</v>
      </c>
      <c r="G32" s="219">
        <f t="shared" ref="G32:J32" si="16">F32</f>
        <v>3.6180314183957542E-2</v>
      </c>
      <c r="H32" s="219">
        <f t="shared" si="16"/>
        <v>3.6180314183957542E-2</v>
      </c>
      <c r="I32" s="219">
        <f t="shared" si="16"/>
        <v>3.6180314183957542E-2</v>
      </c>
      <c r="J32" s="219">
        <f t="shared" si="16"/>
        <v>3.6180314183957542E-2</v>
      </c>
      <c r="K32" s="168"/>
      <c r="L32" s="168"/>
    </row>
    <row r="33" spans="1:12" x14ac:dyDescent="0.25">
      <c r="B33" s="4" t="s">
        <v>157</v>
      </c>
      <c r="D33" s="8">
        <f>IncState!D21/BalSheet!C23</f>
        <v>0.1433270939419759</v>
      </c>
      <c r="E33" s="8">
        <f>IncState!E21/BalSheet!D23</f>
        <v>0.12618704434835287</v>
      </c>
      <c r="F33" s="99">
        <f>AVERAGE(D33:E33)</f>
        <v>0.13475706914516439</v>
      </c>
      <c r="G33" s="99">
        <f t="shared" ref="G33:J33" si="17">F33</f>
        <v>0.13475706914516439</v>
      </c>
      <c r="H33" s="99">
        <f t="shared" si="17"/>
        <v>0.13475706914516439</v>
      </c>
      <c r="I33" s="99">
        <f t="shared" si="17"/>
        <v>0.13475706914516439</v>
      </c>
      <c r="J33" s="99">
        <f t="shared" si="17"/>
        <v>0.13475706914516439</v>
      </c>
      <c r="K33" s="168"/>
      <c r="L33" s="168"/>
    </row>
    <row r="34" spans="1:12" x14ac:dyDescent="0.25">
      <c r="B34" s="4" t="s">
        <v>145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97"/>
      <c r="L34" s="197"/>
    </row>
    <row r="35" spans="1:12" x14ac:dyDescent="0.25">
      <c r="F35" s="29"/>
      <c r="G35" s="29"/>
      <c r="H35" s="29"/>
      <c r="I35" s="29"/>
      <c r="J35" s="29"/>
      <c r="K35" s="29"/>
      <c r="L35" s="29"/>
    </row>
    <row r="36" spans="1:12" x14ac:dyDescent="0.25">
      <c r="A36" s="62" t="s">
        <v>126</v>
      </c>
      <c r="B36" s="105" t="s">
        <v>131</v>
      </c>
      <c r="C36" s="261">
        <f>C30</f>
        <v>2022</v>
      </c>
      <c r="D36" s="261">
        <f t="shared" ref="D36:J36" si="18">D30</f>
        <v>2023</v>
      </c>
      <c r="E36" s="261">
        <f t="shared" si="18"/>
        <v>2024</v>
      </c>
      <c r="F36" s="261">
        <f t="shared" si="18"/>
        <v>2025</v>
      </c>
      <c r="G36" s="261">
        <f t="shared" si="18"/>
        <v>2026</v>
      </c>
      <c r="H36" s="261">
        <f t="shared" si="18"/>
        <v>2027</v>
      </c>
      <c r="I36" s="261">
        <f t="shared" si="18"/>
        <v>2028</v>
      </c>
      <c r="J36" s="261">
        <f t="shared" si="18"/>
        <v>2029</v>
      </c>
      <c r="K36" s="196"/>
      <c r="L36" s="196"/>
    </row>
    <row r="37" spans="1:12" x14ac:dyDescent="0.25">
      <c r="A37" s="84"/>
      <c r="B37" s="156"/>
      <c r="C37" s="193"/>
      <c r="D37" s="193"/>
      <c r="E37" s="193"/>
      <c r="F37" s="259"/>
      <c r="G37" s="259"/>
      <c r="H37" s="259"/>
      <c r="I37" s="259"/>
      <c r="J37" s="259"/>
      <c r="K37" s="196"/>
      <c r="L37" s="196"/>
    </row>
    <row r="38" spans="1:12" x14ac:dyDescent="0.25">
      <c r="B38" s="4" t="s">
        <v>142</v>
      </c>
      <c r="C38" s="8">
        <f>BalSheet!C16/IncState!C16</f>
        <v>0.01</v>
      </c>
      <c r="D38" s="8">
        <f>BalSheet!D16/IncState!D16</f>
        <v>0.01</v>
      </c>
      <c r="E38" s="8">
        <f>BalSheet!E16/IncState!E16</f>
        <v>0.01</v>
      </c>
      <c r="F38" s="99">
        <f>E38</f>
        <v>0.01</v>
      </c>
      <c r="G38" s="99">
        <f t="shared" ref="G38:J38" si="19">F38</f>
        <v>0.01</v>
      </c>
      <c r="H38" s="99">
        <f t="shared" si="19"/>
        <v>0.01</v>
      </c>
      <c r="I38" s="99">
        <f t="shared" si="19"/>
        <v>0.01</v>
      </c>
      <c r="J38" s="99">
        <f t="shared" si="19"/>
        <v>0.01</v>
      </c>
      <c r="K38" s="168"/>
      <c r="L38" s="168"/>
    </row>
    <row r="39" spans="1:12" x14ac:dyDescent="0.25">
      <c r="B39" s="4" t="s">
        <v>155</v>
      </c>
      <c r="C39" s="8">
        <f>BalSheet!C18/IncState!C16</f>
        <v>5.6210851704221916E-2</v>
      </c>
      <c r="D39" s="8">
        <f>BalSheet!D18/IncState!D16</f>
        <v>5.2450867696174533E-2</v>
      </c>
      <c r="E39" s="8">
        <f>BalSheet!E18/IncState!E16</f>
        <v>5.2840481172310015E-2</v>
      </c>
      <c r="F39" s="99">
        <f>E39</f>
        <v>5.2840481172310015E-2</v>
      </c>
      <c r="G39" s="99">
        <f t="shared" ref="G39:J39" si="20">F39</f>
        <v>5.2840481172310015E-2</v>
      </c>
      <c r="H39" s="99">
        <f t="shared" si="20"/>
        <v>5.2840481172310015E-2</v>
      </c>
      <c r="I39" s="99">
        <f t="shared" si="20"/>
        <v>5.2840481172310015E-2</v>
      </c>
      <c r="J39" s="99">
        <f t="shared" si="20"/>
        <v>5.2840481172310015E-2</v>
      </c>
      <c r="K39" s="168"/>
      <c r="L39" s="168"/>
    </row>
    <row r="40" spans="1:12" x14ac:dyDescent="0.25">
      <c r="B40" s="4" t="s">
        <v>65</v>
      </c>
      <c r="C40" s="8">
        <f>BalSheet!C19/IncState!C17</f>
        <v>2.6565477076988656E-2</v>
      </c>
      <c r="D40" s="8">
        <f>BalSheet!D19/IncState!D17</f>
        <v>2.3180902929728357E-2</v>
      </c>
      <c r="E40" s="8">
        <f>BalSheet!E19/IncState!E17</f>
        <v>2.3839542865182296E-2</v>
      </c>
      <c r="F40" s="99">
        <f t="shared" ref="F40:J40" si="21">E40</f>
        <v>2.3839542865182296E-2</v>
      </c>
      <c r="G40" s="99">
        <f t="shared" si="21"/>
        <v>2.3839542865182296E-2</v>
      </c>
      <c r="H40" s="99">
        <f t="shared" si="21"/>
        <v>2.3839542865182296E-2</v>
      </c>
      <c r="I40" s="99">
        <f t="shared" si="21"/>
        <v>2.3839542865182296E-2</v>
      </c>
      <c r="J40" s="99">
        <f t="shared" si="21"/>
        <v>2.3839542865182296E-2</v>
      </c>
      <c r="K40" s="168"/>
      <c r="L40" s="168"/>
    </row>
    <row r="41" spans="1:12" x14ac:dyDescent="0.25">
      <c r="B41" s="4" t="s">
        <v>66</v>
      </c>
      <c r="C41" s="8">
        <f>BalSheet!C20/IncState!C16</f>
        <v>2.0989932462871706E-2</v>
      </c>
      <c r="D41" s="8">
        <f>BalSheet!D20/IncState!D16</f>
        <v>1.9799008574653991E-2</v>
      </c>
      <c r="E41" s="8">
        <f>BalSheet!E20/IncState!E16</f>
        <v>2.3592457367167998E-2</v>
      </c>
      <c r="F41" s="99">
        <f t="shared" ref="F41:J41" si="22">E41</f>
        <v>2.3592457367167998E-2</v>
      </c>
      <c r="G41" s="99">
        <f t="shared" si="22"/>
        <v>2.3592457367167998E-2</v>
      </c>
      <c r="H41" s="99">
        <f t="shared" si="22"/>
        <v>2.3592457367167998E-2</v>
      </c>
      <c r="I41" s="99">
        <f t="shared" si="22"/>
        <v>2.3592457367167998E-2</v>
      </c>
      <c r="J41" s="99">
        <f t="shared" si="22"/>
        <v>2.3592457367167998E-2</v>
      </c>
      <c r="K41" s="168"/>
      <c r="L41" s="168"/>
    </row>
    <row r="42" spans="1:12" x14ac:dyDescent="0.25">
      <c r="E42" s="8"/>
      <c r="F42" s="102"/>
      <c r="G42" s="102"/>
      <c r="H42" s="102"/>
      <c r="I42" s="102"/>
      <c r="J42" s="102"/>
      <c r="K42" s="168"/>
      <c r="L42" s="168"/>
    </row>
    <row r="43" spans="1:12" x14ac:dyDescent="0.25">
      <c r="B43" s="4" t="s">
        <v>67</v>
      </c>
      <c r="C43" s="8">
        <f>BalSheet!C25/IncState!C16</f>
        <v>4.5389307755138546E-2</v>
      </c>
      <c r="D43" s="8">
        <f>BalSheet!D25/IncState!D16</f>
        <v>4.17055100568288E-2</v>
      </c>
      <c r="E43" s="8">
        <f>BalSheet!E25/IncState!E16</f>
        <v>4.6824127762290432E-2</v>
      </c>
      <c r="F43" s="99">
        <f>E43</f>
        <v>4.6824127762290432E-2</v>
      </c>
      <c r="G43" s="99">
        <f t="shared" ref="G43:J43" si="23">F43</f>
        <v>4.6824127762290432E-2</v>
      </c>
      <c r="H43" s="99">
        <f t="shared" si="23"/>
        <v>4.6824127762290432E-2</v>
      </c>
      <c r="I43" s="99">
        <f t="shared" si="23"/>
        <v>4.6824127762290432E-2</v>
      </c>
      <c r="J43" s="99">
        <f t="shared" si="23"/>
        <v>4.6824127762290432E-2</v>
      </c>
      <c r="K43" s="168"/>
      <c r="L43" s="168"/>
    </row>
    <row r="44" spans="1:12" x14ac:dyDescent="0.25">
      <c r="F44" s="29"/>
      <c r="G44" s="29"/>
      <c r="H44" s="29"/>
      <c r="I44" s="29"/>
      <c r="J44" s="29"/>
      <c r="K44" s="29"/>
      <c r="L44" s="29"/>
    </row>
    <row r="45" spans="1:12" x14ac:dyDescent="0.25">
      <c r="A45" s="62" t="s">
        <v>126</v>
      </c>
      <c r="B45" s="105" t="s">
        <v>132</v>
      </c>
      <c r="C45" s="261">
        <f>C36</f>
        <v>2022</v>
      </c>
      <c r="D45" s="261">
        <f>D36</f>
        <v>2023</v>
      </c>
      <c r="E45" s="261">
        <f>E36</f>
        <v>2024</v>
      </c>
      <c r="F45" s="261">
        <f>F36</f>
        <v>2025</v>
      </c>
      <c r="G45" s="261">
        <f>G36</f>
        <v>2026</v>
      </c>
      <c r="H45" s="261">
        <f>H36</f>
        <v>2027</v>
      </c>
      <c r="I45" s="261">
        <f>I36</f>
        <v>2028</v>
      </c>
      <c r="J45" s="261">
        <f>J36</f>
        <v>2029</v>
      </c>
      <c r="K45" s="196"/>
      <c r="L45" s="196"/>
    </row>
    <row r="46" spans="1:12" x14ac:dyDescent="0.25">
      <c r="A46" s="84"/>
      <c r="B46" s="156"/>
      <c r="C46" s="193"/>
      <c r="D46" s="193"/>
      <c r="E46" s="193"/>
      <c r="F46" s="259"/>
      <c r="G46" s="259"/>
      <c r="H46" s="259"/>
      <c r="I46" s="259"/>
      <c r="J46" s="259"/>
      <c r="K46" s="196"/>
      <c r="L46" s="196"/>
    </row>
    <row r="47" spans="1:12" x14ac:dyDescent="0.25">
      <c r="B47" s="4" t="s">
        <v>156</v>
      </c>
      <c r="C47" s="8">
        <f>BalSheet!C31/IncState!C17</f>
        <v>0.14034277952104848</v>
      </c>
      <c r="D47" s="8">
        <f>BalSheet!D31/IncState!D17</f>
        <v>0.16109976784446992</v>
      </c>
      <c r="E47" s="8">
        <f>BalSheet!E31/IncState!E17</f>
        <v>0.15517043125594382</v>
      </c>
      <c r="F47" s="99">
        <f t="shared" ref="F47:J47" si="24">E47</f>
        <v>0.15517043125594382</v>
      </c>
      <c r="G47" s="99">
        <f t="shared" si="24"/>
        <v>0.15517043125594382</v>
      </c>
      <c r="H47" s="99">
        <f t="shared" si="24"/>
        <v>0.15517043125594382</v>
      </c>
      <c r="I47" s="99">
        <f t="shared" si="24"/>
        <v>0.15517043125594382</v>
      </c>
      <c r="J47" s="99">
        <f t="shared" si="24"/>
        <v>0.15517043125594382</v>
      </c>
      <c r="K47" s="168"/>
      <c r="L47" s="168"/>
    </row>
    <row r="48" spans="1:12" x14ac:dyDescent="0.25">
      <c r="B48" s="4" t="s">
        <v>68</v>
      </c>
      <c r="C48" s="8">
        <f>BalSheet!C32/IncState!C16</f>
        <v>2.2139733400313878E-2</v>
      </c>
      <c r="D48" s="8">
        <f>BalSheet!D32/IncState!D16</f>
        <v>2.5065165591069586E-2</v>
      </c>
      <c r="E48" s="8">
        <f>BalSheet!E32/IncState!E16</f>
        <v>2.3577404344108221E-2</v>
      </c>
      <c r="F48" s="99">
        <f t="shared" ref="F48:J48" si="25">E48</f>
        <v>2.3577404344108221E-2</v>
      </c>
      <c r="G48" s="99">
        <f t="shared" si="25"/>
        <v>2.3577404344108221E-2</v>
      </c>
      <c r="H48" s="99">
        <f t="shared" si="25"/>
        <v>2.3577404344108221E-2</v>
      </c>
      <c r="I48" s="99">
        <f t="shared" si="25"/>
        <v>2.3577404344108221E-2</v>
      </c>
      <c r="J48" s="99">
        <f t="shared" si="25"/>
        <v>2.3577404344108221E-2</v>
      </c>
      <c r="K48" s="168"/>
      <c r="L48" s="168"/>
    </row>
    <row r="49" spans="2:12" x14ac:dyDescent="0.25">
      <c r="B49" s="4" t="s">
        <v>69</v>
      </c>
      <c r="C49" s="8">
        <f>BalSheet!C36/IncState!C16</f>
        <v>0.12913163627091537</v>
      </c>
      <c r="D49" s="8">
        <f>BalSheet!D36/IncState!D16</f>
        <v>0.11975017242485296</v>
      </c>
      <c r="E49" s="8">
        <f>BalSheet!E36/IncState!E16</f>
        <v>0.13725055077069051</v>
      </c>
      <c r="F49" s="99">
        <f t="shared" ref="F49:J49" si="26">E49</f>
        <v>0.13725055077069051</v>
      </c>
      <c r="G49" s="99">
        <f t="shared" si="26"/>
        <v>0.13725055077069051</v>
      </c>
      <c r="H49" s="99">
        <f t="shared" si="26"/>
        <v>0.13725055077069051</v>
      </c>
      <c r="I49" s="99">
        <f t="shared" si="26"/>
        <v>0.13725055077069051</v>
      </c>
      <c r="J49" s="99">
        <f t="shared" si="26"/>
        <v>0.13725055077069051</v>
      </c>
      <c r="K49" s="168"/>
      <c r="L49" s="168"/>
    </row>
    <row r="50" spans="2:12" x14ac:dyDescent="0.25">
      <c r="F50" s="120"/>
      <c r="G50" s="29"/>
      <c r="H50" s="29"/>
      <c r="I50" s="29"/>
      <c r="J50" s="29"/>
    </row>
    <row r="51" spans="2:12" x14ac:dyDescent="0.25">
      <c r="F51" s="121"/>
      <c r="G51" s="93"/>
      <c r="H51" s="93"/>
      <c r="I51" s="93"/>
      <c r="J51" s="93"/>
    </row>
    <row r="52" spans="2:12" x14ac:dyDescent="0.25">
      <c r="F52" s="93"/>
      <c r="G52" s="93"/>
      <c r="H52" s="93"/>
      <c r="I52" s="93"/>
      <c r="J52" s="93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1 K21:L21 F22:L29 K30:L30 F31:L34 K45:L49 F47:J49 F51:J52 K36:L43 F38:J43 F11:L20 F6:K8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40"/>
  <sheetViews>
    <sheetView showGridLines="0" topLeftCell="A4" zoomScaleNormal="100" workbookViewId="0">
      <selection activeCell="F26" sqref="F6:J26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53" t="str">
        <f>CoName</f>
        <v>Papa John's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3" x14ac:dyDescent="0.25">
      <c r="A2" s="20" t="s">
        <v>11</v>
      </c>
      <c r="B2" s="19"/>
      <c r="C2" s="190">
        <v>2022</v>
      </c>
      <c r="D2" s="252">
        <f>C2+1</f>
        <v>2023</v>
      </c>
      <c r="E2" s="252">
        <f t="shared" ref="E2:J2" si="0">D2+1</f>
        <v>2024</v>
      </c>
      <c r="F2" s="252">
        <f t="shared" si="0"/>
        <v>2025</v>
      </c>
      <c r="G2" s="252">
        <f t="shared" si="0"/>
        <v>2026</v>
      </c>
      <c r="H2" s="252">
        <f t="shared" si="0"/>
        <v>2027</v>
      </c>
      <c r="I2" s="252">
        <f t="shared" si="0"/>
        <v>2028</v>
      </c>
      <c r="J2" s="252">
        <f t="shared" si="0"/>
        <v>2029</v>
      </c>
      <c r="K2" s="191"/>
      <c r="L2" s="191"/>
      <c r="M2" s="191"/>
    </row>
    <row r="3" spans="1:13" x14ac:dyDescent="0.25">
      <c r="B3" s="4" t="s">
        <v>12</v>
      </c>
      <c r="C3" s="28"/>
      <c r="D3" s="28"/>
      <c r="E3" s="39"/>
      <c r="F3" s="200">
        <f>Assumptions!F32</f>
        <v>3.6180314183957542E-2</v>
      </c>
      <c r="G3" s="200">
        <f>Assumptions!G32</f>
        <v>3.6180314183957542E-2</v>
      </c>
      <c r="H3" s="200">
        <f>Assumptions!H32</f>
        <v>3.6180314183957542E-2</v>
      </c>
      <c r="I3" s="200">
        <f>Assumptions!I32</f>
        <v>3.6180314183957542E-2</v>
      </c>
      <c r="J3" s="200">
        <f>Assumptions!J32</f>
        <v>3.6180314183957542E-2</v>
      </c>
      <c r="K3" s="198"/>
      <c r="L3" s="198"/>
    </row>
    <row r="4" spans="1:13" x14ac:dyDescent="0.25">
      <c r="B4" s="4" t="s">
        <v>136</v>
      </c>
      <c r="C4" s="28"/>
      <c r="D4" s="28"/>
      <c r="E4" s="39"/>
      <c r="F4" s="200">
        <f>Assumptions!F33</f>
        <v>0.13475706914516439</v>
      </c>
      <c r="G4" s="200">
        <f>F4</f>
        <v>0.13475706914516439</v>
      </c>
      <c r="H4" s="200">
        <f t="shared" ref="H4:J4" si="1">G4</f>
        <v>0.13475706914516439</v>
      </c>
      <c r="I4" s="200">
        <f t="shared" si="1"/>
        <v>0.13475706914516439</v>
      </c>
      <c r="J4" s="200">
        <f t="shared" si="1"/>
        <v>0.13475706914516439</v>
      </c>
      <c r="K4" s="198"/>
      <c r="L4" s="198"/>
    </row>
    <row r="5" spans="1:13" x14ac:dyDescent="0.25">
      <c r="E5" s="27"/>
      <c r="F5" s="76"/>
      <c r="G5" s="64"/>
      <c r="H5" s="82"/>
      <c r="I5" s="64"/>
      <c r="J5" s="64"/>
    </row>
    <row r="6" spans="1:13" x14ac:dyDescent="0.25">
      <c r="B6" s="4" t="s">
        <v>13</v>
      </c>
      <c r="E6" s="27"/>
      <c r="F6" s="4">
        <f>E9</f>
        <v>486458</v>
      </c>
      <c r="G6" s="4">
        <f t="shared" ref="G6:J6" si="2">F9</f>
        <v>495860.66995625751</v>
      </c>
      <c r="H6" s="4">
        <f t="shared" si="2"/>
        <v>502572.09350539953</v>
      </c>
      <c r="I6" s="4">
        <f t="shared" si="2"/>
        <v>506908.46220453118</v>
      </c>
      <c r="J6" s="4">
        <f t="shared" si="2"/>
        <v>509219.24434595363</v>
      </c>
    </row>
    <row r="7" spans="1:13" x14ac:dyDescent="0.25">
      <c r="B7" s="4" t="s">
        <v>14</v>
      </c>
      <c r="C7" s="12"/>
      <c r="D7" s="12"/>
      <c r="E7" s="126"/>
      <c r="F7" s="4">
        <f>F3*IncState!F16</f>
        <v>74956.324298475913</v>
      </c>
      <c r="G7" s="4">
        <f>G3*IncState!G16</f>
        <v>73532.154136804864</v>
      </c>
      <c r="H7" s="4">
        <f>H3*IncState!H16</f>
        <v>72061.511054068775</v>
      </c>
      <c r="I7" s="4">
        <f>I3*IncState!I16</f>
        <v>70620.280832987395</v>
      </c>
      <c r="J7" s="4">
        <f>J3*IncState!J16</f>
        <v>69207.875216327651</v>
      </c>
    </row>
    <row r="8" spans="1:13" x14ac:dyDescent="0.25">
      <c r="B8" s="4" t="s">
        <v>15</v>
      </c>
      <c r="E8" s="27"/>
      <c r="F8" s="4">
        <f>F6*F4</f>
        <v>65553.654342218375</v>
      </c>
      <c r="G8" s="4">
        <f t="shared" ref="G8:J8" si="3">G6*G4</f>
        <v>66820.730587662925</v>
      </c>
      <c r="H8" s="4">
        <f t="shared" si="3"/>
        <v>67725.142354937154</v>
      </c>
      <c r="I8" s="4">
        <f t="shared" si="3"/>
        <v>68309.498691564964</v>
      </c>
      <c r="J8" s="4">
        <f t="shared" si="3"/>
        <v>68620.892920376034</v>
      </c>
    </row>
    <row r="9" spans="1:13" x14ac:dyDescent="0.25">
      <c r="B9" s="4" t="s">
        <v>16</v>
      </c>
      <c r="E9" s="27">
        <f>BalSheet!E23</f>
        <v>486458</v>
      </c>
      <c r="F9" s="4">
        <f>F6+F7-F8</f>
        <v>495860.66995625751</v>
      </c>
      <c r="G9" s="4">
        <f t="shared" ref="G9:J9" si="4">G6+G7-G8</f>
        <v>502572.09350539953</v>
      </c>
      <c r="H9" s="4">
        <f t="shared" si="4"/>
        <v>506908.46220453118</v>
      </c>
      <c r="I9" s="4">
        <f t="shared" si="4"/>
        <v>509219.24434595363</v>
      </c>
      <c r="J9" s="4">
        <f t="shared" si="4"/>
        <v>509806.22664190526</v>
      </c>
    </row>
    <row r="10" spans="1:13" x14ac:dyDescent="0.25">
      <c r="A10" s="20" t="s">
        <v>17</v>
      </c>
      <c r="B10" s="41"/>
      <c r="C10" s="234">
        <f t="shared" ref="C10:J10" si="5">C2</f>
        <v>2022</v>
      </c>
      <c r="D10" s="234">
        <f t="shared" si="5"/>
        <v>2023</v>
      </c>
      <c r="E10" s="234">
        <f t="shared" si="5"/>
        <v>2024</v>
      </c>
      <c r="F10" s="234">
        <f t="shared" si="5"/>
        <v>2025</v>
      </c>
      <c r="G10" s="234">
        <f t="shared" ref="G10:J10" si="6">G2</f>
        <v>2026</v>
      </c>
      <c r="H10" s="234">
        <f t="shared" si="6"/>
        <v>2027</v>
      </c>
      <c r="I10" s="234">
        <f t="shared" si="6"/>
        <v>2028</v>
      </c>
      <c r="J10" s="234">
        <f t="shared" si="6"/>
        <v>2029</v>
      </c>
      <c r="K10" s="193"/>
      <c r="L10" s="193"/>
    </row>
    <row r="11" spans="1:13" x14ac:dyDescent="0.25">
      <c r="B11" s="4" t="s">
        <v>18</v>
      </c>
      <c r="E11" s="27"/>
      <c r="F11" s="254">
        <f>Assumptions!F34</f>
        <v>0</v>
      </c>
      <c r="G11" s="254">
        <f>Assumptions!G34</f>
        <v>0</v>
      </c>
      <c r="H11" s="254">
        <f>Assumptions!H34</f>
        <v>0</v>
      </c>
      <c r="I11" s="254">
        <f>Assumptions!I34</f>
        <v>0</v>
      </c>
      <c r="J11" s="254">
        <f>Assumptions!J34</f>
        <v>0</v>
      </c>
      <c r="K11" s="199"/>
      <c r="L11" s="199"/>
    </row>
    <row r="12" spans="1:13" x14ac:dyDescent="0.25">
      <c r="E12" s="27"/>
      <c r="F12" s="76"/>
      <c r="G12" s="76"/>
      <c r="H12" s="76"/>
      <c r="I12" s="76"/>
      <c r="J12" s="76"/>
    </row>
    <row r="13" spans="1:13" x14ac:dyDescent="0.25">
      <c r="B13" s="4" t="s">
        <v>19</v>
      </c>
      <c r="E13" s="27"/>
      <c r="F13" s="4">
        <f>E17</f>
        <v>-413313</v>
      </c>
      <c r="G13" s="4">
        <f t="shared" ref="G13:J13" si="7">F17</f>
        <v>-355617.56234516192</v>
      </c>
      <c r="H13" s="4">
        <f t="shared" si="7"/>
        <v>-307816.7838426677</v>
      </c>
      <c r="I13" s="4">
        <f t="shared" si="7"/>
        <v>-273130.12828601373</v>
      </c>
      <c r="J13" s="4">
        <f t="shared" si="7"/>
        <v>-255272.93627138858</v>
      </c>
    </row>
    <row r="14" spans="1:13" x14ac:dyDescent="0.25">
      <c r="B14" s="4" t="s">
        <v>20</v>
      </c>
      <c r="E14" s="27"/>
      <c r="F14" s="4">
        <f>IncState!F34</f>
        <v>124538.93695999976</v>
      </c>
      <c r="G14" s="4">
        <f>IncState!G34</f>
        <v>122172.69715775989</v>
      </c>
      <c r="H14" s="4">
        <f>IncState!H34</f>
        <v>119729.24321460456</v>
      </c>
      <c r="I14" s="4">
        <f>IncState!I34</f>
        <v>117334.65835031269</v>
      </c>
      <c r="J14" s="4">
        <f>IncState!J34</f>
        <v>114987.96518330654</v>
      </c>
    </row>
    <row r="15" spans="1:13" x14ac:dyDescent="0.25">
      <c r="B15" s="4" t="s">
        <v>21</v>
      </c>
      <c r="E15" s="27"/>
      <c r="F15" s="4">
        <f>-IncState!F36</f>
        <v>-66843.499305161618</v>
      </c>
      <c r="G15" s="4">
        <f>-IncState!G36</f>
        <v>-74371.918655265705</v>
      </c>
      <c r="H15" s="4">
        <f>-IncState!H36</f>
        <v>-85042.587657950586</v>
      </c>
      <c r="I15" s="4">
        <f>-IncState!I36</f>
        <v>-99477.466335687524</v>
      </c>
      <c r="J15" s="4">
        <f>-IncState!J36</f>
        <v>-119247.6795147669</v>
      </c>
    </row>
    <row r="16" spans="1:13" x14ac:dyDescent="0.25">
      <c r="B16" s="4" t="s">
        <v>22</v>
      </c>
      <c r="E16" s="27"/>
      <c r="F16" s="4">
        <f>F11</f>
        <v>0</v>
      </c>
      <c r="G16" s="4">
        <f t="shared" ref="G16:J16" si="8">G11</f>
        <v>0</v>
      </c>
      <c r="H16" s="4">
        <f t="shared" si="8"/>
        <v>0</v>
      </c>
      <c r="I16" s="4">
        <f t="shared" si="8"/>
        <v>0</v>
      </c>
      <c r="J16" s="4">
        <f t="shared" si="8"/>
        <v>0</v>
      </c>
    </row>
    <row r="17" spans="1:12" x14ac:dyDescent="0.25">
      <c r="B17" s="4" t="s">
        <v>23</v>
      </c>
      <c r="E17" s="27">
        <f>BalSheet!E39</f>
        <v>-413313</v>
      </c>
      <c r="F17" s="4">
        <f>SUM(F13:F16)</f>
        <v>-355617.56234516192</v>
      </c>
      <c r="G17" s="4">
        <f t="shared" ref="G17:J17" si="9">SUM(G13:G16)</f>
        <v>-307816.7838426677</v>
      </c>
      <c r="H17" s="4">
        <f t="shared" si="9"/>
        <v>-273130.12828601373</v>
      </c>
      <c r="I17" s="4">
        <f t="shared" si="9"/>
        <v>-255272.93627138858</v>
      </c>
      <c r="J17" s="4">
        <f t="shared" si="9"/>
        <v>-259532.65060284894</v>
      </c>
    </row>
    <row r="18" spans="1:12" x14ac:dyDescent="0.25">
      <c r="A18" s="20" t="s">
        <v>24</v>
      </c>
      <c r="B18" s="41"/>
      <c r="C18" s="234">
        <f>C10</f>
        <v>2022</v>
      </c>
      <c r="D18" s="234">
        <f t="shared" ref="D18:J18" si="10">D10</f>
        <v>2023</v>
      </c>
      <c r="E18" s="234">
        <f t="shared" si="10"/>
        <v>2024</v>
      </c>
      <c r="F18" s="234">
        <f t="shared" si="10"/>
        <v>2025</v>
      </c>
      <c r="G18" s="234">
        <f t="shared" ref="G18:J18" si="11">G10</f>
        <v>2026</v>
      </c>
      <c r="H18" s="234">
        <f t="shared" si="11"/>
        <v>2027</v>
      </c>
      <c r="I18" s="234">
        <f t="shared" si="11"/>
        <v>2028</v>
      </c>
      <c r="J18" s="234">
        <f t="shared" si="11"/>
        <v>2029</v>
      </c>
      <c r="K18" s="193"/>
      <c r="L18" s="193"/>
    </row>
    <row r="19" spans="1:12" x14ac:dyDescent="0.25">
      <c r="A19" s="85"/>
      <c r="B19" s="170" t="s">
        <v>160</v>
      </c>
      <c r="C19" s="193"/>
      <c r="D19" s="193"/>
      <c r="E19" s="214">
        <f>BalSheet!E16</f>
        <v>20593.87</v>
      </c>
      <c r="F19" s="215">
        <f>BalSheet!F16</f>
        <v>20717.433219999999</v>
      </c>
      <c r="G19" s="215">
        <f>BalSheet!G16</f>
        <v>20323.80198882</v>
      </c>
      <c r="H19" s="215">
        <f>BalSheet!H16</f>
        <v>19917.325949043599</v>
      </c>
      <c r="I19" s="215">
        <f>BalSheet!I16</f>
        <v>19518.979430062725</v>
      </c>
      <c r="J19" s="215">
        <f>BalSheet!J16</f>
        <v>19128.599841461473</v>
      </c>
      <c r="K19" s="193"/>
      <c r="L19" s="193"/>
    </row>
    <row r="20" spans="1:12" x14ac:dyDescent="0.25">
      <c r="B20" s="4" t="str">
        <f>BalSheet!B18</f>
        <v>Accounts receivable</v>
      </c>
      <c r="D20" s="96"/>
      <c r="E20" s="214">
        <f>BalSheet!E18</f>
        <v>108819</v>
      </c>
      <c r="F20" s="96">
        <f>BalSheet!F18</f>
        <v>109471.914</v>
      </c>
      <c r="G20" s="96">
        <f>BalSheet!G18</f>
        <v>107391.947634</v>
      </c>
      <c r="H20" s="96">
        <f>BalSheet!H18</f>
        <v>105244.10868131999</v>
      </c>
      <c r="I20" s="96">
        <f>BalSheet!I18</f>
        <v>103139.2265076936</v>
      </c>
      <c r="J20" s="96">
        <f>BalSheet!J18</f>
        <v>101076.44197753973</v>
      </c>
      <c r="K20" s="96"/>
      <c r="L20" s="96"/>
    </row>
    <row r="21" spans="1:12" x14ac:dyDescent="0.25">
      <c r="B21" s="4" t="str">
        <f>BalSheet!B19</f>
        <v>Inventories</v>
      </c>
      <c r="C21" s="96"/>
      <c r="D21" s="96"/>
      <c r="E21" s="214">
        <f>BalSheet!E19</f>
        <v>35245</v>
      </c>
      <c r="F21" s="96">
        <f>BalSheet!F19</f>
        <v>35456.47</v>
      </c>
      <c r="G21" s="96">
        <f>BalSheet!G19</f>
        <v>34782.797070000001</v>
      </c>
      <c r="H21" s="96">
        <f>BalSheet!H19</f>
        <v>34087.1411286</v>
      </c>
      <c r="I21" s="96">
        <f>BalSheet!I19</f>
        <v>33405.398306028001</v>
      </c>
      <c r="J21" s="96">
        <f>BalSheet!J19</f>
        <v>32737.290339907438</v>
      </c>
      <c r="K21" s="96"/>
      <c r="L21" s="96"/>
    </row>
    <row r="22" spans="1:12" x14ac:dyDescent="0.25">
      <c r="B22" s="4" t="s">
        <v>72</v>
      </c>
      <c r="C22" s="96"/>
      <c r="D22" s="96"/>
      <c r="E22" s="214">
        <f>BalSheet!E20</f>
        <v>48586</v>
      </c>
      <c r="F22" s="96">
        <f>BalSheet!F20</f>
        <v>48877.516000000003</v>
      </c>
      <c r="G22" s="96">
        <f>BalSheet!G20</f>
        <v>47948.843195999994</v>
      </c>
      <c r="H22" s="96">
        <f>BalSheet!H20</f>
        <v>46989.866332079997</v>
      </c>
      <c r="I22" s="96">
        <f>BalSheet!I20</f>
        <v>46050.069005438396</v>
      </c>
      <c r="J22" s="96">
        <f>BalSheet!J20</f>
        <v>45129.067625329633</v>
      </c>
      <c r="K22" s="96"/>
      <c r="L22" s="96"/>
    </row>
    <row r="23" spans="1:12" x14ac:dyDescent="0.25">
      <c r="B23" s="4" t="s">
        <v>164</v>
      </c>
      <c r="C23" s="96"/>
      <c r="D23" s="96"/>
      <c r="E23" s="97">
        <f>BalSheet!E31</f>
        <v>229408</v>
      </c>
      <c r="F23" s="96">
        <f>BalSheet!F31</f>
        <v>230784.448</v>
      </c>
      <c r="G23" s="96">
        <f>BalSheet!G31</f>
        <v>226399.543488</v>
      </c>
      <c r="H23" s="96">
        <f>BalSheet!H31</f>
        <v>221871.55261824001</v>
      </c>
      <c r="I23" s="96">
        <f>BalSheet!I31</f>
        <v>217434.12156587519</v>
      </c>
      <c r="J23" s="96">
        <f>BalSheet!J31</f>
        <v>213085.43913455767</v>
      </c>
      <c r="K23" s="96"/>
      <c r="L23" s="96"/>
    </row>
    <row r="24" spans="1:12" x14ac:dyDescent="0.25">
      <c r="B24" s="4" t="s">
        <v>78</v>
      </c>
      <c r="C24" s="96"/>
      <c r="D24" s="96"/>
      <c r="E24" s="97">
        <f>BalSheet!E32</f>
        <v>48555</v>
      </c>
      <c r="F24" s="96">
        <f>BalSheet!F32</f>
        <v>48846.329999999994</v>
      </c>
      <c r="G24" s="96">
        <f>BalSheet!G32</f>
        <v>47918.249729999996</v>
      </c>
      <c r="H24" s="96">
        <f>BalSheet!H32</f>
        <v>46959.884735399995</v>
      </c>
      <c r="I24" s="96">
        <f>BalSheet!I32</f>
        <v>46020.687040691992</v>
      </c>
      <c r="J24" s="96">
        <f>BalSheet!J32</f>
        <v>45100.273299878158</v>
      </c>
      <c r="K24" s="96"/>
      <c r="L24" s="96"/>
    </row>
    <row r="25" spans="1:12" x14ac:dyDescent="0.25">
      <c r="A25" s="11" t="s">
        <v>126</v>
      </c>
      <c r="B25" s="17" t="s">
        <v>24</v>
      </c>
      <c r="C25" s="18"/>
      <c r="D25" s="18"/>
      <c r="E25" s="18">
        <f>SUM(E19:E22)-SUM(E23:E24)</f>
        <v>-64719.130000000005</v>
      </c>
      <c r="F25" s="18">
        <f>SUM(F19:F22)-SUM(F23:F24)</f>
        <v>-65107.444779999991</v>
      </c>
      <c r="G25" s="18">
        <f t="shared" ref="G25:J25" si="12">SUM(G19:G22)-SUM(G23:G24)</f>
        <v>-63870.403329179971</v>
      </c>
      <c r="H25" s="18">
        <f t="shared" si="12"/>
        <v>-62592.995262596407</v>
      </c>
      <c r="I25" s="18">
        <f t="shared" si="12"/>
        <v>-61341.135357344494</v>
      </c>
      <c r="J25" s="18">
        <f t="shared" si="12"/>
        <v>-60114.312650197593</v>
      </c>
      <c r="K25" s="275"/>
      <c r="L25" s="11"/>
    </row>
    <row r="26" spans="1:12" s="11" customFormat="1" x14ac:dyDescent="0.25">
      <c r="A26" s="24"/>
      <c r="B26" s="11" t="s">
        <v>152</v>
      </c>
      <c r="F26" s="11">
        <f>E25-F25</f>
        <v>388.31477999998606</v>
      </c>
      <c r="G26" s="11">
        <f t="shared" ref="G26:J26" si="13">F25-G25</f>
        <v>-1237.0414508200192</v>
      </c>
      <c r="H26" s="11">
        <f t="shared" si="13"/>
        <v>-1277.4080665835645</v>
      </c>
      <c r="I26" s="11">
        <f t="shared" si="13"/>
        <v>-1251.859905251913</v>
      </c>
      <c r="J26" s="11">
        <f t="shared" si="13"/>
        <v>-1226.8227071469009</v>
      </c>
      <c r="K26" s="275"/>
    </row>
    <row r="27" spans="1:12" x14ac:dyDescent="0.25">
      <c r="B27" s="64"/>
      <c r="C27" s="64"/>
      <c r="D27" s="64"/>
      <c r="E27" s="64"/>
      <c r="F27" s="64"/>
      <c r="G27" s="64"/>
      <c r="H27" s="82"/>
      <c r="I27" s="64"/>
      <c r="J27" s="6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  <row r="40" spans="8:10" x14ac:dyDescent="0.25">
      <c r="H40" s="6"/>
      <c r="I40" s="4"/>
      <c r="J40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3" sqref="F12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53" t="str">
        <f>CoName</f>
        <v>Papa John's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3" s="2" customFormat="1" x14ac:dyDescent="0.25">
      <c r="A2" s="16" t="s">
        <v>10</v>
      </c>
      <c r="B2" s="192"/>
      <c r="C2" s="261">
        <v>2022</v>
      </c>
      <c r="D2" s="261">
        <f>C2+1</f>
        <v>2023</v>
      </c>
      <c r="E2" s="261">
        <f t="shared" ref="E2:J2" si="0">D2+1</f>
        <v>2024</v>
      </c>
      <c r="F2" s="261">
        <f t="shared" si="0"/>
        <v>2025</v>
      </c>
      <c r="G2" s="261">
        <f t="shared" si="0"/>
        <v>2026</v>
      </c>
      <c r="H2" s="261">
        <f t="shared" si="0"/>
        <v>2027</v>
      </c>
      <c r="I2" s="261">
        <f t="shared" si="0"/>
        <v>2028</v>
      </c>
      <c r="J2" s="261">
        <f t="shared" si="0"/>
        <v>2029</v>
      </c>
      <c r="K2" s="201"/>
      <c r="L2" s="201"/>
    </row>
    <row r="3" spans="1:13" s="2" customFormat="1" x14ac:dyDescent="0.25">
      <c r="A3" s="85"/>
      <c r="B3" s="11"/>
      <c r="C3" s="193"/>
      <c r="D3" s="193"/>
      <c r="E3" s="193"/>
      <c r="F3" s="193"/>
      <c r="G3" s="193"/>
      <c r="H3" s="193"/>
      <c r="I3" s="193"/>
      <c r="J3" s="193"/>
      <c r="K3" s="201"/>
      <c r="L3" s="201"/>
    </row>
    <row r="4" spans="1:13" s="2" customFormat="1" x14ac:dyDescent="0.25">
      <c r="A4" s="11"/>
      <c r="B4" s="4" t="s">
        <v>25</v>
      </c>
      <c r="C4" s="29"/>
      <c r="D4" s="54"/>
      <c r="E4" s="58"/>
      <c r="F4" s="109">
        <f>Assumptions!F23</f>
        <v>4.8750000000000002E-2</v>
      </c>
      <c r="G4" s="109">
        <f>Assumptions!G23</f>
        <v>4.8750000000000002E-2</v>
      </c>
      <c r="H4" s="109">
        <f>Assumptions!H23</f>
        <v>4.8750000000000002E-2</v>
      </c>
      <c r="I4" s="109">
        <f>Assumptions!I23</f>
        <v>4.8750000000000002E-2</v>
      </c>
      <c r="J4" s="109">
        <f>Assumptions!J23</f>
        <v>4.8750000000000002E-2</v>
      </c>
      <c r="K4" s="28"/>
      <c r="L4" s="28"/>
    </row>
    <row r="5" spans="1:13" s="2" customFormat="1" x14ac:dyDescent="0.25">
      <c r="A5" s="11"/>
      <c r="B5" s="4" t="s">
        <v>26</v>
      </c>
      <c r="C5" s="29"/>
      <c r="D5" s="55"/>
      <c r="E5" s="59"/>
      <c r="F5" s="109">
        <f>Assumptions!F24</f>
        <v>3.875E-2</v>
      </c>
      <c r="G5" s="109">
        <f>Assumptions!G24</f>
        <v>3.875E-2</v>
      </c>
      <c r="H5" s="109">
        <f>Assumptions!H24</f>
        <v>3.875E-2</v>
      </c>
      <c r="I5" s="109">
        <f>Assumptions!I24</f>
        <v>3.875E-2</v>
      </c>
      <c r="J5" s="109">
        <f>Assumptions!J24</f>
        <v>3.875E-2</v>
      </c>
      <c r="K5" s="28"/>
      <c r="L5" s="28"/>
    </row>
    <row r="6" spans="1:13" s="2" customFormat="1" x14ac:dyDescent="0.25">
      <c r="A6" s="11"/>
      <c r="B6" s="4" t="s">
        <v>27</v>
      </c>
      <c r="C6" s="29"/>
      <c r="D6" s="54"/>
      <c r="E6" s="58"/>
      <c r="F6" s="109">
        <f>Assumptions!F25</f>
        <v>0.04</v>
      </c>
      <c r="G6" s="109">
        <f>Assumptions!G25</f>
        <v>0.04</v>
      </c>
      <c r="H6" s="109">
        <f>Assumptions!H25</f>
        <v>0.04</v>
      </c>
      <c r="I6" s="109">
        <f>Assumptions!I25</f>
        <v>0.04</v>
      </c>
      <c r="J6" s="109">
        <f>Assumptions!J25</f>
        <v>0.04</v>
      </c>
      <c r="K6" s="28"/>
      <c r="L6" s="28"/>
    </row>
    <row r="7" spans="1:13" s="2" customFormat="1" x14ac:dyDescent="0.25">
      <c r="A7" s="11"/>
      <c r="B7" s="4"/>
      <c r="C7" s="29"/>
      <c r="D7" s="29"/>
      <c r="E7" s="29"/>
      <c r="F7" s="107"/>
      <c r="G7" s="107"/>
      <c r="H7" s="107"/>
      <c r="I7" s="108"/>
      <c r="J7" s="108"/>
      <c r="K7" s="202"/>
      <c r="L7" s="202"/>
    </row>
    <row r="8" spans="1:13" s="2" customFormat="1" x14ac:dyDescent="0.25">
      <c r="A8" s="11"/>
      <c r="B8" s="4" t="s">
        <v>28</v>
      </c>
      <c r="C8" s="29"/>
      <c r="D8" s="56"/>
      <c r="E8" s="60"/>
      <c r="F8" s="110">
        <f>Assumptions!F27</f>
        <v>0</v>
      </c>
      <c r="G8" s="110">
        <f>Assumptions!G27</f>
        <v>0</v>
      </c>
      <c r="H8" s="110">
        <f>Assumptions!H27</f>
        <v>0</v>
      </c>
      <c r="I8" s="110">
        <f>Assumptions!I27</f>
        <v>0</v>
      </c>
      <c r="J8" s="110">
        <f>Assumptions!J27</f>
        <v>0</v>
      </c>
      <c r="K8" s="203"/>
      <c r="L8" s="203"/>
    </row>
    <row r="9" spans="1:13" s="2" customFormat="1" x14ac:dyDescent="0.25">
      <c r="A9" s="11"/>
      <c r="B9" s="4" t="s">
        <v>29</v>
      </c>
      <c r="C9" s="29"/>
      <c r="D9" s="56"/>
      <c r="E9" s="60"/>
      <c r="F9" s="110">
        <f>Assumptions!F28</f>
        <v>0</v>
      </c>
      <c r="G9" s="110">
        <f>Assumptions!G28</f>
        <v>0</v>
      </c>
      <c r="H9" s="110">
        <f>Assumptions!H28</f>
        <v>0</v>
      </c>
      <c r="I9" s="110">
        <f>Assumptions!I28</f>
        <v>0</v>
      </c>
      <c r="J9" s="110">
        <f>Assumptions!J28</f>
        <v>0</v>
      </c>
      <c r="K9" s="203"/>
      <c r="L9" s="203"/>
    </row>
    <row r="10" spans="1:13" s="2" customFormat="1" ht="18.75" x14ac:dyDescent="0.3">
      <c r="A10" s="32"/>
      <c r="B10" s="3"/>
      <c r="C10" s="52"/>
      <c r="D10" s="52"/>
      <c r="E10" s="52"/>
      <c r="F10" s="106"/>
      <c r="G10" s="106"/>
      <c r="H10" s="106"/>
      <c r="I10" s="106"/>
      <c r="J10" s="106"/>
      <c r="K10" s="52"/>
      <c r="L10" s="52"/>
    </row>
    <row r="11" spans="1:13" x14ac:dyDescent="0.25">
      <c r="A11" s="20" t="s">
        <v>30</v>
      </c>
      <c r="B11" s="53"/>
      <c r="C11" s="252">
        <f>C2</f>
        <v>2022</v>
      </c>
      <c r="D11" s="252">
        <f t="shared" ref="D11:J11" si="1">D2</f>
        <v>2023</v>
      </c>
      <c r="E11" s="252">
        <f t="shared" si="1"/>
        <v>2024</v>
      </c>
      <c r="F11" s="252">
        <f t="shared" si="1"/>
        <v>2025</v>
      </c>
      <c r="G11" s="252">
        <f t="shared" si="1"/>
        <v>2026</v>
      </c>
      <c r="H11" s="252">
        <f t="shared" si="1"/>
        <v>2027</v>
      </c>
      <c r="I11" s="252">
        <f t="shared" si="1"/>
        <v>2028</v>
      </c>
      <c r="J11" s="252">
        <f t="shared" si="1"/>
        <v>2029</v>
      </c>
      <c r="K11" s="204"/>
      <c r="L11" s="204"/>
      <c r="M11" s="46"/>
    </row>
    <row r="12" spans="1:13" x14ac:dyDescent="0.25">
      <c r="B12" s="4" t="s">
        <v>31</v>
      </c>
      <c r="E12" s="27"/>
      <c r="F12" s="4">
        <f>BalSheet!F30</f>
        <v>0</v>
      </c>
      <c r="G12" s="4">
        <f>BalSheet!G30</f>
        <v>0</v>
      </c>
      <c r="H12" s="4">
        <f>BalSheet!H30</f>
        <v>0</v>
      </c>
      <c r="I12" s="4">
        <f>BalSheet!I30</f>
        <v>0</v>
      </c>
      <c r="J12" s="4">
        <f>BalSheet!J30</f>
        <v>0</v>
      </c>
      <c r="M12" s="46"/>
    </row>
    <row r="13" spans="1:13" s="188" customFormat="1" x14ac:dyDescent="0.25">
      <c r="A13" s="280"/>
      <c r="B13" s="188" t="s">
        <v>32</v>
      </c>
      <c r="E13" s="281"/>
      <c r="F13" s="188">
        <f>F4</f>
        <v>4.8750000000000002E-2</v>
      </c>
      <c r="G13" s="188">
        <f t="shared" ref="G13:J13" si="2">G4</f>
        <v>4.8750000000000002E-2</v>
      </c>
      <c r="H13" s="188">
        <f t="shared" si="2"/>
        <v>4.8750000000000002E-2</v>
      </c>
      <c r="I13" s="188">
        <f t="shared" si="2"/>
        <v>4.8750000000000002E-2</v>
      </c>
      <c r="J13" s="188">
        <f t="shared" si="2"/>
        <v>4.8750000000000002E-2</v>
      </c>
    </row>
    <row r="14" spans="1:13" x14ac:dyDescent="0.25">
      <c r="B14" s="4" t="s">
        <v>33</v>
      </c>
      <c r="E14" s="27"/>
      <c r="F14" s="4">
        <f>F12*-F13</f>
        <v>0</v>
      </c>
      <c r="G14" s="4">
        <f t="shared" ref="G14:J14" si="3">G12*-G13</f>
        <v>0</v>
      </c>
      <c r="H14" s="4">
        <f t="shared" si="3"/>
        <v>0</v>
      </c>
      <c r="I14" s="4">
        <f t="shared" si="3"/>
        <v>0</v>
      </c>
      <c r="J14" s="4">
        <f t="shared" si="3"/>
        <v>0</v>
      </c>
      <c r="M14" s="46"/>
    </row>
    <row r="15" spans="1:13" x14ac:dyDescent="0.25">
      <c r="E15" s="27"/>
      <c r="I15" s="4"/>
      <c r="J15" s="4"/>
      <c r="M15" s="46"/>
    </row>
    <row r="16" spans="1:13" x14ac:dyDescent="0.25">
      <c r="A16" s="260" t="s">
        <v>34</v>
      </c>
      <c r="B16" s="19"/>
      <c r="C16" s="252">
        <f t="shared" ref="C16:J16" si="4">C11</f>
        <v>2022</v>
      </c>
      <c r="D16" s="252">
        <f t="shared" si="4"/>
        <v>2023</v>
      </c>
      <c r="E16" s="252">
        <f t="shared" si="4"/>
        <v>2024</v>
      </c>
      <c r="F16" s="252">
        <f t="shared" si="4"/>
        <v>2025</v>
      </c>
      <c r="G16" s="252">
        <f t="shared" ref="G16:J16" si="5">G11</f>
        <v>2026</v>
      </c>
      <c r="H16" s="252">
        <f t="shared" si="5"/>
        <v>2027</v>
      </c>
      <c r="I16" s="252">
        <f t="shared" si="5"/>
        <v>2028</v>
      </c>
      <c r="J16" s="252">
        <f t="shared" si="5"/>
        <v>2029</v>
      </c>
      <c r="K16" s="201"/>
      <c r="L16" s="201"/>
      <c r="M16" s="46"/>
    </row>
    <row r="17" spans="1:13" x14ac:dyDescent="0.25">
      <c r="B17" s="4" t="s">
        <v>19</v>
      </c>
      <c r="E17" s="27"/>
      <c r="F17" s="4">
        <f>E20</f>
        <v>741650</v>
      </c>
      <c r="G17" s="4">
        <f t="shared" ref="G17:J17" si="6">F20</f>
        <v>741650</v>
      </c>
      <c r="H17" s="4">
        <f t="shared" si="6"/>
        <v>741650</v>
      </c>
      <c r="I17" s="4">
        <f t="shared" si="6"/>
        <v>741650</v>
      </c>
      <c r="J17" s="4">
        <f t="shared" si="6"/>
        <v>741650</v>
      </c>
      <c r="M17" s="46"/>
    </row>
    <row r="18" spans="1:13" x14ac:dyDescent="0.25">
      <c r="B18" s="4" t="s">
        <v>35</v>
      </c>
      <c r="E18" s="27"/>
      <c r="F18" s="4">
        <f>F8</f>
        <v>0</v>
      </c>
      <c r="G18" s="4">
        <f t="shared" ref="G18:J18" si="7">G8</f>
        <v>0</v>
      </c>
      <c r="H18" s="4">
        <f t="shared" si="7"/>
        <v>0</v>
      </c>
      <c r="I18" s="4">
        <f t="shared" si="7"/>
        <v>0</v>
      </c>
      <c r="J18" s="4">
        <f t="shared" si="7"/>
        <v>0</v>
      </c>
      <c r="M18" s="46"/>
    </row>
    <row r="19" spans="1:13" x14ac:dyDescent="0.25">
      <c r="B19" s="4" t="s">
        <v>36</v>
      </c>
      <c r="E19" s="27"/>
      <c r="F19" s="4">
        <f>F9</f>
        <v>0</v>
      </c>
      <c r="G19" s="4">
        <f t="shared" ref="G19:J19" si="8">G9</f>
        <v>0</v>
      </c>
      <c r="H19" s="4">
        <f t="shared" si="8"/>
        <v>0</v>
      </c>
      <c r="I19" s="4">
        <f t="shared" si="8"/>
        <v>0</v>
      </c>
      <c r="J19" s="4">
        <f t="shared" si="8"/>
        <v>0</v>
      </c>
    </row>
    <row r="20" spans="1:13" x14ac:dyDescent="0.25">
      <c r="B20" s="4" t="s">
        <v>23</v>
      </c>
      <c r="C20" s="10"/>
      <c r="E20" s="27">
        <f>BalSheet!E35</f>
        <v>741650</v>
      </c>
      <c r="F20" s="4">
        <f>SUM(F17:F19)</f>
        <v>741650</v>
      </c>
      <c r="G20" s="4">
        <f t="shared" ref="G20:J20" si="9">SUM(G17:G19)</f>
        <v>741650</v>
      </c>
      <c r="H20" s="4">
        <f t="shared" si="9"/>
        <v>741650</v>
      </c>
      <c r="I20" s="4">
        <f t="shared" si="9"/>
        <v>741650</v>
      </c>
      <c r="J20" s="4">
        <f t="shared" si="9"/>
        <v>741650</v>
      </c>
    </row>
    <row r="21" spans="1:13" x14ac:dyDescent="0.25">
      <c r="B21" s="4" t="s">
        <v>32</v>
      </c>
      <c r="D21" s="47"/>
      <c r="E21" s="27"/>
      <c r="F21" s="8">
        <f>F5</f>
        <v>3.875E-2</v>
      </c>
      <c r="G21" s="8">
        <f t="shared" ref="G21:J21" si="10">G5</f>
        <v>3.875E-2</v>
      </c>
      <c r="H21" s="8">
        <f t="shared" si="10"/>
        <v>3.875E-2</v>
      </c>
      <c r="I21" s="8">
        <f t="shared" si="10"/>
        <v>3.875E-2</v>
      </c>
      <c r="J21" s="8">
        <f t="shared" si="10"/>
        <v>3.875E-2</v>
      </c>
    </row>
    <row r="22" spans="1:13" x14ac:dyDescent="0.25">
      <c r="B22" s="4" t="s">
        <v>33</v>
      </c>
      <c r="E22" s="27"/>
      <c r="F22" s="4">
        <f>F20*-F21</f>
        <v>-28738.9375</v>
      </c>
      <c r="G22" s="4">
        <f t="shared" ref="G22:J22" si="11">G20*-G21</f>
        <v>-28738.9375</v>
      </c>
      <c r="H22" s="4">
        <f t="shared" si="11"/>
        <v>-28738.9375</v>
      </c>
      <c r="I22" s="4">
        <f t="shared" si="11"/>
        <v>-28738.9375</v>
      </c>
      <c r="J22" s="4">
        <f t="shared" si="11"/>
        <v>-28738.9375</v>
      </c>
    </row>
    <row r="23" spans="1:13" x14ac:dyDescent="0.25">
      <c r="E23" s="27"/>
      <c r="I23" s="4"/>
      <c r="J23" s="4"/>
    </row>
    <row r="24" spans="1:13" x14ac:dyDescent="0.25">
      <c r="A24" s="20" t="s">
        <v>37</v>
      </c>
      <c r="B24" s="41"/>
      <c r="C24" s="252">
        <f>C16</f>
        <v>2022</v>
      </c>
      <c r="D24" s="252">
        <f t="shared" ref="D24:J24" si="12">D16</f>
        <v>2023</v>
      </c>
      <c r="E24" s="252">
        <f t="shared" si="12"/>
        <v>2024</v>
      </c>
      <c r="F24" s="252">
        <f t="shared" si="12"/>
        <v>2025</v>
      </c>
      <c r="G24" s="252">
        <f t="shared" ref="G24:J24" si="13">G16</f>
        <v>2026</v>
      </c>
      <c r="H24" s="252">
        <f t="shared" si="13"/>
        <v>2027</v>
      </c>
      <c r="I24" s="252">
        <f t="shared" si="13"/>
        <v>2028</v>
      </c>
      <c r="J24" s="252">
        <f t="shared" si="13"/>
        <v>2029</v>
      </c>
      <c r="K24" s="201"/>
      <c r="L24" s="201"/>
    </row>
    <row r="25" spans="1:13" x14ac:dyDescent="0.25">
      <c r="A25" s="7"/>
      <c r="B25" s="4" t="s">
        <v>30</v>
      </c>
      <c r="E25" s="27"/>
      <c r="F25" s="4">
        <f>F12</f>
        <v>0</v>
      </c>
      <c r="G25" s="4">
        <f t="shared" ref="G25:J25" si="14">G12</f>
        <v>0</v>
      </c>
      <c r="H25" s="4">
        <f t="shared" si="14"/>
        <v>0</v>
      </c>
      <c r="I25" s="4">
        <f t="shared" si="14"/>
        <v>0</v>
      </c>
      <c r="J25" s="4">
        <f t="shared" si="14"/>
        <v>0</v>
      </c>
    </row>
    <row r="26" spans="1:13" x14ac:dyDescent="0.25">
      <c r="A26" s="7"/>
      <c r="B26" s="4" t="s">
        <v>38</v>
      </c>
      <c r="E26" s="27"/>
      <c r="F26" s="4">
        <f>F20</f>
        <v>741650</v>
      </c>
      <c r="G26" s="4">
        <f t="shared" ref="G26:J26" si="15">G20</f>
        <v>741650</v>
      </c>
      <c r="H26" s="4">
        <f t="shared" si="15"/>
        <v>741650</v>
      </c>
      <c r="I26" s="4">
        <f t="shared" si="15"/>
        <v>741650</v>
      </c>
      <c r="J26" s="4">
        <f t="shared" si="15"/>
        <v>741650</v>
      </c>
    </row>
    <row r="27" spans="1:13" x14ac:dyDescent="0.25">
      <c r="A27" s="7"/>
      <c r="B27" s="11" t="s">
        <v>39</v>
      </c>
      <c r="D27" s="11"/>
      <c r="E27" s="24"/>
      <c r="F27" s="11">
        <f>SUM(F25:F26)</f>
        <v>741650</v>
      </c>
      <c r="G27" s="11">
        <f t="shared" ref="G27:J27" si="16">SUM(G25:G26)</f>
        <v>741650</v>
      </c>
      <c r="H27" s="11">
        <f t="shared" si="16"/>
        <v>741650</v>
      </c>
      <c r="I27" s="11">
        <f t="shared" si="16"/>
        <v>741650</v>
      </c>
      <c r="J27" s="11">
        <f t="shared" si="16"/>
        <v>741650</v>
      </c>
      <c r="K27" s="11"/>
      <c r="L27" s="11"/>
    </row>
    <row r="28" spans="1:13" x14ac:dyDescent="0.25">
      <c r="A28" s="7"/>
      <c r="B28" s="4" t="s">
        <v>40</v>
      </c>
      <c r="E28" s="27"/>
      <c r="F28" s="4">
        <f>SUM(F22,F14)</f>
        <v>-28738.9375</v>
      </c>
      <c r="G28" s="4">
        <f t="shared" ref="G28:J28" si="17">SUM(G22,G14)</f>
        <v>-28738.9375</v>
      </c>
      <c r="H28" s="4">
        <f t="shared" si="17"/>
        <v>-28738.9375</v>
      </c>
      <c r="I28" s="4">
        <f t="shared" si="17"/>
        <v>-28738.9375</v>
      </c>
      <c r="J28" s="4">
        <f t="shared" si="17"/>
        <v>-28738.9375</v>
      </c>
    </row>
    <row r="29" spans="1:13" x14ac:dyDescent="0.25">
      <c r="A29" s="7"/>
      <c r="E29" s="27"/>
      <c r="I29" s="4"/>
      <c r="J29" s="4"/>
    </row>
    <row r="30" spans="1:13" x14ac:dyDescent="0.25">
      <c r="A30" s="20" t="s">
        <v>41</v>
      </c>
      <c r="B30" s="41"/>
      <c r="C30" s="252">
        <f>C11</f>
        <v>2022</v>
      </c>
      <c r="D30" s="252">
        <f t="shared" ref="D30:J30" si="18">D11</f>
        <v>2023</v>
      </c>
      <c r="E30" s="252">
        <f t="shared" si="18"/>
        <v>2024</v>
      </c>
      <c r="F30" s="252">
        <f t="shared" si="18"/>
        <v>2025</v>
      </c>
      <c r="G30" s="252">
        <f t="shared" ref="G30:J30" si="19">G11</f>
        <v>2026</v>
      </c>
      <c r="H30" s="252">
        <f t="shared" si="19"/>
        <v>2027</v>
      </c>
      <c r="I30" s="252">
        <f t="shared" si="19"/>
        <v>2028</v>
      </c>
      <c r="J30" s="252">
        <f t="shared" si="19"/>
        <v>2029</v>
      </c>
      <c r="K30" s="201"/>
      <c r="L30" s="201"/>
    </row>
    <row r="31" spans="1:13" x14ac:dyDescent="0.25">
      <c r="A31" s="7"/>
      <c r="B31" s="4" t="s">
        <v>170</v>
      </c>
      <c r="E31" s="27"/>
      <c r="F31" s="4">
        <f>BalSheet!F17</f>
        <v>67159.550478580641</v>
      </c>
      <c r="G31" s="4">
        <f>BalSheet!G17</f>
        <v>103452.39755911284</v>
      </c>
      <c r="H31" s="4">
        <f>BalSheet!H17</f>
        <v>128849.65891849165</v>
      </c>
      <c r="I31" s="4">
        <f>BalSheet!I17</f>
        <v>139542.10380351369</v>
      </c>
      <c r="J31" s="4">
        <f>BalSheet!J17</f>
        <v>129938.52148768457</v>
      </c>
    </row>
    <row r="32" spans="1:13" x14ac:dyDescent="0.25">
      <c r="B32" s="4" t="s">
        <v>32</v>
      </c>
      <c r="D32" s="47"/>
      <c r="E32" s="23"/>
      <c r="F32" s="5">
        <f>F6</f>
        <v>0.04</v>
      </c>
      <c r="G32" s="5">
        <f t="shared" ref="G32:J32" si="20">G6</f>
        <v>0.04</v>
      </c>
      <c r="H32" s="5">
        <f t="shared" si="20"/>
        <v>0.04</v>
      </c>
      <c r="I32" s="5">
        <f t="shared" si="20"/>
        <v>0.04</v>
      </c>
      <c r="J32" s="5">
        <f t="shared" si="20"/>
        <v>0.04</v>
      </c>
      <c r="K32" s="169"/>
      <c r="L32" s="169"/>
    </row>
    <row r="33" spans="2:10" x14ac:dyDescent="0.25">
      <c r="B33" s="4" t="s">
        <v>41</v>
      </c>
      <c r="E33" s="27"/>
      <c r="F33" s="4">
        <f>F31*F32</f>
        <v>2686.3820191432255</v>
      </c>
      <c r="G33" s="4">
        <f t="shared" ref="G33:J33" si="21">G31*G32</f>
        <v>4138.0959023645137</v>
      </c>
      <c r="H33" s="4">
        <f t="shared" si="21"/>
        <v>5153.986356739666</v>
      </c>
      <c r="I33" s="4">
        <f t="shared" si="21"/>
        <v>5581.6841521405477</v>
      </c>
      <c r="J33" s="4">
        <f t="shared" si="21"/>
        <v>5197.5408595073832</v>
      </c>
    </row>
    <row r="34" spans="2:10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3"/>
  <sheetViews>
    <sheetView showGridLines="0" zoomScaleNormal="100" workbookViewId="0">
      <selection activeCell="F41" sqref="F16:J4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53" t="str">
        <f>CoName</f>
        <v>Papa John's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x14ac:dyDescent="0.25">
      <c r="A2" s="16" t="s">
        <v>10</v>
      </c>
      <c r="B2" s="15"/>
      <c r="C2" s="262">
        <v>2022</v>
      </c>
      <c r="D2" s="262">
        <f>C2+1</f>
        <v>2023</v>
      </c>
      <c r="E2" s="262">
        <f t="shared" ref="E2:J2" si="0">D2+1</f>
        <v>2024</v>
      </c>
      <c r="F2" s="262">
        <f t="shared" si="0"/>
        <v>2025</v>
      </c>
      <c r="G2" s="262">
        <f t="shared" si="0"/>
        <v>2026</v>
      </c>
      <c r="H2" s="262">
        <f t="shared" si="0"/>
        <v>2027</v>
      </c>
      <c r="I2" s="262">
        <f t="shared" si="0"/>
        <v>2028</v>
      </c>
      <c r="J2" s="262">
        <f t="shared" si="0"/>
        <v>2029</v>
      </c>
    </row>
    <row r="3" spans="1:12" x14ac:dyDescent="0.25">
      <c r="A3" s="85"/>
      <c r="C3" s="98"/>
      <c r="D3" s="98"/>
      <c r="E3" s="98"/>
    </row>
    <row r="4" spans="1:12" x14ac:dyDescent="0.25">
      <c r="B4" s="29" t="s">
        <v>43</v>
      </c>
      <c r="C4" s="30"/>
      <c r="D4" s="30"/>
      <c r="E4" s="31"/>
      <c r="F4" s="173">
        <f>Assumptions!F10</f>
        <v>6.0000000000000001E-3</v>
      </c>
      <c r="G4" s="173">
        <f>Assumptions!G10</f>
        <v>-1.9E-2</v>
      </c>
      <c r="H4" s="173">
        <f>Assumptions!H10</f>
        <v>-0.02</v>
      </c>
      <c r="I4" s="173">
        <f>Assumptions!I10</f>
        <v>-0.02</v>
      </c>
      <c r="J4" s="173">
        <f>Assumptions!J10</f>
        <v>-0.02</v>
      </c>
      <c r="K4" s="206"/>
      <c r="L4" s="206"/>
    </row>
    <row r="5" spans="1:12" x14ac:dyDescent="0.25">
      <c r="B5" s="29" t="s">
        <v>44</v>
      </c>
      <c r="C5" s="30"/>
      <c r="D5" s="30"/>
      <c r="E5" s="30"/>
      <c r="F5" s="173">
        <f>Assumptions!F11</f>
        <v>0.71789615065065482</v>
      </c>
      <c r="G5" s="173">
        <f>Assumptions!G11</f>
        <v>0.71789615065065482</v>
      </c>
      <c r="H5" s="173">
        <f>Assumptions!H11</f>
        <v>0.71789615065065482</v>
      </c>
      <c r="I5" s="173">
        <f>Assumptions!I11</f>
        <v>0.71789615065065482</v>
      </c>
      <c r="J5" s="173">
        <f>Assumptions!J11</f>
        <v>0.71789615065065482</v>
      </c>
      <c r="K5" s="206"/>
      <c r="L5" s="206"/>
    </row>
    <row r="6" spans="1:12" x14ac:dyDescent="0.25">
      <c r="B6" s="29" t="s">
        <v>45</v>
      </c>
      <c r="C6" s="30"/>
      <c r="D6" s="30"/>
      <c r="E6" s="30"/>
      <c r="F6" s="173">
        <f>Assumptions!F12</f>
        <v>0.20601130336357373</v>
      </c>
      <c r="G6" s="173">
        <f>Assumptions!G12</f>
        <v>0.20601130336357373</v>
      </c>
      <c r="H6" s="173">
        <f>Assumptions!H12</f>
        <v>0.20601130336357373</v>
      </c>
      <c r="I6" s="173">
        <f>Assumptions!I12</f>
        <v>0.20601130336357373</v>
      </c>
      <c r="J6" s="173">
        <f>Assumptions!J12</f>
        <v>0.20601130336357373</v>
      </c>
      <c r="K6" s="206"/>
      <c r="L6" s="206"/>
    </row>
    <row r="7" spans="1:12" x14ac:dyDescent="0.25">
      <c r="A7" s="85"/>
      <c r="B7" s="4" t="s">
        <v>46</v>
      </c>
      <c r="C7" s="29"/>
      <c r="D7" s="29"/>
      <c r="E7" s="29"/>
      <c r="F7" s="174">
        <f>Assumptions!F13</f>
        <v>0</v>
      </c>
      <c r="G7" s="174">
        <f>Assumptions!G13</f>
        <v>0</v>
      </c>
      <c r="H7" s="174">
        <f>Assumptions!H13</f>
        <v>0</v>
      </c>
      <c r="I7" s="174">
        <f>Assumptions!I13</f>
        <v>0</v>
      </c>
      <c r="J7" s="174">
        <f>Assumptions!J13</f>
        <v>0</v>
      </c>
      <c r="K7" s="207"/>
      <c r="L7" s="207"/>
    </row>
    <row r="8" spans="1:12" x14ac:dyDescent="0.25">
      <c r="A8" s="85"/>
      <c r="B8" s="4" t="s">
        <v>47</v>
      </c>
      <c r="C8" s="29"/>
      <c r="D8" s="29"/>
      <c r="E8" s="29"/>
      <c r="F8" s="175">
        <f>Assumptions!F14</f>
        <v>0</v>
      </c>
      <c r="G8" s="175">
        <f>Assumptions!G14</f>
        <v>0</v>
      </c>
      <c r="H8" s="175">
        <f>Assumptions!H14</f>
        <v>0</v>
      </c>
      <c r="I8" s="175">
        <f>Assumptions!I14</f>
        <v>0</v>
      </c>
      <c r="J8" s="175">
        <f>Assumptions!J14</f>
        <v>0</v>
      </c>
      <c r="K8" s="208"/>
      <c r="L8" s="208"/>
    </row>
    <row r="9" spans="1:12" x14ac:dyDescent="0.25">
      <c r="B9" s="4" t="s">
        <v>147</v>
      </c>
      <c r="F9" s="175">
        <f>Assumptions!F15</f>
        <v>0</v>
      </c>
      <c r="G9" s="175">
        <f>Assumptions!G15</f>
        <v>0</v>
      </c>
      <c r="H9" s="175">
        <f>Assumptions!H15</f>
        <v>0</v>
      </c>
      <c r="I9" s="175">
        <f>Assumptions!I15</f>
        <v>0</v>
      </c>
      <c r="J9" s="175">
        <f>Assumptions!J15</f>
        <v>0</v>
      </c>
      <c r="K9" s="208"/>
      <c r="L9" s="208"/>
    </row>
    <row r="10" spans="1:12" x14ac:dyDescent="0.25">
      <c r="B10" s="29" t="s">
        <v>48</v>
      </c>
      <c r="C10" s="42"/>
      <c r="D10" s="42"/>
      <c r="E10" s="42"/>
      <c r="F10" s="173">
        <f>Assumptions!F16</f>
        <v>0.21</v>
      </c>
      <c r="G10" s="173">
        <f>Assumptions!G16</f>
        <v>0.21</v>
      </c>
      <c r="H10" s="173">
        <f>Assumptions!H16</f>
        <v>0.21</v>
      </c>
      <c r="I10" s="173">
        <f>Assumptions!I16</f>
        <v>0.21</v>
      </c>
      <c r="J10" s="173">
        <f>Assumptions!J16</f>
        <v>0.21</v>
      </c>
      <c r="K10" s="206"/>
      <c r="L10" s="206"/>
    </row>
    <row r="11" spans="1:12" s="264" customFormat="1" x14ac:dyDescent="0.25">
      <c r="A11" s="267"/>
      <c r="B11" s="264" t="s">
        <v>141</v>
      </c>
      <c r="E11" s="268"/>
      <c r="F11" s="269">
        <f>Assumptions!F17</f>
        <v>2.0430815571464871</v>
      </c>
      <c r="G11" s="269">
        <f>Assumptions!G17</f>
        <v>2.2731888209574747</v>
      </c>
      <c r="H11" s="269">
        <f>Assumptions!H17</f>
        <v>2.5993394155316989</v>
      </c>
      <c r="I11" s="269">
        <f>Assumptions!I17</f>
        <v>3.0405436420114169</v>
      </c>
      <c r="J11" s="269">
        <f>Assumptions!J17</f>
        <v>3.6448231657782468</v>
      </c>
      <c r="K11" s="270"/>
      <c r="L11" s="270"/>
    </row>
    <row r="12" spans="1:12" x14ac:dyDescent="0.25">
      <c r="B12" s="4" t="s">
        <v>49</v>
      </c>
      <c r="C12" s="29"/>
      <c r="D12" s="29"/>
      <c r="E12" s="38"/>
      <c r="F12" s="175">
        <f>Assumptions!F18</f>
        <v>32717</v>
      </c>
      <c r="G12" s="175">
        <f>Assumptions!G18</f>
        <v>32717</v>
      </c>
      <c r="H12" s="175">
        <f>Assumptions!H18</f>
        <v>32717</v>
      </c>
      <c r="I12" s="175">
        <f>Assumptions!I18</f>
        <v>32717</v>
      </c>
      <c r="J12" s="175">
        <f>Assumptions!J18</f>
        <v>32717</v>
      </c>
      <c r="K12" s="208"/>
      <c r="L12" s="208"/>
    </row>
    <row r="13" spans="1:12" x14ac:dyDescent="0.25">
      <c r="B13" s="4" t="s">
        <v>50</v>
      </c>
      <c r="C13" s="29"/>
      <c r="D13" s="29"/>
      <c r="E13" s="38"/>
      <c r="F13" s="175">
        <f>Assumptions!F19</f>
        <v>32819</v>
      </c>
      <c r="G13" s="175">
        <f>Assumptions!G19</f>
        <v>32819</v>
      </c>
      <c r="H13" s="175">
        <f>Assumptions!H19</f>
        <v>32819</v>
      </c>
      <c r="I13" s="175">
        <f>Assumptions!I19</f>
        <v>32819</v>
      </c>
      <c r="J13" s="175">
        <f>Assumptions!J19</f>
        <v>32819</v>
      </c>
      <c r="K13" s="208"/>
      <c r="L13" s="208"/>
    </row>
    <row r="14" spans="1:1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85" customHeight="1" x14ac:dyDescent="0.25">
      <c r="A15" s="176" t="s">
        <v>42</v>
      </c>
      <c r="B15" s="177"/>
      <c r="C15" s="252">
        <f>C2</f>
        <v>2022</v>
      </c>
      <c r="D15" s="252">
        <f>D2</f>
        <v>2023</v>
      </c>
      <c r="E15" s="252">
        <f>E2</f>
        <v>2024</v>
      </c>
      <c r="F15" s="252">
        <f>F2</f>
        <v>2025</v>
      </c>
      <c r="G15" s="252">
        <f>G2</f>
        <v>2026</v>
      </c>
      <c r="H15" s="252">
        <f>H2</f>
        <v>2027</v>
      </c>
      <c r="I15" s="252">
        <f>I2</f>
        <v>2028</v>
      </c>
      <c r="J15" s="252">
        <f>J2</f>
        <v>2029</v>
      </c>
      <c r="K15" s="204"/>
      <c r="L15" s="204"/>
    </row>
    <row r="16" spans="1:12" x14ac:dyDescent="0.25">
      <c r="B16" s="4" t="s">
        <v>51</v>
      </c>
      <c r="C16" s="96">
        <v>2102103</v>
      </c>
      <c r="D16" s="122">
        <v>2135713</v>
      </c>
      <c r="E16" s="22">
        <v>2059387</v>
      </c>
      <c r="F16" s="4">
        <f>E16*(1+F4)</f>
        <v>2071743.3219999999</v>
      </c>
      <c r="G16" s="4">
        <f t="shared" ref="G16:J16" si="1">F16*(1+G4)</f>
        <v>2032380.1988819998</v>
      </c>
      <c r="H16" s="4">
        <f t="shared" si="1"/>
        <v>1991732.5949043599</v>
      </c>
      <c r="I16" s="4">
        <f t="shared" si="1"/>
        <v>1951897.9430062727</v>
      </c>
      <c r="J16" s="4">
        <f t="shared" si="1"/>
        <v>1912859.9841461473</v>
      </c>
    </row>
    <row r="17" spans="1:12" x14ac:dyDescent="0.25">
      <c r="B17" s="4" t="s">
        <v>159</v>
      </c>
      <c r="C17" s="122">
        <v>1557736</v>
      </c>
      <c r="D17" s="122">
        <v>1558438</v>
      </c>
      <c r="E17" s="22">
        <v>1478426</v>
      </c>
      <c r="F17" s="171">
        <f>F16*F5</f>
        <v>1487296.5560000001</v>
      </c>
      <c r="G17" s="171">
        <f t="shared" ref="G17:J17" si="2">G16*G5</f>
        <v>1459037.9214359999</v>
      </c>
      <c r="H17" s="171">
        <f t="shared" si="2"/>
        <v>1429857.1630072801</v>
      </c>
      <c r="I17" s="171">
        <f t="shared" si="2"/>
        <v>1401260.0197471343</v>
      </c>
      <c r="J17" s="171">
        <f t="shared" si="2"/>
        <v>1373234.8193521916</v>
      </c>
      <c r="K17" s="205"/>
      <c r="L17" s="205"/>
    </row>
    <row r="18" spans="1:12" x14ac:dyDescent="0.25">
      <c r="B18" s="4" t="s">
        <v>52</v>
      </c>
      <c r="C18" s="122">
        <f>215303+52303+155937</f>
        <v>423543</v>
      </c>
      <c r="D18" s="122">
        <f>64090+208083+157960</f>
        <v>430133</v>
      </c>
      <c r="E18" s="22">
        <f>190515+69407+164335</f>
        <v>424257</v>
      </c>
      <c r="F18" s="171">
        <f>F16*F6</f>
        <v>426802.54200000002</v>
      </c>
      <c r="G18" s="171">
        <f t="shared" ref="G18:J18" si="3">G16*G6</f>
        <v>418693.293702</v>
      </c>
      <c r="H18" s="171">
        <f t="shared" si="3"/>
        <v>410319.42782796</v>
      </c>
      <c r="I18" s="171">
        <f t="shared" si="3"/>
        <v>402113.03927140078</v>
      </c>
      <c r="J18" s="171">
        <f t="shared" si="3"/>
        <v>394070.77848597278</v>
      </c>
      <c r="K18" s="205"/>
      <c r="L18" s="205"/>
    </row>
    <row r="19" spans="1:12" s="11" customFormat="1" x14ac:dyDescent="0.25">
      <c r="A19" s="11" t="s">
        <v>126</v>
      </c>
      <c r="B19" s="17" t="s">
        <v>55</v>
      </c>
      <c r="C19" s="18">
        <f>C16-SUM(C17:C18)</f>
        <v>120824</v>
      </c>
      <c r="D19" s="18">
        <f>D16-SUM(D17:D18)</f>
        <v>147142</v>
      </c>
      <c r="E19" s="18">
        <f>E16-SUM(E17:E18)</f>
        <v>156704</v>
      </c>
      <c r="F19" s="18">
        <f>F16-SUM(F17:F18)</f>
        <v>157644.2239999997</v>
      </c>
      <c r="G19" s="18">
        <f t="shared" ref="G19:J19" si="4">G16-SUM(G17:G18)</f>
        <v>154648.98374399985</v>
      </c>
      <c r="H19" s="18">
        <f t="shared" si="4"/>
        <v>151556.00406911969</v>
      </c>
      <c r="I19" s="18">
        <f t="shared" si="4"/>
        <v>148524.88398773759</v>
      </c>
      <c r="J19" s="18">
        <f t="shared" si="4"/>
        <v>145554.38630798296</v>
      </c>
    </row>
    <row r="20" spans="1:12" s="11" customFormat="1" x14ac:dyDescent="0.25">
      <c r="E20" s="34"/>
    </row>
    <row r="21" spans="1:12" s="11" customFormat="1" x14ac:dyDescent="0.25">
      <c r="B21" s="4" t="s">
        <v>15</v>
      </c>
      <c r="C21" s="123">
        <v>52032</v>
      </c>
      <c r="D21" s="123">
        <v>64090</v>
      </c>
      <c r="E21" s="25">
        <v>60407</v>
      </c>
      <c r="F21" s="4">
        <f>Calcs!F8</f>
        <v>65553.654342218375</v>
      </c>
      <c r="G21" s="4">
        <f>Calcs!G8</f>
        <v>66820.730587662925</v>
      </c>
      <c r="H21" s="4">
        <f>Calcs!H8</f>
        <v>67725.142354937154</v>
      </c>
      <c r="I21" s="4">
        <f>Calcs!I8</f>
        <v>68309.498691564964</v>
      </c>
      <c r="J21" s="4">
        <f>Calcs!J8</f>
        <v>68620.892920376034</v>
      </c>
      <c r="K21" s="4"/>
      <c r="L21" s="4"/>
    </row>
    <row r="22" spans="1:12" s="11" customFormat="1" x14ac:dyDescent="0.25">
      <c r="B22" s="4" t="s">
        <v>54</v>
      </c>
      <c r="C22" s="96">
        <v>0</v>
      </c>
      <c r="D22" s="96">
        <v>0</v>
      </c>
      <c r="E22" s="124">
        <v>0</v>
      </c>
      <c r="F22" s="4">
        <f>F7</f>
        <v>0</v>
      </c>
      <c r="G22" s="4">
        <f t="shared" ref="G22:J22" si="5">G7</f>
        <v>0</v>
      </c>
      <c r="H22" s="4">
        <f t="shared" si="5"/>
        <v>0</v>
      </c>
      <c r="I22" s="4">
        <f t="shared" si="5"/>
        <v>0</v>
      </c>
      <c r="J22" s="4">
        <f t="shared" si="5"/>
        <v>0</v>
      </c>
      <c r="K22" s="4"/>
      <c r="L22" s="4"/>
    </row>
    <row r="23" spans="1:12" s="127" customFormat="1" x14ac:dyDescent="0.25">
      <c r="A23" s="127" t="s">
        <v>126</v>
      </c>
      <c r="B23" s="128" t="s">
        <v>53</v>
      </c>
      <c r="C23" s="129">
        <f>SUM(C19,C21:C22)</f>
        <v>172856</v>
      </c>
      <c r="D23" s="129">
        <f t="shared" ref="D23:E23" si="6">SUM(D19,D21:D22)</f>
        <v>211232</v>
      </c>
      <c r="E23" s="129">
        <f>SUM(E19,E21:E22)</f>
        <v>217111</v>
      </c>
      <c r="F23" s="129">
        <f>SUM(F19,F21:F22)</f>
        <v>223197.87834221806</v>
      </c>
      <c r="G23" s="129">
        <f t="shared" ref="G23:J23" si="7">SUM(G19,G21:G22)</f>
        <v>221469.71433166278</v>
      </c>
      <c r="H23" s="129">
        <f t="shared" si="7"/>
        <v>219281.14642405685</v>
      </c>
      <c r="I23" s="129">
        <f t="shared" si="7"/>
        <v>216834.38267930254</v>
      </c>
      <c r="J23" s="129">
        <f t="shared" si="7"/>
        <v>214175.279228359</v>
      </c>
    </row>
    <row r="24" spans="1:12" s="11" customFormat="1" x14ac:dyDescent="0.25">
      <c r="C24" s="13"/>
      <c r="D24" s="4"/>
      <c r="E24" s="35"/>
      <c r="F24" s="4"/>
      <c r="G24" s="4"/>
      <c r="H24" s="4"/>
      <c r="I24" s="4"/>
      <c r="J24" s="4"/>
      <c r="K24" s="13"/>
      <c r="L24" s="13"/>
    </row>
    <row r="25" spans="1:12" s="11" customFormat="1" x14ac:dyDescent="0.25">
      <c r="B25" s="4" t="s">
        <v>56</v>
      </c>
      <c r="C25" s="94">
        <v>-12065</v>
      </c>
      <c r="D25" s="94">
        <v>0</v>
      </c>
      <c r="E25" s="95">
        <v>0</v>
      </c>
      <c r="F25" s="4">
        <f>F8</f>
        <v>0</v>
      </c>
      <c r="G25" s="4">
        <f t="shared" ref="G25:J25" si="8">G8</f>
        <v>0</v>
      </c>
      <c r="H25" s="4">
        <f t="shared" si="8"/>
        <v>0</v>
      </c>
      <c r="I25" s="4">
        <f t="shared" si="8"/>
        <v>0</v>
      </c>
      <c r="J25" s="4">
        <f t="shared" si="8"/>
        <v>0</v>
      </c>
      <c r="K25" s="4"/>
      <c r="L25" s="4"/>
    </row>
    <row r="26" spans="1:12" s="11" customFormat="1" x14ac:dyDescent="0.25">
      <c r="B26" s="4" t="s">
        <v>57</v>
      </c>
      <c r="C26" s="94">
        <v>0</v>
      </c>
      <c r="D26" s="94">
        <v>0</v>
      </c>
      <c r="E26" s="95">
        <v>0</v>
      </c>
      <c r="F26" s="4">
        <f>F9</f>
        <v>0</v>
      </c>
      <c r="G26" s="4">
        <f t="shared" ref="G26:J26" si="9">G9</f>
        <v>0</v>
      </c>
      <c r="H26" s="4">
        <f t="shared" si="9"/>
        <v>0</v>
      </c>
      <c r="I26" s="4">
        <f t="shared" si="9"/>
        <v>0</v>
      </c>
      <c r="J26" s="4">
        <f t="shared" si="9"/>
        <v>0</v>
      </c>
      <c r="K26" s="4"/>
      <c r="L26" s="4"/>
    </row>
    <row r="27" spans="1:12" s="11" customFormat="1" x14ac:dyDescent="0.25">
      <c r="B27" s="4"/>
      <c r="C27" s="10"/>
      <c r="D27" s="10"/>
      <c r="E27" s="22"/>
      <c r="F27" s="4"/>
      <c r="G27" s="4"/>
      <c r="H27" s="4"/>
      <c r="I27" s="4"/>
      <c r="J27" s="4"/>
      <c r="K27" s="4"/>
      <c r="L27" s="4"/>
    </row>
    <row r="28" spans="1:12" s="11" customFormat="1" x14ac:dyDescent="0.25">
      <c r="B28" s="4" t="s">
        <v>41</v>
      </c>
      <c r="C28" s="9"/>
      <c r="D28" s="9"/>
      <c r="E28" s="44"/>
      <c r="F28" s="282">
        <f>IF(circ=1,Debt!F33,0)</f>
        <v>0</v>
      </c>
      <c r="G28" s="282">
        <f>IF(circ=1,Debt!G33,0)</f>
        <v>0</v>
      </c>
      <c r="H28" s="282">
        <f>IF(circ=1,Debt!H33,0)</f>
        <v>0</v>
      </c>
      <c r="I28" s="282">
        <f>IF(circ=1,Debt!I33,0)</f>
        <v>0</v>
      </c>
      <c r="J28" s="282">
        <f>IF(circ=1,Debt!J33,0)</f>
        <v>0</v>
      </c>
      <c r="K28" s="181"/>
      <c r="L28" s="181"/>
    </row>
    <row r="29" spans="1:12" x14ac:dyDescent="0.25">
      <c r="B29" s="4" t="s">
        <v>33</v>
      </c>
      <c r="C29" s="9">
        <v>-25261</v>
      </c>
      <c r="D29" s="9">
        <v>-43469</v>
      </c>
      <c r="E29" s="44">
        <v>-42578</v>
      </c>
      <c r="F29" s="282">
        <f>IF(circ=1,Debt!F28,0)</f>
        <v>0</v>
      </c>
      <c r="G29" s="282">
        <f>IF(circ=1,Debt!G28,0)</f>
        <v>0</v>
      </c>
      <c r="H29" s="282">
        <f>IF(circ=1,Debt!H28,0)</f>
        <v>0</v>
      </c>
      <c r="I29" s="282">
        <f>IF(circ=1,Debt!I28,0)</f>
        <v>0</v>
      </c>
      <c r="J29" s="282">
        <f>IF(circ=1,Debt!J28,0)</f>
        <v>0</v>
      </c>
      <c r="K29" s="181"/>
      <c r="L29" s="181"/>
    </row>
    <row r="30" spans="1:12" x14ac:dyDescent="0.25">
      <c r="C30" s="10"/>
      <c r="D30" s="10"/>
      <c r="E30" s="22"/>
      <c r="H30" s="4"/>
    </row>
    <row r="31" spans="1:12" s="11" customFormat="1" x14ac:dyDescent="0.25">
      <c r="A31" s="11" t="s">
        <v>126</v>
      </c>
      <c r="B31" s="17" t="s">
        <v>86</v>
      </c>
      <c r="C31" s="18">
        <f t="shared" ref="C31:D31" si="10">C19+SUM(C26:C29)</f>
        <v>95563</v>
      </c>
      <c r="D31" s="18">
        <f t="shared" si="10"/>
        <v>103673</v>
      </c>
      <c r="E31" s="18">
        <f>E19+SUM(E25:E29)</f>
        <v>114126</v>
      </c>
      <c r="F31" s="18">
        <f>F19+SUM(F25:F29)</f>
        <v>157644.2239999997</v>
      </c>
      <c r="G31" s="18">
        <f t="shared" ref="G31:J31" si="11">G19+SUM(G25:G29)</f>
        <v>154648.98374399985</v>
      </c>
      <c r="H31" s="18">
        <f t="shared" si="11"/>
        <v>151556.00406911969</v>
      </c>
      <c r="I31" s="18">
        <f t="shared" si="11"/>
        <v>148524.88398773759</v>
      </c>
      <c r="J31" s="18">
        <f t="shared" si="11"/>
        <v>145554.38630798296</v>
      </c>
    </row>
    <row r="32" spans="1:12" x14ac:dyDescent="0.25">
      <c r="E32" s="36"/>
      <c r="H32" s="4"/>
    </row>
    <row r="33" spans="1:12" x14ac:dyDescent="0.25">
      <c r="B33" s="4" t="s">
        <v>58</v>
      </c>
      <c r="C33" s="131">
        <v>14420</v>
      </c>
      <c r="D33" s="4">
        <v>20874</v>
      </c>
      <c r="E33" s="57">
        <v>29929</v>
      </c>
      <c r="F33" s="4">
        <f>F31*F10</f>
        <v>33105.287039999937</v>
      </c>
      <c r="G33" s="4">
        <f t="shared" ref="G33:J33" si="12">G31*G10</f>
        <v>32476.286586239967</v>
      </c>
      <c r="H33" s="4">
        <f t="shared" si="12"/>
        <v>31826.760854515134</v>
      </c>
      <c r="I33" s="4">
        <f t="shared" si="12"/>
        <v>31190.225637424894</v>
      </c>
      <c r="J33" s="4">
        <f t="shared" si="12"/>
        <v>30566.421124676421</v>
      </c>
    </row>
    <row r="34" spans="1:12" s="11" customFormat="1" x14ac:dyDescent="0.25">
      <c r="A34" s="11" t="s">
        <v>126</v>
      </c>
      <c r="B34" s="17" t="s">
        <v>59</v>
      </c>
      <c r="C34" s="18">
        <f>C31-C33</f>
        <v>81143</v>
      </c>
      <c r="D34" s="33">
        <f t="shared" ref="D34:F34" si="13">D31-D33</f>
        <v>82799</v>
      </c>
      <c r="E34" s="18">
        <f t="shared" si="13"/>
        <v>84197</v>
      </c>
      <c r="F34" s="18">
        <f t="shared" si="13"/>
        <v>124538.93695999976</v>
      </c>
      <c r="G34" s="18">
        <f t="shared" ref="G34:J34" si="14">G31-G33</f>
        <v>122172.69715775989</v>
      </c>
      <c r="H34" s="18">
        <f t="shared" si="14"/>
        <v>119729.24321460456</v>
      </c>
      <c r="I34" s="18">
        <f t="shared" si="14"/>
        <v>117334.65835031269</v>
      </c>
      <c r="J34" s="18">
        <f t="shared" si="14"/>
        <v>114987.96518330654</v>
      </c>
    </row>
    <row r="35" spans="1:12" s="264" customFormat="1" x14ac:dyDescent="0.25">
      <c r="A35" s="267"/>
      <c r="B35" s="264" t="s">
        <v>177</v>
      </c>
      <c r="C35" s="271">
        <f t="shared" ref="C35:D35" si="15">C36/C38</f>
        <v>1.5428627771360961</v>
      </c>
      <c r="D35" s="274">
        <f t="shared" si="15"/>
        <v>1.7749536910509853</v>
      </c>
      <c r="E35" s="272">
        <f>E36/E38</f>
        <v>1.850994895620014</v>
      </c>
      <c r="F35" s="264">
        <f>F11</f>
        <v>2.0430815571464871</v>
      </c>
      <c r="G35" s="264">
        <f t="shared" ref="G35:J35" si="16">G11</f>
        <v>2.2731888209574747</v>
      </c>
      <c r="H35" s="264">
        <f t="shared" si="16"/>
        <v>2.5993394155316989</v>
      </c>
      <c r="I35" s="264">
        <f t="shared" si="16"/>
        <v>3.0405436420114169</v>
      </c>
      <c r="J35" s="264">
        <f t="shared" si="16"/>
        <v>3.6448231657782468</v>
      </c>
    </row>
    <row r="36" spans="1:12" x14ac:dyDescent="0.25">
      <c r="B36" s="4" t="s">
        <v>60</v>
      </c>
      <c r="C36" s="10">
        <v>54767</v>
      </c>
      <c r="D36" s="10">
        <v>58451</v>
      </c>
      <c r="E36" s="22">
        <v>60559</v>
      </c>
      <c r="F36" s="4">
        <f>F35*F38</f>
        <v>66843.499305161618</v>
      </c>
      <c r="G36" s="4">
        <f t="shared" ref="G36:J36" si="17">G35*G38</f>
        <v>74371.918655265705</v>
      </c>
      <c r="H36" s="4">
        <f t="shared" si="17"/>
        <v>85042.587657950586</v>
      </c>
      <c r="I36" s="4">
        <f t="shared" si="17"/>
        <v>99477.466335687524</v>
      </c>
      <c r="J36" s="4">
        <f t="shared" si="17"/>
        <v>119247.6795147669</v>
      </c>
    </row>
    <row r="37" spans="1:12" x14ac:dyDescent="0.25">
      <c r="A37" s="20" t="s">
        <v>61</v>
      </c>
      <c r="B37" s="19"/>
      <c r="C37" s="252">
        <f>C15</f>
        <v>2022</v>
      </c>
      <c r="D37" s="252">
        <f>D15</f>
        <v>2023</v>
      </c>
      <c r="E37" s="252">
        <f>E15</f>
        <v>2024</v>
      </c>
      <c r="F37" s="252">
        <f>F15</f>
        <v>2025</v>
      </c>
      <c r="G37" s="252">
        <f t="shared" ref="G37:J37" si="18">G15</f>
        <v>2026</v>
      </c>
      <c r="H37" s="252">
        <f t="shared" si="18"/>
        <v>2027</v>
      </c>
      <c r="I37" s="252">
        <f t="shared" si="18"/>
        <v>2028</v>
      </c>
      <c r="J37" s="252">
        <f t="shared" si="18"/>
        <v>2029</v>
      </c>
      <c r="K37" s="201"/>
      <c r="L37" s="201"/>
    </row>
    <row r="38" spans="1:12" x14ac:dyDescent="0.25">
      <c r="B38" s="4" t="s">
        <v>49</v>
      </c>
      <c r="C38" s="10">
        <v>35497</v>
      </c>
      <c r="D38" s="10">
        <v>32931</v>
      </c>
      <c r="E38" s="22">
        <v>32717</v>
      </c>
      <c r="F38" s="172">
        <f>F12</f>
        <v>32717</v>
      </c>
      <c r="G38" s="172">
        <f t="shared" ref="G38:J38" si="19">G12</f>
        <v>32717</v>
      </c>
      <c r="H38" s="172">
        <f t="shared" si="19"/>
        <v>32717</v>
      </c>
      <c r="I38" s="172">
        <f t="shared" si="19"/>
        <v>32717</v>
      </c>
      <c r="J38" s="172">
        <f t="shared" si="19"/>
        <v>32717</v>
      </c>
      <c r="K38" s="205"/>
      <c r="L38" s="205"/>
    </row>
    <row r="39" spans="1:12" x14ac:dyDescent="0.25">
      <c r="B39" s="4" t="s">
        <v>50</v>
      </c>
      <c r="C39" s="10">
        <v>35717</v>
      </c>
      <c r="D39" s="10">
        <v>33159</v>
      </c>
      <c r="E39" s="22">
        <v>32819</v>
      </c>
      <c r="F39" s="172">
        <f>F13</f>
        <v>32819</v>
      </c>
      <c r="G39" s="172">
        <f t="shared" ref="G39:J39" si="20">G13</f>
        <v>32819</v>
      </c>
      <c r="H39" s="172">
        <f t="shared" si="20"/>
        <v>32819</v>
      </c>
      <c r="I39" s="172">
        <f t="shared" si="20"/>
        <v>32819</v>
      </c>
      <c r="J39" s="172">
        <f t="shared" si="20"/>
        <v>32819</v>
      </c>
      <c r="K39" s="205"/>
      <c r="L39" s="205"/>
    </row>
    <row r="40" spans="1:12" x14ac:dyDescent="0.25">
      <c r="B40" s="4" t="s">
        <v>62</v>
      </c>
      <c r="C40" s="179">
        <f t="shared" ref="C40:D40" si="21">C34/C38</f>
        <v>2.2859114854776461</v>
      </c>
      <c r="D40" s="179">
        <f t="shared" si="21"/>
        <v>2.5143178160395978</v>
      </c>
      <c r="E40" s="180">
        <f>E34/E38</f>
        <v>2.5734939022526517</v>
      </c>
      <c r="F40" s="171">
        <f>F34/F38</f>
        <v>3.8065512412507188</v>
      </c>
      <c r="G40" s="171">
        <f t="shared" ref="G40:J40" si="22">G34/G38</f>
        <v>3.7342267676669589</v>
      </c>
      <c r="H40" s="171">
        <f t="shared" si="22"/>
        <v>3.6595422323136155</v>
      </c>
      <c r="I40" s="171">
        <f t="shared" si="22"/>
        <v>3.5863513876673498</v>
      </c>
      <c r="J40" s="171">
        <f t="shared" si="22"/>
        <v>3.5146243599140061</v>
      </c>
      <c r="K40" s="205"/>
      <c r="L40" s="205"/>
    </row>
    <row r="41" spans="1:12" s="11" customFormat="1" x14ac:dyDescent="0.25">
      <c r="A41" s="11" t="s">
        <v>126</v>
      </c>
      <c r="B41" s="17" t="s">
        <v>63</v>
      </c>
      <c r="C41" s="178">
        <f t="shared" ref="C41:D41" si="23">C34/C39</f>
        <v>2.2718313408180979</v>
      </c>
      <c r="D41" s="178">
        <f t="shared" si="23"/>
        <v>2.4970294640972286</v>
      </c>
      <c r="E41" s="178">
        <f>E34/E39</f>
        <v>2.5654955970626769</v>
      </c>
      <c r="F41" s="178">
        <f>F34/F39</f>
        <v>3.7947206484048799</v>
      </c>
      <c r="G41" s="178">
        <f t="shared" ref="G41:J41" si="24">G34/G39</f>
        <v>3.7226209560851911</v>
      </c>
      <c r="H41" s="178">
        <f t="shared" si="24"/>
        <v>3.6481685369634835</v>
      </c>
      <c r="I41" s="178">
        <f t="shared" si="24"/>
        <v>3.5752051662242206</v>
      </c>
      <c r="J41" s="178">
        <f t="shared" si="24"/>
        <v>3.5037010628997391</v>
      </c>
      <c r="K41" s="209"/>
      <c r="L41" s="209"/>
    </row>
    <row r="42" spans="1:12" x14ac:dyDescent="0.25">
      <c r="C42" s="14"/>
      <c r="D42" s="14"/>
      <c r="E42" s="37"/>
      <c r="F42" s="14"/>
      <c r="G42" s="14"/>
      <c r="H42" s="14"/>
      <c r="I42" s="14"/>
      <c r="J42" s="14"/>
    </row>
    <row r="43" spans="1:12" x14ac:dyDescent="0.25">
      <c r="D43" s="14"/>
      <c r="E43" s="14"/>
      <c r="F43" s="14"/>
    </row>
  </sheetData>
  <conditionalFormatting sqref="F4:L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5"/>
  <sheetViews>
    <sheetView showGridLines="0" zoomScaleNormal="100" workbookViewId="0">
      <selection activeCell="F42" sqref="F16:J42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3" t="str">
        <f>CoName</f>
        <v>Papa John's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x14ac:dyDescent="0.25">
      <c r="A2" s="16" t="s">
        <v>10</v>
      </c>
      <c r="B2" s="62"/>
      <c r="C2" s="263">
        <v>2022</v>
      </c>
      <c r="D2" s="263">
        <f>C2+1</f>
        <v>2023</v>
      </c>
      <c r="E2" s="263">
        <f t="shared" ref="E2:J2" si="0">D2+1</f>
        <v>2024</v>
      </c>
      <c r="F2" s="263">
        <f t="shared" si="0"/>
        <v>2025</v>
      </c>
      <c r="G2" s="263">
        <f t="shared" si="0"/>
        <v>2026</v>
      </c>
      <c r="H2" s="263">
        <f t="shared" si="0"/>
        <v>2027</v>
      </c>
      <c r="I2" s="263">
        <f t="shared" si="0"/>
        <v>2028</v>
      </c>
      <c r="J2" s="263">
        <f t="shared" si="0"/>
        <v>2029</v>
      </c>
      <c r="K2" s="210"/>
      <c r="L2" s="210"/>
    </row>
    <row r="3" spans="1:12" x14ac:dyDescent="0.25">
      <c r="K3" s="6"/>
      <c r="L3" s="6"/>
    </row>
    <row r="4" spans="1:12" x14ac:dyDescent="0.25">
      <c r="B4" s="4" t="s">
        <v>142</v>
      </c>
      <c r="C4" s="42"/>
      <c r="D4" s="42"/>
      <c r="E4" s="43"/>
      <c r="F4" s="101">
        <f>Assumptions!F38</f>
        <v>0.01</v>
      </c>
      <c r="G4" s="101">
        <f>F4</f>
        <v>0.01</v>
      </c>
      <c r="H4" s="101">
        <f t="shared" ref="H4:J4" si="1">G4</f>
        <v>0.01</v>
      </c>
      <c r="I4" s="101">
        <f t="shared" si="1"/>
        <v>0.01</v>
      </c>
      <c r="J4" s="101">
        <f t="shared" si="1"/>
        <v>0.01</v>
      </c>
      <c r="K4" s="168"/>
      <c r="L4" s="168"/>
    </row>
    <row r="5" spans="1:12" x14ac:dyDescent="0.25">
      <c r="B5" s="4" t="s">
        <v>155</v>
      </c>
      <c r="C5" s="42"/>
      <c r="D5" s="42"/>
      <c r="E5" s="43"/>
      <c r="F5" s="101">
        <f>Assumptions!F39</f>
        <v>5.2840481172310015E-2</v>
      </c>
      <c r="G5" s="101">
        <f>Assumptions!G39</f>
        <v>5.2840481172310015E-2</v>
      </c>
      <c r="H5" s="101">
        <f>Assumptions!H39</f>
        <v>5.2840481172310015E-2</v>
      </c>
      <c r="I5" s="101">
        <f>Assumptions!I39</f>
        <v>5.2840481172310015E-2</v>
      </c>
      <c r="J5" s="101">
        <f>Assumptions!J39</f>
        <v>5.2840481172310015E-2</v>
      </c>
      <c r="K5" s="168"/>
      <c r="L5" s="168"/>
    </row>
    <row r="6" spans="1:12" x14ac:dyDescent="0.25">
      <c r="B6" s="4" t="s">
        <v>65</v>
      </c>
      <c r="C6" s="42"/>
      <c r="D6" s="42"/>
      <c r="E6" s="43"/>
      <c r="F6" s="101">
        <f>Assumptions!F40</f>
        <v>2.3839542865182296E-2</v>
      </c>
      <c r="G6" s="101">
        <f>Assumptions!G40</f>
        <v>2.3839542865182296E-2</v>
      </c>
      <c r="H6" s="101">
        <f>Assumptions!H40</f>
        <v>2.3839542865182296E-2</v>
      </c>
      <c r="I6" s="101">
        <f>Assumptions!I40</f>
        <v>2.3839542865182296E-2</v>
      </c>
      <c r="J6" s="101">
        <f>Assumptions!J40</f>
        <v>2.3839542865182296E-2</v>
      </c>
      <c r="K6" s="168"/>
      <c r="L6" s="168"/>
    </row>
    <row r="7" spans="1:12" x14ac:dyDescent="0.25">
      <c r="B7" s="4" t="s">
        <v>66</v>
      </c>
      <c r="C7" s="42"/>
      <c r="D7" s="42"/>
      <c r="E7" s="43"/>
      <c r="F7" s="101">
        <f>Assumptions!F41</f>
        <v>2.3592457367167998E-2</v>
      </c>
      <c r="G7" s="101">
        <f>Assumptions!G41</f>
        <v>2.3592457367167998E-2</v>
      </c>
      <c r="H7" s="101">
        <f>Assumptions!H41</f>
        <v>2.3592457367167998E-2</v>
      </c>
      <c r="I7" s="101">
        <f>Assumptions!I41</f>
        <v>2.3592457367167998E-2</v>
      </c>
      <c r="J7" s="101">
        <f>Assumptions!J41</f>
        <v>2.3592457367167998E-2</v>
      </c>
      <c r="K7" s="168"/>
      <c r="L7" s="168"/>
    </row>
    <row r="8" spans="1:12" x14ac:dyDescent="0.25">
      <c r="A8" s="7"/>
      <c r="C8" s="29"/>
      <c r="D8" s="29"/>
      <c r="E8" s="29"/>
      <c r="F8" s="102"/>
      <c r="G8" s="102"/>
      <c r="H8" s="102"/>
      <c r="I8" s="102"/>
      <c r="J8" s="102"/>
      <c r="K8" s="168"/>
      <c r="L8" s="168"/>
    </row>
    <row r="9" spans="1:12" x14ac:dyDescent="0.25">
      <c r="B9" s="4" t="s">
        <v>67</v>
      </c>
      <c r="C9" s="42"/>
      <c r="D9" s="42"/>
      <c r="E9" s="43"/>
      <c r="F9" s="101">
        <f>Assumptions!F43</f>
        <v>4.6824127762290432E-2</v>
      </c>
      <c r="G9" s="101">
        <f>Assumptions!G43</f>
        <v>4.6824127762290432E-2</v>
      </c>
      <c r="H9" s="101">
        <f>Assumptions!H43</f>
        <v>4.6824127762290432E-2</v>
      </c>
      <c r="I9" s="101">
        <f>Assumptions!I43</f>
        <v>4.6824127762290432E-2</v>
      </c>
      <c r="J9" s="101">
        <f>Assumptions!J43</f>
        <v>4.6824127762290432E-2</v>
      </c>
      <c r="K9" s="168"/>
      <c r="L9" s="168"/>
    </row>
    <row r="10" spans="1:12" x14ac:dyDescent="0.25">
      <c r="C10" s="29"/>
      <c r="D10" s="29"/>
      <c r="E10" s="29"/>
      <c r="F10" s="102"/>
      <c r="G10" s="102"/>
      <c r="H10" s="102"/>
      <c r="I10" s="102"/>
      <c r="J10" s="102"/>
      <c r="K10" s="168"/>
      <c r="L10" s="168"/>
    </row>
    <row r="11" spans="1:12" x14ac:dyDescent="0.25">
      <c r="B11" s="4" t="s">
        <v>154</v>
      </c>
      <c r="C11" s="42"/>
      <c r="D11" s="42"/>
      <c r="E11" s="43"/>
      <c r="F11" s="101">
        <f>Assumptions!F47</f>
        <v>0.15517043125594382</v>
      </c>
      <c r="G11" s="101">
        <f>Assumptions!G47</f>
        <v>0.15517043125594382</v>
      </c>
      <c r="H11" s="101">
        <f>Assumptions!H47</f>
        <v>0.15517043125594382</v>
      </c>
      <c r="I11" s="101">
        <f>Assumptions!I47</f>
        <v>0.15517043125594382</v>
      </c>
      <c r="J11" s="101">
        <f>Assumptions!J47</f>
        <v>0.15517043125594382</v>
      </c>
      <c r="K11" s="168"/>
      <c r="L11" s="168"/>
    </row>
    <row r="12" spans="1:12" x14ac:dyDescent="0.25">
      <c r="B12" s="4" t="s">
        <v>68</v>
      </c>
      <c r="C12" s="42"/>
      <c r="D12" s="42"/>
      <c r="E12" s="26"/>
      <c r="F12" s="101">
        <f>Assumptions!F48</f>
        <v>2.3577404344108221E-2</v>
      </c>
      <c r="G12" s="101">
        <f>Assumptions!G48</f>
        <v>2.3577404344108221E-2</v>
      </c>
      <c r="H12" s="101">
        <f>Assumptions!H48</f>
        <v>2.3577404344108221E-2</v>
      </c>
      <c r="I12" s="101">
        <f>Assumptions!I48</f>
        <v>2.3577404344108221E-2</v>
      </c>
      <c r="J12" s="101">
        <f>Assumptions!J48</f>
        <v>2.3577404344108221E-2</v>
      </c>
      <c r="K12" s="168"/>
      <c r="L12" s="168"/>
    </row>
    <row r="13" spans="1:12" x14ac:dyDescent="0.25">
      <c r="B13" s="4" t="s">
        <v>69</v>
      </c>
      <c r="C13" s="42"/>
      <c r="D13" s="42"/>
      <c r="E13" s="43"/>
      <c r="F13" s="255">
        <f>Assumptions!F49</f>
        <v>0.13725055077069051</v>
      </c>
      <c r="G13" s="255">
        <f>Assumptions!G49</f>
        <v>0.13725055077069051</v>
      </c>
      <c r="H13" s="255">
        <f>Assumptions!H49</f>
        <v>0.13725055077069051</v>
      </c>
      <c r="I13" s="255">
        <f>Assumptions!I49</f>
        <v>0.13725055077069051</v>
      </c>
      <c r="J13" s="255">
        <f>Assumptions!J49</f>
        <v>0.13725055077069051</v>
      </c>
      <c r="K13" s="168"/>
      <c r="L13" s="168"/>
    </row>
    <row r="14" spans="1:12" x14ac:dyDescent="0.25">
      <c r="C14" s="42"/>
      <c r="D14" s="42"/>
      <c r="E14" s="42"/>
      <c r="F14" s="102"/>
      <c r="G14" s="102"/>
      <c r="H14" s="102"/>
      <c r="I14" s="102"/>
      <c r="J14" s="102"/>
      <c r="K14" s="168"/>
      <c r="L14" s="168"/>
    </row>
    <row r="15" spans="1:12" ht="15" customHeight="1" x14ac:dyDescent="0.25">
      <c r="A15" s="176" t="s">
        <v>64</v>
      </c>
      <c r="B15" s="177"/>
      <c r="C15" s="252">
        <f>C2</f>
        <v>2022</v>
      </c>
      <c r="D15" s="252">
        <f>D2</f>
        <v>2023</v>
      </c>
      <c r="E15" s="252">
        <f>E2</f>
        <v>2024</v>
      </c>
      <c r="F15" s="252">
        <f>F2</f>
        <v>2025</v>
      </c>
      <c r="G15" s="252">
        <f>G2</f>
        <v>2026</v>
      </c>
      <c r="H15" s="252">
        <f>H2</f>
        <v>2027</v>
      </c>
      <c r="I15" s="252">
        <f>I2</f>
        <v>2028</v>
      </c>
      <c r="J15" s="252">
        <f>J2</f>
        <v>2029</v>
      </c>
      <c r="K15" s="204"/>
      <c r="L15" s="204"/>
    </row>
    <row r="16" spans="1:12" x14ac:dyDescent="0.25">
      <c r="B16" s="4" t="s">
        <v>160</v>
      </c>
      <c r="C16" s="183">
        <f>1%*IncState!C16</f>
        <v>21021.03</v>
      </c>
      <c r="D16" s="96">
        <f>1%*IncState!D16</f>
        <v>21357.13</v>
      </c>
      <c r="E16" s="184">
        <f>1%*IncState!E16</f>
        <v>20593.87</v>
      </c>
      <c r="F16" s="4">
        <f>F4*IncState!F16</f>
        <v>20717.433219999999</v>
      </c>
      <c r="G16" s="4">
        <f>G4*IncState!G16</f>
        <v>20323.80198882</v>
      </c>
      <c r="H16" s="4">
        <f>H4*IncState!H16</f>
        <v>19917.325949043599</v>
      </c>
      <c r="I16" s="4">
        <f>I4*IncState!I16</f>
        <v>19518.979430062725</v>
      </c>
      <c r="J16" s="4">
        <f>J4*IncState!J16</f>
        <v>19128.599841461473</v>
      </c>
    </row>
    <row r="17" spans="1:12" x14ac:dyDescent="0.25">
      <c r="B17" s="4" t="s">
        <v>161</v>
      </c>
      <c r="C17" s="183">
        <f>47373-C16</f>
        <v>26351.97</v>
      </c>
      <c r="D17" s="183">
        <f>40587-D16</f>
        <v>19229.87</v>
      </c>
      <c r="E17" s="184">
        <f>37955-E16</f>
        <v>17361.13</v>
      </c>
      <c r="F17" s="4">
        <f>MAX(CashFlow!F23,0)</f>
        <v>67159.550478580641</v>
      </c>
      <c r="G17" s="4">
        <f>MAX(CashFlow!G23,0)</f>
        <v>103452.39755911284</v>
      </c>
      <c r="H17" s="4">
        <f>MAX(CashFlow!H23,0)</f>
        <v>128849.65891849165</v>
      </c>
      <c r="I17" s="4">
        <f>MAX(CashFlow!I23,0)</f>
        <v>139542.10380351369</v>
      </c>
      <c r="J17" s="4">
        <f>MAX(CashFlow!J23,0)</f>
        <v>129938.52148768457</v>
      </c>
    </row>
    <row r="18" spans="1:12" x14ac:dyDescent="0.25">
      <c r="B18" s="4" t="s">
        <v>70</v>
      </c>
      <c r="C18" s="185">
        <f>102533+6848+8780</f>
        <v>118161</v>
      </c>
      <c r="D18" s="185">
        <f>104244+5199+2577</f>
        <v>112020</v>
      </c>
      <c r="E18" s="186">
        <f>101677+4928+2214</f>
        <v>108819</v>
      </c>
      <c r="F18" s="4">
        <f>F5*IncState!F16</f>
        <v>109471.914</v>
      </c>
      <c r="G18" s="4">
        <f>G5*IncState!G16</f>
        <v>107391.947634</v>
      </c>
      <c r="H18" s="4">
        <f>H5*IncState!H16</f>
        <v>105244.10868131999</v>
      </c>
      <c r="I18" s="4">
        <f>I5*IncState!I16</f>
        <v>103139.2265076936</v>
      </c>
      <c r="J18" s="4">
        <f>J5*IncState!J16</f>
        <v>101076.44197753973</v>
      </c>
    </row>
    <row r="19" spans="1:12" x14ac:dyDescent="0.25">
      <c r="B19" s="4" t="s">
        <v>71</v>
      </c>
      <c r="C19" s="185">
        <v>41382</v>
      </c>
      <c r="D19" s="185">
        <v>36126</v>
      </c>
      <c r="E19" s="186">
        <v>35245</v>
      </c>
      <c r="F19" s="4">
        <f>F6*IncState!F17</f>
        <v>35456.47</v>
      </c>
      <c r="G19" s="4">
        <f>G6*IncState!G17</f>
        <v>34782.797070000001</v>
      </c>
      <c r="H19" s="4">
        <f>H6*IncState!H17</f>
        <v>34087.1411286</v>
      </c>
      <c r="I19" s="4">
        <f>I6*IncState!I17</f>
        <v>33405.398306028001</v>
      </c>
      <c r="J19" s="4">
        <f>J6*IncState!J17</f>
        <v>32737.290339907438</v>
      </c>
    </row>
    <row r="20" spans="1:12" x14ac:dyDescent="0.25">
      <c r="B20" s="4" t="s">
        <v>72</v>
      </c>
      <c r="C20" s="185">
        <v>44123</v>
      </c>
      <c r="D20" s="185">
        <v>42285</v>
      </c>
      <c r="E20" s="186">
        <v>48586</v>
      </c>
      <c r="F20" s="4">
        <f>F7*IncState!F16</f>
        <v>48877.516000000003</v>
      </c>
      <c r="G20" s="4">
        <f>G7*IncState!G16</f>
        <v>47948.843195999994</v>
      </c>
      <c r="H20" s="4">
        <f>H7*IncState!H16</f>
        <v>46989.866332079997</v>
      </c>
      <c r="I20" s="4">
        <f>I7*IncState!I16</f>
        <v>46050.069005438396</v>
      </c>
      <c r="J20" s="4">
        <f>J7*IncState!J16</f>
        <v>45129.067625329633</v>
      </c>
    </row>
    <row r="21" spans="1:12" s="11" customFormat="1" x14ac:dyDescent="0.25">
      <c r="B21" s="11" t="s">
        <v>73</v>
      </c>
      <c r="C21" s="11">
        <f>SUM(C16:C20)</f>
        <v>251039</v>
      </c>
      <c r="D21" s="11">
        <f>SUM(D16:D20)</f>
        <v>231018</v>
      </c>
      <c r="E21" s="24">
        <f t="shared" ref="E21" si="2">SUM(E16:E20)</f>
        <v>230605</v>
      </c>
      <c r="F21" s="11">
        <f>SUM(F16:F20)</f>
        <v>281682.88369858067</v>
      </c>
      <c r="G21" s="11">
        <f t="shared" ref="G21:J21" si="3">SUM(G16:G20)</f>
        <v>313899.78744793276</v>
      </c>
      <c r="H21" s="11">
        <f t="shared" si="3"/>
        <v>335088.1010095352</v>
      </c>
      <c r="I21" s="11">
        <f t="shared" si="3"/>
        <v>341655.77705273643</v>
      </c>
      <c r="J21" s="11">
        <f t="shared" si="3"/>
        <v>328009.92127192288</v>
      </c>
    </row>
    <row r="22" spans="1:12" x14ac:dyDescent="0.25">
      <c r="A22" s="7"/>
      <c r="E22" s="27"/>
      <c r="I22" s="4"/>
      <c r="J22" s="4"/>
    </row>
    <row r="23" spans="1:12" x14ac:dyDescent="0.25">
      <c r="B23" s="4" t="s">
        <v>74</v>
      </c>
      <c r="C23" s="185">
        <f>249793+24941+172425</f>
        <v>447159</v>
      </c>
      <c r="D23" s="185">
        <f>282812+31740+164158</f>
        <v>478710</v>
      </c>
      <c r="E23" s="186">
        <f>273272+28761+184425</f>
        <v>486458</v>
      </c>
      <c r="F23" s="4">
        <f>Calcs!F9</f>
        <v>495860.66995625751</v>
      </c>
      <c r="G23" s="4">
        <f>Calcs!G9</f>
        <v>502572.09350539953</v>
      </c>
      <c r="H23" s="4">
        <f>Calcs!H9</f>
        <v>506908.46220453118</v>
      </c>
      <c r="I23" s="4">
        <f>Calcs!I9</f>
        <v>509219.24434595363</v>
      </c>
      <c r="J23" s="4">
        <f>Calcs!J9</f>
        <v>509806.22664190526</v>
      </c>
    </row>
    <row r="24" spans="1:12" x14ac:dyDescent="0.25">
      <c r="B24" s="4" t="s">
        <v>162</v>
      </c>
      <c r="C24" s="185">
        <v>70616</v>
      </c>
      <c r="D24" s="185">
        <v>76206</v>
      </c>
      <c r="E24" s="186">
        <v>75460</v>
      </c>
      <c r="F24" s="130">
        <f>E24-IncState!F22</f>
        <v>75460</v>
      </c>
      <c r="G24" s="130">
        <f>F24-IncState!G22</f>
        <v>75460</v>
      </c>
      <c r="H24" s="130">
        <f>G24-IncState!H22</f>
        <v>75460</v>
      </c>
      <c r="I24" s="130">
        <f>H24-IncState!I22</f>
        <v>75460</v>
      </c>
      <c r="J24" s="130">
        <f>I24-IncState!J22</f>
        <v>75460</v>
      </c>
      <c r="K24" s="130"/>
      <c r="L24" s="130"/>
    </row>
    <row r="25" spans="1:12" x14ac:dyDescent="0.25">
      <c r="B25" s="4" t="s">
        <v>163</v>
      </c>
      <c r="C25" s="185">
        <f>21248+74165</f>
        <v>95413</v>
      </c>
      <c r="D25" s="185">
        <f>76725+12346</f>
        <v>89071</v>
      </c>
      <c r="E25" s="186">
        <f>8867+87562</f>
        <v>96429</v>
      </c>
      <c r="F25" s="4">
        <f>F9*IncState!F16</f>
        <v>97007.574000000008</v>
      </c>
      <c r="G25" s="4">
        <f>G9*IncState!G16</f>
        <v>95164.430093999996</v>
      </c>
      <c r="H25" s="4">
        <f>H9*IncState!H16</f>
        <v>93261.141492120005</v>
      </c>
      <c r="I25" s="4">
        <f>I9*IncState!I16</f>
        <v>91395.918662277603</v>
      </c>
      <c r="J25" s="4">
        <f>J9*IncState!J16</f>
        <v>89568.000289032047</v>
      </c>
    </row>
    <row r="26" spans="1:12" s="11" customFormat="1" x14ac:dyDescent="0.25">
      <c r="B26" s="11" t="s">
        <v>75</v>
      </c>
      <c r="C26" s="11">
        <f>SUM(C23:C25)</f>
        <v>613188</v>
      </c>
      <c r="D26" s="11">
        <f>SUM(D23:D25)</f>
        <v>643987</v>
      </c>
      <c r="E26" s="24">
        <f>SUM(E23:E25)</f>
        <v>658347</v>
      </c>
      <c r="F26" s="11">
        <f>SUM(F23:F25)</f>
        <v>668328.24395625759</v>
      </c>
      <c r="G26" s="11">
        <f t="shared" ref="G26:J26" si="4">SUM(G23:G25)</f>
        <v>673196.52359939949</v>
      </c>
      <c r="H26" s="11">
        <f t="shared" si="4"/>
        <v>675629.60369665117</v>
      </c>
      <c r="I26" s="11">
        <f t="shared" si="4"/>
        <v>676075.16300823132</v>
      </c>
      <c r="J26" s="11">
        <f t="shared" si="4"/>
        <v>674834.22693093726</v>
      </c>
    </row>
    <row r="27" spans="1:12" x14ac:dyDescent="0.25">
      <c r="E27" s="27"/>
      <c r="I27" s="4"/>
      <c r="J27" s="4"/>
    </row>
    <row r="28" spans="1:12" s="11" customFormat="1" x14ac:dyDescent="0.25">
      <c r="A28" s="11" t="s">
        <v>126</v>
      </c>
      <c r="B28" s="17" t="s">
        <v>76</v>
      </c>
      <c r="C28" s="18">
        <f>SUM(C26,C21)</f>
        <v>864227</v>
      </c>
      <c r="D28" s="18">
        <f>SUM(D26,D21)</f>
        <v>875005</v>
      </c>
      <c r="E28" s="18">
        <f>SUM(E26,E21)</f>
        <v>888952</v>
      </c>
      <c r="F28" s="18">
        <f>SUM(F26,F21)</f>
        <v>950011.12765483826</v>
      </c>
      <c r="G28" s="18">
        <f t="shared" ref="G28:J28" si="5">SUM(G26,G21)</f>
        <v>987096.31104733224</v>
      </c>
      <c r="H28" s="18">
        <f t="shared" si="5"/>
        <v>1010717.7047061864</v>
      </c>
      <c r="I28" s="18">
        <f t="shared" si="5"/>
        <v>1017730.9400609678</v>
      </c>
      <c r="J28" s="18">
        <f t="shared" si="5"/>
        <v>1002844.1482028601</v>
      </c>
      <c r="K28" s="275"/>
    </row>
    <row r="29" spans="1:12" x14ac:dyDescent="0.25">
      <c r="A29" s="11"/>
      <c r="E29" s="27"/>
      <c r="I29" s="4"/>
      <c r="J29" s="4"/>
      <c r="K29" s="6"/>
      <c r="L29" s="6"/>
    </row>
    <row r="30" spans="1:12" x14ac:dyDescent="0.25">
      <c r="B30" s="4" t="s">
        <v>77</v>
      </c>
      <c r="C30" s="9">
        <v>0</v>
      </c>
      <c r="D30" s="9">
        <v>0</v>
      </c>
      <c r="E30" s="44">
        <v>0</v>
      </c>
      <c r="F30" s="4">
        <f>-MIN(CashFlow!F23,0)</f>
        <v>0</v>
      </c>
      <c r="G30" s="4">
        <f>-MIN(CashFlow!G23,0)</f>
        <v>0</v>
      </c>
      <c r="H30" s="4">
        <f>-MIN(CashFlow!H23,0)</f>
        <v>0</v>
      </c>
      <c r="I30" s="4">
        <f>-MIN(CashFlow!I23,0)</f>
        <v>0</v>
      </c>
      <c r="J30" s="4">
        <f>-MIN(CashFlow!J23,0)</f>
        <v>0</v>
      </c>
    </row>
    <row r="31" spans="1:12" x14ac:dyDescent="0.25">
      <c r="B31" s="4" t="s">
        <v>153</v>
      </c>
      <c r="C31" s="185">
        <f>67316+8766+142535</f>
        <v>218617</v>
      </c>
      <c r="D31" s="9">
        <f>74949+17948+158167</f>
        <v>251064</v>
      </c>
      <c r="E31" s="44">
        <f>61842+11987+155579</f>
        <v>229408</v>
      </c>
      <c r="F31" s="4">
        <f>BalSheet!F11*IncState!F17</f>
        <v>230784.448</v>
      </c>
      <c r="G31" s="4">
        <f>BalSheet!G11*IncState!G17</f>
        <v>226399.543488</v>
      </c>
      <c r="H31" s="4">
        <f>BalSheet!H11*IncState!H17</f>
        <v>221871.55261824001</v>
      </c>
      <c r="I31" s="4">
        <f>BalSheet!I11*IncState!I17</f>
        <v>217434.12156587519</v>
      </c>
      <c r="J31" s="4">
        <f>BalSheet!J11*IncState!J17</f>
        <v>213085.43913455767</v>
      </c>
    </row>
    <row r="32" spans="1:12" x14ac:dyDescent="0.25">
      <c r="B32" s="4" t="s">
        <v>78</v>
      </c>
      <c r="C32" s="185">
        <f>265157-C31</f>
        <v>46540</v>
      </c>
      <c r="D32" s="9">
        <f>304596-D31</f>
        <v>53532</v>
      </c>
      <c r="E32" s="44">
        <f>277963-E31</f>
        <v>48555</v>
      </c>
      <c r="F32" s="4">
        <f>F12*IncState!F16</f>
        <v>48846.329999999994</v>
      </c>
      <c r="G32" s="4">
        <f>G12*IncState!G16</f>
        <v>47918.249729999996</v>
      </c>
      <c r="H32" s="4">
        <f>H12*IncState!H16</f>
        <v>46959.884735399995</v>
      </c>
      <c r="I32" s="4">
        <f>I12*IncState!I16</f>
        <v>46020.687040691992</v>
      </c>
      <c r="J32" s="4">
        <f>J12*IncState!J16</f>
        <v>45100.273299878158</v>
      </c>
    </row>
    <row r="33" spans="1:12" s="11" customFormat="1" x14ac:dyDescent="0.25">
      <c r="B33" s="11" t="s">
        <v>79</v>
      </c>
      <c r="C33" s="11">
        <f t="shared" ref="C33:E33" si="6">SUM(C30:C32)</f>
        <v>265157</v>
      </c>
      <c r="D33" s="11">
        <f t="shared" si="6"/>
        <v>304596</v>
      </c>
      <c r="E33" s="24">
        <f t="shared" si="6"/>
        <v>277963</v>
      </c>
      <c r="F33" s="11">
        <f>SUM(F30:F32)</f>
        <v>279630.77799999999</v>
      </c>
      <c r="G33" s="11">
        <f t="shared" ref="G33:J33" si="7">SUM(G30:G32)</f>
        <v>274317.79321799998</v>
      </c>
      <c r="H33" s="11">
        <f t="shared" si="7"/>
        <v>268831.43735363998</v>
      </c>
      <c r="I33" s="11">
        <f t="shared" si="7"/>
        <v>263454.80860656721</v>
      </c>
      <c r="J33" s="11">
        <f t="shared" si="7"/>
        <v>258185.71243443585</v>
      </c>
    </row>
    <row r="34" spans="1:12" x14ac:dyDescent="0.25">
      <c r="B34" s="11"/>
      <c r="E34" s="27"/>
      <c r="I34" s="4"/>
      <c r="J34" s="4"/>
    </row>
    <row r="35" spans="1:12" x14ac:dyDescent="0.25">
      <c r="B35" s="4" t="s">
        <v>80</v>
      </c>
      <c r="C35" s="185">
        <v>597069</v>
      </c>
      <c r="D35" s="9">
        <v>757422</v>
      </c>
      <c r="E35" s="44">
        <v>741650</v>
      </c>
      <c r="F35" s="4">
        <f>Debt!F20</f>
        <v>741650</v>
      </c>
      <c r="G35" s="4">
        <f>Debt!G20</f>
        <v>741650</v>
      </c>
      <c r="H35" s="4">
        <f>Debt!H20</f>
        <v>741650</v>
      </c>
      <c r="I35" s="4">
        <f>Debt!I20</f>
        <v>741650</v>
      </c>
      <c r="J35" s="4">
        <f>Debt!J20</f>
        <v>741650</v>
      </c>
    </row>
    <row r="36" spans="1:12" x14ac:dyDescent="0.25">
      <c r="B36" s="4" t="s">
        <v>81</v>
      </c>
      <c r="C36" s="185">
        <f>1133674-C35-C33</f>
        <v>271448</v>
      </c>
      <c r="D36" s="9">
        <f>1317770-D35-D33</f>
        <v>255752</v>
      </c>
      <c r="E36" s="44">
        <f>1302265-E35-E33</f>
        <v>282652</v>
      </c>
      <c r="F36" s="4">
        <f>F13*IncState!F16</f>
        <v>284347.91200000001</v>
      </c>
      <c r="G36" s="4">
        <f>G13*IncState!G16</f>
        <v>278945.30167199997</v>
      </c>
      <c r="H36" s="4">
        <f>H13*IncState!H16</f>
        <v>273366.39563856</v>
      </c>
      <c r="I36" s="4">
        <f>I13*IncState!I16</f>
        <v>267899.0677257888</v>
      </c>
      <c r="J36" s="4">
        <f>J13*IncState!J16</f>
        <v>262541.08637127304</v>
      </c>
    </row>
    <row r="37" spans="1:12" x14ac:dyDescent="0.25">
      <c r="B37" s="11" t="s">
        <v>82</v>
      </c>
      <c r="C37" s="11">
        <f t="shared" ref="C37:E37" si="8">SUM(C35:C36)</f>
        <v>868517</v>
      </c>
      <c r="D37" s="11">
        <f t="shared" si="8"/>
        <v>1013174</v>
      </c>
      <c r="E37" s="24">
        <f t="shared" si="8"/>
        <v>1024302</v>
      </c>
      <c r="F37" s="11">
        <f>SUM(F35:F36)</f>
        <v>1025997.912</v>
      </c>
      <c r="G37" s="11">
        <f t="shared" ref="G37:J37" si="9">SUM(G35:G36)</f>
        <v>1020595.301672</v>
      </c>
      <c r="H37" s="11">
        <f t="shared" si="9"/>
        <v>1015016.3956385599</v>
      </c>
      <c r="I37" s="11">
        <f t="shared" si="9"/>
        <v>1009549.0677257888</v>
      </c>
      <c r="J37" s="11">
        <f t="shared" si="9"/>
        <v>1004191.086371273</v>
      </c>
      <c r="K37" s="11"/>
      <c r="L37" s="11"/>
    </row>
    <row r="38" spans="1:12" x14ac:dyDescent="0.25">
      <c r="E38" s="27"/>
      <c r="I38" s="4"/>
      <c r="J38" s="4"/>
    </row>
    <row r="39" spans="1:12" x14ac:dyDescent="0.25">
      <c r="B39" s="4" t="s">
        <v>17</v>
      </c>
      <c r="C39" s="187">
        <v>-269447</v>
      </c>
      <c r="D39" s="187">
        <v>-442765</v>
      </c>
      <c r="E39" s="216">
        <v>-413313</v>
      </c>
      <c r="F39" s="4">
        <f>Calcs!F17</f>
        <v>-355617.56234516192</v>
      </c>
      <c r="G39" s="4">
        <f>Calcs!G17</f>
        <v>-307816.7838426677</v>
      </c>
      <c r="H39" s="4">
        <f>Calcs!H17</f>
        <v>-273130.12828601373</v>
      </c>
      <c r="I39" s="4">
        <f>Calcs!I17</f>
        <v>-255272.93627138858</v>
      </c>
      <c r="J39" s="4">
        <f>Calcs!J17</f>
        <v>-259532.65060284894</v>
      </c>
    </row>
    <row r="40" spans="1:12" s="11" customFormat="1" x14ac:dyDescent="0.25">
      <c r="A40" s="11" t="s">
        <v>126</v>
      </c>
      <c r="B40" s="17" t="s">
        <v>83</v>
      </c>
      <c r="C40" s="18">
        <f>SUM(C39,C37,C33)</f>
        <v>864227</v>
      </c>
      <c r="D40" s="18">
        <f>SUM(D39,D37,D33)</f>
        <v>875005</v>
      </c>
      <c r="E40" s="18">
        <f t="shared" ref="E40:F40" si="10">SUM(E39,E37,E33)</f>
        <v>888952</v>
      </c>
      <c r="F40" s="18">
        <f t="shared" si="10"/>
        <v>950011.12765483814</v>
      </c>
      <c r="G40" s="18">
        <f t="shared" ref="G40:J40" si="11">SUM(G39,G37,G33)</f>
        <v>987096.31104733224</v>
      </c>
      <c r="H40" s="18">
        <f t="shared" si="11"/>
        <v>1010717.7047061862</v>
      </c>
      <c r="I40" s="18">
        <f t="shared" si="11"/>
        <v>1017730.9400609675</v>
      </c>
      <c r="J40" s="18">
        <f t="shared" si="11"/>
        <v>1002844.1482028599</v>
      </c>
      <c r="K40" s="275"/>
    </row>
    <row r="41" spans="1:12" x14ac:dyDescent="0.25">
      <c r="E41" s="27"/>
      <c r="I41" s="4"/>
      <c r="J41" s="4"/>
      <c r="K41" s="6"/>
      <c r="L41" s="6"/>
    </row>
    <row r="42" spans="1:12" x14ac:dyDescent="0.25">
      <c r="A42" s="4" t="s">
        <v>126</v>
      </c>
      <c r="B42" s="11" t="s">
        <v>84</v>
      </c>
      <c r="C42" s="45">
        <f>C40-C28</f>
        <v>0</v>
      </c>
      <c r="D42" s="45">
        <f t="shared" ref="D42:J42" si="12">D40-D28</f>
        <v>0</v>
      </c>
      <c r="E42" s="149">
        <f t="shared" si="12"/>
        <v>0</v>
      </c>
      <c r="F42" s="45">
        <f t="shared" si="12"/>
        <v>0</v>
      </c>
      <c r="G42" s="45">
        <f t="shared" ref="G42:J42" si="13">G40-G28</f>
        <v>0</v>
      </c>
      <c r="H42" s="45">
        <f t="shared" si="13"/>
        <v>0</v>
      </c>
      <c r="I42" s="45">
        <f t="shared" si="13"/>
        <v>0</v>
      </c>
      <c r="J42" s="45">
        <f t="shared" si="13"/>
        <v>0</v>
      </c>
      <c r="K42" s="45"/>
      <c r="L42" s="45"/>
    </row>
    <row r="43" spans="1:12" x14ac:dyDescent="0.25">
      <c r="I43" s="4"/>
      <c r="J43" s="4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</sheetData>
  <conditionalFormatting sqref="F4:L14">
    <cfRule type="expression" dxfId="0" priority="35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4"/>
  <sheetViews>
    <sheetView showGridLines="0" zoomScaleNormal="100" workbookViewId="0">
      <selection activeCell="F24" sqref="F4:J24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3" t="str">
        <f>CoName</f>
        <v>Papa John's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s="2" customFormat="1" x14ac:dyDescent="0.25">
      <c r="A2" s="176" t="s">
        <v>85</v>
      </c>
      <c r="B2" s="177"/>
      <c r="C2" s="182">
        <v>2022</v>
      </c>
      <c r="D2" s="182">
        <f>C2+1</f>
        <v>2023</v>
      </c>
      <c r="E2" s="182">
        <f t="shared" ref="E2:J2" si="0">D2+1</f>
        <v>2024</v>
      </c>
      <c r="F2" s="182">
        <f t="shared" si="0"/>
        <v>2025</v>
      </c>
      <c r="G2" s="182">
        <f t="shared" si="0"/>
        <v>2026</v>
      </c>
      <c r="H2" s="182">
        <f t="shared" si="0"/>
        <v>2027</v>
      </c>
      <c r="I2" s="182">
        <f t="shared" si="0"/>
        <v>2028</v>
      </c>
      <c r="J2" s="182">
        <f t="shared" si="0"/>
        <v>2029</v>
      </c>
      <c r="K2" s="204"/>
      <c r="L2" s="204"/>
    </row>
    <row r="3" spans="1:12" x14ac:dyDescent="0.25">
      <c r="B3" s="4" t="s">
        <v>158</v>
      </c>
      <c r="F3" s="4">
        <f>IncState!F34</f>
        <v>124538.93695999976</v>
      </c>
      <c r="G3" s="4">
        <f>IncState!G34</f>
        <v>122172.69715775989</v>
      </c>
      <c r="H3" s="4">
        <f>IncState!H34</f>
        <v>119729.24321460456</v>
      </c>
      <c r="I3" s="4">
        <f>IncState!I34</f>
        <v>117334.65835031269</v>
      </c>
      <c r="J3" s="4">
        <f>IncState!J34</f>
        <v>114987.96518330654</v>
      </c>
    </row>
    <row r="4" spans="1:12" x14ac:dyDescent="0.25">
      <c r="B4" s="4" t="s">
        <v>15</v>
      </c>
      <c r="F4" s="4">
        <f>IncState!F21</f>
        <v>65553.654342218375</v>
      </c>
      <c r="G4" s="4">
        <f>IncState!G21</f>
        <v>66820.730587662925</v>
      </c>
      <c r="H4" s="4">
        <f>IncState!H21</f>
        <v>67725.142354937154</v>
      </c>
      <c r="I4" s="4">
        <f>IncState!I21</f>
        <v>68309.498691564964</v>
      </c>
      <c r="J4" s="4">
        <f>IncState!J21</f>
        <v>68620.892920376034</v>
      </c>
    </row>
    <row r="5" spans="1:12" x14ac:dyDescent="0.25">
      <c r="B5" s="4" t="s">
        <v>54</v>
      </c>
      <c r="F5" s="4">
        <f>IncState!F22</f>
        <v>0</v>
      </c>
      <c r="G5" s="4">
        <f>IncState!G22</f>
        <v>0</v>
      </c>
      <c r="H5" s="4">
        <f>IncState!H22</f>
        <v>0</v>
      </c>
      <c r="I5" s="4">
        <f>IncState!I22</f>
        <v>0</v>
      </c>
      <c r="J5" s="4">
        <f>IncState!J22</f>
        <v>0</v>
      </c>
    </row>
    <row r="6" spans="1:12" x14ac:dyDescent="0.25">
      <c r="B6" s="4" t="s">
        <v>189</v>
      </c>
      <c r="F6" s="4">
        <f>Calcs!F26</f>
        <v>388.31477999998606</v>
      </c>
      <c r="G6" s="4">
        <f>Calcs!G26</f>
        <v>-1237.0414508200192</v>
      </c>
      <c r="H6" s="4">
        <f>Calcs!H26</f>
        <v>-1277.4080665835645</v>
      </c>
      <c r="I6" s="4">
        <f>Calcs!I26</f>
        <v>-1251.859905251913</v>
      </c>
      <c r="J6" s="4">
        <f>Calcs!J26</f>
        <v>-1226.8227071469009</v>
      </c>
    </row>
    <row r="7" spans="1:12" x14ac:dyDescent="0.25">
      <c r="B7" s="4" t="s">
        <v>190</v>
      </c>
      <c r="F7" s="4">
        <f>BalSheet!E25-BalSheet!F25</f>
        <v>-578.5740000000078</v>
      </c>
      <c r="G7" s="4">
        <f>BalSheet!F25-BalSheet!G25</f>
        <v>1843.1439060000121</v>
      </c>
      <c r="H7" s="4">
        <f>BalSheet!G25-BalSheet!H25</f>
        <v>1903.2886018799909</v>
      </c>
      <c r="I7" s="4">
        <f>BalSheet!H25-BalSheet!I25</f>
        <v>1865.2228298424016</v>
      </c>
      <c r="J7" s="4">
        <f>BalSheet!I25-BalSheet!J25</f>
        <v>1827.9183732455567</v>
      </c>
    </row>
    <row r="8" spans="1:12" x14ac:dyDescent="0.25">
      <c r="B8" s="4" t="s">
        <v>191</v>
      </c>
      <c r="F8" s="4">
        <f>BalSheet!F36-BalSheet!E36</f>
        <v>1695.9120000000112</v>
      </c>
      <c r="G8" s="4">
        <f>BalSheet!G36-BalSheet!F36</f>
        <v>-5402.6103280000389</v>
      </c>
      <c r="H8" s="4">
        <f>BalSheet!H36-BalSheet!G36</f>
        <v>-5578.9060334399692</v>
      </c>
      <c r="I8" s="4">
        <f>BalSheet!I36-BalSheet!H36</f>
        <v>-5467.3279127712012</v>
      </c>
      <c r="J8" s="4">
        <f>BalSheet!J36-BalSheet!I36</f>
        <v>-5357.9813545157667</v>
      </c>
    </row>
    <row r="9" spans="1:12" s="11" customFormat="1" x14ac:dyDescent="0.25">
      <c r="B9" s="11" t="s">
        <v>192</v>
      </c>
      <c r="F9" s="11">
        <f>SUM(F3:F8)</f>
        <v>191598.24408221815</v>
      </c>
      <c r="G9" s="11">
        <f t="shared" ref="G9:J9" si="1">SUM(G3:G8)</f>
        <v>184196.91987260277</v>
      </c>
      <c r="H9" s="11">
        <f t="shared" si="1"/>
        <v>182501.36007139817</v>
      </c>
      <c r="I9" s="11">
        <f t="shared" si="1"/>
        <v>180790.19205369696</v>
      </c>
      <c r="J9" s="11">
        <f t="shared" si="1"/>
        <v>178851.97241526545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-Calcs!F7</f>
        <v>-74956.324298475913</v>
      </c>
      <c r="G11" s="4">
        <f>-Calcs!G7</f>
        <v>-73532.154136804864</v>
      </c>
      <c r="H11" s="4">
        <f>-Calcs!H7</f>
        <v>-72061.511054068775</v>
      </c>
      <c r="I11" s="4">
        <f>-Calcs!I7</f>
        <v>-70620.280832987395</v>
      </c>
      <c r="J11" s="4">
        <f>-Calcs!J7</f>
        <v>-69207.875216327651</v>
      </c>
    </row>
    <row r="12" spans="1:12" s="11" customFormat="1" x14ac:dyDescent="0.25">
      <c r="B12" s="11" t="s">
        <v>193</v>
      </c>
      <c r="F12" s="11">
        <f>SUM(F11)</f>
        <v>-74956.324298475913</v>
      </c>
      <c r="G12" s="11">
        <f t="shared" ref="G12:J12" si="2">SUM(G11)</f>
        <v>-73532.154136804864</v>
      </c>
      <c r="H12" s="11">
        <f t="shared" si="2"/>
        <v>-72061.511054068775</v>
      </c>
      <c r="I12" s="11">
        <f t="shared" si="2"/>
        <v>-70620.280832987395</v>
      </c>
      <c r="J12" s="11">
        <f t="shared" si="2"/>
        <v>-69207.875216327651</v>
      </c>
    </row>
    <row r="13" spans="1:12" x14ac:dyDescent="0.25">
      <c r="I13" s="4"/>
      <c r="J13" s="4"/>
    </row>
    <row r="14" spans="1:12" x14ac:dyDescent="0.25">
      <c r="B14" s="4" t="s">
        <v>194</v>
      </c>
      <c r="F14" s="4">
        <f>-IncState!F36</f>
        <v>-66843.499305161618</v>
      </c>
      <c r="G14" s="4">
        <f>-IncState!G36</f>
        <v>-74371.918655265705</v>
      </c>
      <c r="H14" s="4">
        <f>-IncState!H36</f>
        <v>-85042.587657950586</v>
      </c>
      <c r="I14" s="4">
        <f>-IncState!I36</f>
        <v>-99477.466335687524</v>
      </c>
      <c r="J14" s="4">
        <f>-IncState!J36</f>
        <v>-119247.6795147669</v>
      </c>
    </row>
    <row r="15" spans="1:12" x14ac:dyDescent="0.25">
      <c r="B15" s="4" t="s">
        <v>195</v>
      </c>
      <c r="F15" s="4">
        <f>SUM(Debt!F8:F9)</f>
        <v>0</v>
      </c>
      <c r="G15" s="4">
        <f>SUM(Debt!G8:G9)</f>
        <v>0</v>
      </c>
      <c r="H15" s="4">
        <f>SUM(Debt!H8:H9)</f>
        <v>0</v>
      </c>
      <c r="I15" s="4">
        <f>SUM(Debt!I8:I9)</f>
        <v>0</v>
      </c>
      <c r="J15" s="4">
        <f>SUM(Debt!J8:J9)</f>
        <v>0</v>
      </c>
    </row>
    <row r="16" spans="1:12" x14ac:dyDescent="0.25">
      <c r="B16" s="4" t="s">
        <v>196</v>
      </c>
      <c r="F16" s="4">
        <f>Calcs!F11</f>
        <v>0</v>
      </c>
      <c r="G16" s="4">
        <f>Calcs!G11</f>
        <v>0</v>
      </c>
      <c r="H16" s="4">
        <f>Calcs!H11</f>
        <v>0</v>
      </c>
      <c r="I16" s="4">
        <f>Calcs!I11</f>
        <v>0</v>
      </c>
      <c r="J16" s="4">
        <f>Calcs!J11</f>
        <v>0</v>
      </c>
    </row>
    <row r="17" spans="2:10" s="11" customFormat="1" x14ac:dyDescent="0.25">
      <c r="B17" s="11" t="s">
        <v>197</v>
      </c>
      <c r="F17" s="11">
        <f>SUM(F14:F16)</f>
        <v>-66843.499305161618</v>
      </c>
      <c r="G17" s="11">
        <f t="shared" ref="G17:J17" si="3">SUM(G14:G16)</f>
        <v>-74371.918655265705</v>
      </c>
      <c r="H17" s="11">
        <f t="shared" si="3"/>
        <v>-85042.587657950586</v>
      </c>
      <c r="I17" s="11">
        <f t="shared" si="3"/>
        <v>-99477.466335687524</v>
      </c>
      <c r="J17" s="11">
        <f t="shared" si="3"/>
        <v>-119247.6795147669</v>
      </c>
    </row>
    <row r="18" spans="2:10" x14ac:dyDescent="0.25">
      <c r="I18" s="4"/>
      <c r="J18" s="4"/>
    </row>
    <row r="19" spans="2:10" x14ac:dyDescent="0.25">
      <c r="B19" s="4" t="s">
        <v>198</v>
      </c>
      <c r="F19" s="4">
        <f>SUM(F17,F12,F9)</f>
        <v>49798.420478580636</v>
      </c>
      <c r="G19" s="4">
        <f t="shared" ref="G19:J19" si="4">SUM(G17,G12,G9)</f>
        <v>36292.847080532199</v>
      </c>
      <c r="H19" s="4">
        <f t="shared" si="4"/>
        <v>25397.261359378812</v>
      </c>
      <c r="I19" s="4">
        <f t="shared" si="4"/>
        <v>10692.444885022036</v>
      </c>
      <c r="J19" s="4">
        <f t="shared" si="4"/>
        <v>-9603.5823158291169</v>
      </c>
    </row>
    <row r="20" spans="2:10" x14ac:dyDescent="0.25">
      <c r="I20" s="4"/>
      <c r="J20" s="4"/>
    </row>
    <row r="21" spans="2:10" x14ac:dyDescent="0.25">
      <c r="B21" s="4" t="s">
        <v>199</v>
      </c>
      <c r="F21" s="4">
        <f>E23</f>
        <v>17361.13</v>
      </c>
      <c r="G21" s="4">
        <f t="shared" ref="G21:J21" si="5">F23</f>
        <v>67159.550478580641</v>
      </c>
      <c r="H21" s="4">
        <f t="shared" si="5"/>
        <v>103452.39755911284</v>
      </c>
      <c r="I21" s="4">
        <f t="shared" si="5"/>
        <v>128849.65891849165</v>
      </c>
      <c r="J21" s="4">
        <f t="shared" si="5"/>
        <v>139542.10380351369</v>
      </c>
    </row>
    <row r="22" spans="2:10" x14ac:dyDescent="0.25">
      <c r="B22" s="4" t="str">
        <f>B19</f>
        <v>Net changes in cash</v>
      </c>
      <c r="F22" s="4">
        <f>F19</f>
        <v>49798.420478580636</v>
      </c>
      <c r="G22" s="4">
        <f t="shared" ref="G22:J22" si="6">G19</f>
        <v>36292.847080532199</v>
      </c>
      <c r="H22" s="4">
        <f t="shared" si="6"/>
        <v>25397.261359378812</v>
      </c>
      <c r="I22" s="4">
        <f t="shared" si="6"/>
        <v>10692.444885022036</v>
      </c>
      <c r="J22" s="4">
        <f t="shared" si="6"/>
        <v>-9603.5823158291169</v>
      </c>
    </row>
    <row r="23" spans="2:10" x14ac:dyDescent="0.25">
      <c r="B23" s="4" t="s">
        <v>200</v>
      </c>
      <c r="E23" s="4">
        <f>BalSheet!E17</f>
        <v>17361.13</v>
      </c>
      <c r="F23" s="4">
        <f>SUM(F21:F22)</f>
        <v>67159.550478580641</v>
      </c>
      <c r="G23" s="4">
        <f t="shared" ref="G23:J23" si="7">SUM(G21:G22)</f>
        <v>103452.39755911284</v>
      </c>
      <c r="H23" s="4">
        <f t="shared" si="7"/>
        <v>128849.65891849165</v>
      </c>
      <c r="I23" s="4">
        <f t="shared" si="7"/>
        <v>139542.10380351369</v>
      </c>
      <c r="J23" s="4">
        <f t="shared" si="7"/>
        <v>129938.52148768457</v>
      </c>
    </row>
    <row r="24" spans="2:10" x14ac:dyDescent="0.25">
      <c r="I24" s="4"/>
      <c r="J24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3" t="str">
        <f>CoName</f>
        <v>Papa John's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s="2" customFormat="1" ht="16.350000000000001" customHeight="1" x14ac:dyDescent="0.25">
      <c r="A2" s="176" t="s">
        <v>88</v>
      </c>
      <c r="B2" s="177"/>
      <c r="C2" s="182">
        <v>2022</v>
      </c>
      <c r="D2" s="182">
        <f>C2+1</f>
        <v>2023</v>
      </c>
      <c r="E2" s="182">
        <f t="shared" ref="E2:J2" si="0">D2+1</f>
        <v>2024</v>
      </c>
      <c r="F2" s="182">
        <f t="shared" si="0"/>
        <v>2025</v>
      </c>
      <c r="G2" s="182">
        <f t="shared" si="0"/>
        <v>2026</v>
      </c>
      <c r="H2" s="182">
        <f t="shared" si="0"/>
        <v>2027</v>
      </c>
      <c r="I2" s="182">
        <f t="shared" si="0"/>
        <v>2028</v>
      </c>
      <c r="J2" s="182">
        <f t="shared" si="0"/>
        <v>2029</v>
      </c>
      <c r="K2" s="204"/>
      <c r="L2" s="204"/>
    </row>
    <row r="3" spans="1:12" x14ac:dyDescent="0.25">
      <c r="A3" s="11" t="s">
        <v>126</v>
      </c>
      <c r="B3" s="4" t="s">
        <v>89</v>
      </c>
      <c r="D3" s="235"/>
      <c r="E3" s="23"/>
      <c r="F3" s="236">
        <f>IncState!F16</f>
        <v>2071743.3219999999</v>
      </c>
      <c r="G3" s="236">
        <f>IncState!G16</f>
        <v>2032380.1988819998</v>
      </c>
      <c r="H3" s="236">
        <f>IncState!H16</f>
        <v>1991732.5949043599</v>
      </c>
      <c r="I3" s="236">
        <f>IncState!I16</f>
        <v>1951897.9430062727</v>
      </c>
      <c r="J3" s="236">
        <f>IncState!J16</f>
        <v>1912859.9841461473</v>
      </c>
      <c r="K3" s="212"/>
      <c r="L3" s="212"/>
    </row>
    <row r="4" spans="1:12" x14ac:dyDescent="0.25">
      <c r="B4" s="4" t="s">
        <v>55</v>
      </c>
      <c r="E4" s="27"/>
      <c r="F4" s="4">
        <f>IncState!F19</f>
        <v>157644.2239999997</v>
      </c>
      <c r="G4" s="4">
        <f>IncState!G19</f>
        <v>154648.98374399985</v>
      </c>
      <c r="H4" s="4">
        <f>IncState!H19</f>
        <v>151556.00406911969</v>
      </c>
      <c r="I4" s="4">
        <f>IncState!I19</f>
        <v>148524.88398773759</v>
      </c>
      <c r="J4" s="4">
        <f>IncState!J19</f>
        <v>145554.38630798296</v>
      </c>
    </row>
    <row r="5" spans="1:12" x14ac:dyDescent="0.25">
      <c r="B5" s="29" t="s">
        <v>94</v>
      </c>
      <c r="C5" s="29"/>
      <c r="D5" s="29"/>
      <c r="E5" s="38"/>
      <c r="F5" s="42">
        <f>Assumptions!F16</f>
        <v>0.21</v>
      </c>
      <c r="G5" s="42">
        <f>Assumptions!G16</f>
        <v>0.21</v>
      </c>
      <c r="H5" s="42">
        <f>Assumptions!H16</f>
        <v>0.21</v>
      </c>
      <c r="I5" s="42">
        <f>Assumptions!I16</f>
        <v>0.21</v>
      </c>
      <c r="J5" s="42">
        <f>Assumptions!J16</f>
        <v>0.21</v>
      </c>
      <c r="K5" s="42"/>
      <c r="L5" s="42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69"/>
      <c r="L6" s="169"/>
    </row>
    <row r="7" spans="1:12" x14ac:dyDescent="0.25">
      <c r="A7" s="24" t="s">
        <v>126</v>
      </c>
      <c r="B7" s="21" t="s">
        <v>90</v>
      </c>
      <c r="C7" s="117"/>
      <c r="D7" s="117"/>
      <c r="E7" s="117"/>
      <c r="F7" s="132">
        <f t="shared" ref="F7:J7" si="1">F4*(1-F5)</f>
        <v>124538.93695999976</v>
      </c>
      <c r="G7" s="132">
        <f t="shared" ref="G7:J7" si="2">G4*(1-G5)</f>
        <v>122172.69715775989</v>
      </c>
      <c r="H7" s="132">
        <f t="shared" si="2"/>
        <v>119729.24321460456</v>
      </c>
      <c r="I7" s="132">
        <f t="shared" si="2"/>
        <v>117334.6583503127</v>
      </c>
      <c r="J7" s="132">
        <f t="shared" si="2"/>
        <v>114987.96518330654</v>
      </c>
      <c r="K7" s="276"/>
      <c r="L7" s="212"/>
    </row>
    <row r="8" spans="1:12" x14ac:dyDescent="0.25">
      <c r="B8" s="4" t="s">
        <v>15</v>
      </c>
      <c r="C8" s="117"/>
      <c r="D8" s="117"/>
      <c r="E8" s="118"/>
      <c r="F8" s="133">
        <f>CashFlow!F4</f>
        <v>65553.654342218375</v>
      </c>
      <c r="G8" s="133">
        <f>CashFlow!G4</f>
        <v>66820.730587662925</v>
      </c>
      <c r="H8" s="133">
        <f>CashFlow!H4</f>
        <v>67725.142354937154</v>
      </c>
      <c r="I8" s="133">
        <f>CashFlow!I4</f>
        <v>68309.498691564964</v>
      </c>
      <c r="J8" s="133">
        <f>CashFlow!J4</f>
        <v>68620.892920376034</v>
      </c>
      <c r="K8" s="211"/>
      <c r="L8" s="211"/>
    </row>
    <row r="9" spans="1:12" x14ac:dyDescent="0.25">
      <c r="B9" s="4" t="s">
        <v>54</v>
      </c>
      <c r="C9" s="5"/>
      <c r="D9" s="5"/>
      <c r="E9" s="23"/>
      <c r="F9" s="134">
        <f>CashFlow!F5</f>
        <v>0</v>
      </c>
      <c r="G9" s="134">
        <f>CashFlow!G5</f>
        <v>0</v>
      </c>
      <c r="H9" s="134">
        <f>CashFlow!H5</f>
        <v>0</v>
      </c>
      <c r="I9" s="134">
        <f>CashFlow!I5</f>
        <v>0</v>
      </c>
      <c r="J9" s="134">
        <f>CashFlow!J5</f>
        <v>0</v>
      </c>
      <c r="K9" s="211"/>
      <c r="L9" s="211"/>
    </row>
    <row r="10" spans="1:12" x14ac:dyDescent="0.25">
      <c r="B10" s="4" t="s">
        <v>91</v>
      </c>
      <c r="C10" s="5"/>
      <c r="D10" s="5"/>
      <c r="E10" s="23"/>
      <c r="F10" s="134">
        <f>CashFlow!F6</f>
        <v>388.31477999998606</v>
      </c>
      <c r="G10" s="134">
        <f>CashFlow!G6</f>
        <v>-1237.0414508200192</v>
      </c>
      <c r="H10" s="134">
        <f>CashFlow!H6</f>
        <v>-1277.4080665835645</v>
      </c>
      <c r="I10" s="134">
        <f>CashFlow!I6</f>
        <v>-1251.859905251913</v>
      </c>
      <c r="J10" s="134">
        <f>CashFlow!J6</f>
        <v>-1226.8227071469009</v>
      </c>
      <c r="K10" s="211"/>
      <c r="L10" s="211"/>
    </row>
    <row r="11" spans="1:12" x14ac:dyDescent="0.25">
      <c r="B11" s="4" t="s">
        <v>165</v>
      </c>
      <c r="C11" s="5"/>
      <c r="D11" s="5"/>
      <c r="E11" s="23"/>
      <c r="F11" s="134">
        <f>CashFlow!F7</f>
        <v>-578.5740000000078</v>
      </c>
      <c r="G11" s="134">
        <f>CashFlow!G7</f>
        <v>1843.1439060000121</v>
      </c>
      <c r="H11" s="134">
        <f>CashFlow!H7</f>
        <v>1903.2886018799909</v>
      </c>
      <c r="I11" s="134">
        <f>CashFlow!I7</f>
        <v>1865.2228298424016</v>
      </c>
      <c r="J11" s="134">
        <f>CashFlow!J7</f>
        <v>1827.9183732455567</v>
      </c>
      <c r="K11" s="211"/>
      <c r="L11" s="211"/>
    </row>
    <row r="12" spans="1:12" x14ac:dyDescent="0.25">
      <c r="B12" s="4" t="s">
        <v>166</v>
      </c>
      <c r="E12" s="27"/>
      <c r="F12" s="134">
        <f>CashFlow!F8</f>
        <v>1695.9120000000112</v>
      </c>
      <c r="G12" s="134">
        <f>CashFlow!G8</f>
        <v>-5402.6103280000389</v>
      </c>
      <c r="H12" s="134">
        <f>CashFlow!H8</f>
        <v>-5578.9060334399692</v>
      </c>
      <c r="I12" s="134">
        <f>CashFlow!I8</f>
        <v>-5467.3279127712012</v>
      </c>
      <c r="J12" s="134">
        <f>CashFlow!J8</f>
        <v>-5357.9813545157667</v>
      </c>
      <c r="K12" s="211"/>
      <c r="L12" s="211"/>
    </row>
    <row r="13" spans="1:12" x14ac:dyDescent="0.25">
      <c r="B13" s="4" t="s">
        <v>92</v>
      </c>
      <c r="E13" s="27"/>
      <c r="F13" s="130">
        <f>CashFlow!F11</f>
        <v>-74956.324298475913</v>
      </c>
      <c r="G13" s="130">
        <f>CashFlow!G11</f>
        <v>-73532.154136804864</v>
      </c>
      <c r="H13" s="130">
        <f>CashFlow!H11</f>
        <v>-72061.511054068775</v>
      </c>
      <c r="I13" s="130">
        <f>CashFlow!I11</f>
        <v>-70620.280832987395</v>
      </c>
      <c r="J13" s="130">
        <f>CashFlow!J11</f>
        <v>-69207.875216327651</v>
      </c>
      <c r="K13" s="130"/>
      <c r="L13" s="130"/>
    </row>
    <row r="14" spans="1:12" x14ac:dyDescent="0.25">
      <c r="E14" s="61"/>
      <c r="F14" s="135"/>
      <c r="G14" s="135"/>
      <c r="H14" s="135"/>
      <c r="I14" s="135"/>
      <c r="J14" s="135"/>
      <c r="K14" s="135"/>
      <c r="L14" s="135"/>
    </row>
    <row r="15" spans="1:12" s="11" customFormat="1" x14ac:dyDescent="0.25">
      <c r="A15" s="24" t="s">
        <v>126</v>
      </c>
      <c r="B15" s="33" t="s">
        <v>93</v>
      </c>
      <c r="C15" s="33"/>
      <c r="D15" s="33"/>
      <c r="E15" s="33"/>
      <c r="F15" s="33">
        <f>SUM(F7:F13)</f>
        <v>116641.91978374224</v>
      </c>
      <c r="G15" s="33">
        <f t="shared" ref="G15:J15" si="3">SUM(G7:G13)</f>
        <v>110664.7657357979</v>
      </c>
      <c r="H15" s="33">
        <f t="shared" si="3"/>
        <v>110439.8490173294</v>
      </c>
      <c r="I15" s="33">
        <f t="shared" si="3"/>
        <v>110169.91122070956</v>
      </c>
      <c r="J15" s="33">
        <f t="shared" si="3"/>
        <v>109644.0971989378</v>
      </c>
      <c r="K15" s="275"/>
    </row>
    <row r="16" spans="1:12" x14ac:dyDescent="0.25">
      <c r="B16" s="64"/>
      <c r="C16" s="64"/>
      <c r="D16" s="64"/>
      <c r="E16" s="64"/>
      <c r="F16" s="64"/>
      <c r="G16" s="64"/>
      <c r="H16" s="64"/>
      <c r="I16" s="82"/>
      <c r="J16" s="82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8" sqref="E8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3" t="str">
        <f>CoName</f>
        <v>Papa John's Inc</v>
      </c>
    </row>
    <row r="2" spans="1:13" x14ac:dyDescent="0.25">
      <c r="G2" s="145"/>
    </row>
    <row r="3" spans="1:13" x14ac:dyDescent="0.25">
      <c r="A3" s="27" t="s">
        <v>126</v>
      </c>
      <c r="B3" s="159" t="s">
        <v>102</v>
      </c>
      <c r="C3" s="160"/>
      <c r="D3" s="160"/>
      <c r="E3" s="161"/>
      <c r="F3" s="11"/>
      <c r="G3" s="75" t="s">
        <v>110</v>
      </c>
      <c r="H3" s="75" t="s">
        <v>105</v>
      </c>
      <c r="I3" s="75" t="s">
        <v>106</v>
      </c>
      <c r="J3" s="75" t="s">
        <v>107</v>
      </c>
      <c r="K3" s="75" t="s">
        <v>108</v>
      </c>
      <c r="L3" s="75" t="s">
        <v>113</v>
      </c>
      <c r="M3" s="75" t="s">
        <v>109</v>
      </c>
    </row>
    <row r="4" spans="1:13" x14ac:dyDescent="0.25">
      <c r="A4" s="27"/>
      <c r="B4" s="256" t="s">
        <v>167</v>
      </c>
      <c r="C4" s="65"/>
      <c r="D4" s="70"/>
      <c r="E4" s="257">
        <f>Assumptions!F16</f>
        <v>0.21</v>
      </c>
      <c r="G4" s="137"/>
      <c r="H4" s="138"/>
      <c r="I4" s="78"/>
      <c r="J4" s="79"/>
      <c r="K4" s="140"/>
      <c r="L4" s="150">
        <f>E4</f>
        <v>0.21</v>
      </c>
      <c r="M4" s="141">
        <f>H4/((1+K4*(1-L4)))</f>
        <v>0</v>
      </c>
    </row>
    <row r="5" spans="1:13" x14ac:dyDescent="0.25">
      <c r="A5" s="27"/>
      <c r="B5" s="65" t="s">
        <v>95</v>
      </c>
      <c r="C5" s="65"/>
      <c r="D5" s="70"/>
      <c r="E5" s="136">
        <v>4.1000000000000002E-2</v>
      </c>
      <c r="G5" s="137"/>
      <c r="H5" s="138"/>
      <c r="I5" s="78"/>
      <c r="J5" s="79"/>
      <c r="K5" s="140"/>
      <c r="L5" s="150">
        <f>L4</f>
        <v>0.21</v>
      </c>
      <c r="M5" s="141">
        <f t="shared" ref="M5:M7" si="0">H5/((1+K5*(1-L5)))</f>
        <v>0</v>
      </c>
    </row>
    <row r="6" spans="1:13" x14ac:dyDescent="0.25">
      <c r="A6" s="27"/>
      <c r="B6" s="65" t="s">
        <v>96</v>
      </c>
      <c r="C6" s="65"/>
      <c r="D6" s="70"/>
      <c r="E6" s="136">
        <v>0.05</v>
      </c>
      <c r="G6" s="137"/>
      <c r="H6" s="139"/>
      <c r="I6" s="80"/>
      <c r="J6" s="79"/>
      <c r="K6" s="140"/>
      <c r="L6" s="150">
        <f t="shared" ref="L6:L7" si="1">L5</f>
        <v>0.21</v>
      </c>
      <c r="M6" s="141">
        <f t="shared" si="0"/>
        <v>0</v>
      </c>
    </row>
    <row r="7" spans="1:13" x14ac:dyDescent="0.25">
      <c r="A7" s="27"/>
      <c r="B7" s="65" t="s">
        <v>97</v>
      </c>
      <c r="C7" s="65"/>
      <c r="D7" s="70"/>
      <c r="E7" s="218">
        <v>0.82</v>
      </c>
      <c r="G7" s="137"/>
      <c r="H7" s="139"/>
      <c r="I7" s="80"/>
      <c r="J7" s="81"/>
      <c r="K7" s="140"/>
      <c r="L7" s="150">
        <f t="shared" si="1"/>
        <v>0.21</v>
      </c>
      <c r="M7" s="141">
        <f t="shared" si="0"/>
        <v>0</v>
      </c>
    </row>
    <row r="8" spans="1:13" x14ac:dyDescent="0.25">
      <c r="A8" s="27"/>
      <c r="B8" s="65" t="s">
        <v>98</v>
      </c>
      <c r="C8" s="65"/>
      <c r="D8" s="70"/>
      <c r="E8" s="136">
        <f>E5+E6*E7</f>
        <v>8.2000000000000003E-2</v>
      </c>
      <c r="L8" s="64"/>
    </row>
    <row r="9" spans="1:13" x14ac:dyDescent="0.25">
      <c r="A9" s="27"/>
      <c r="B9" s="66" t="s">
        <v>99</v>
      </c>
      <c r="C9" s="66"/>
      <c r="D9" s="71"/>
      <c r="E9" s="142">
        <f>1-E10</f>
        <v>0.46146240197344979</v>
      </c>
      <c r="G9" s="4" t="s">
        <v>111</v>
      </c>
      <c r="L9" s="27"/>
      <c r="M9" s="217">
        <f>AVERAGE(M4:M7)</f>
        <v>0</v>
      </c>
    </row>
    <row r="10" spans="1:13" x14ac:dyDescent="0.25">
      <c r="A10" s="27"/>
      <c r="B10" s="67" t="s">
        <v>100</v>
      </c>
      <c r="C10" s="67"/>
      <c r="D10" s="72"/>
      <c r="E10" s="143">
        <f>BalSheet!E35/MAIN!F6</f>
        <v>0.53853759802655021</v>
      </c>
      <c r="M10" s="64"/>
    </row>
    <row r="11" spans="1:13" x14ac:dyDescent="0.25">
      <c r="A11" s="27"/>
      <c r="B11" s="158" t="s">
        <v>178</v>
      </c>
      <c r="C11" s="68"/>
      <c r="D11" s="73"/>
      <c r="E11" s="144">
        <f>Assumptions!F24</f>
        <v>3.875E-2</v>
      </c>
      <c r="G11" s="4" t="s">
        <v>112</v>
      </c>
      <c r="L11" s="27"/>
      <c r="M11" s="217">
        <f>M9*(1+E10*(1-E4))</f>
        <v>0</v>
      </c>
    </row>
    <row r="12" spans="1:13" x14ac:dyDescent="0.25">
      <c r="A12" s="27"/>
      <c r="B12" s="69" t="s">
        <v>101</v>
      </c>
      <c r="C12" s="69"/>
      <c r="D12" s="74"/>
      <c r="E12" s="144">
        <f>E11*(1-E4)</f>
        <v>3.0612500000000001E-2</v>
      </c>
      <c r="M12" s="64"/>
    </row>
    <row r="13" spans="1:13" s="11" customFormat="1" x14ac:dyDescent="0.25">
      <c r="A13" s="24" t="s">
        <v>126</v>
      </c>
      <c r="B13" s="159" t="s">
        <v>102</v>
      </c>
      <c r="C13" s="160"/>
      <c r="D13" s="161"/>
      <c r="E13" s="155">
        <f>WACC!E8*WACC!E9+WACC!E12*WACC!E10</f>
        <v>5.4325899181410654E-2</v>
      </c>
      <c r="F13" s="4"/>
    </row>
    <row r="14" spans="1:13" s="11" customFormat="1" x14ac:dyDescent="0.25">
      <c r="A14" s="24"/>
      <c r="B14" s="75" t="s">
        <v>103</v>
      </c>
      <c r="C14" s="75"/>
      <c r="D14" s="112"/>
      <c r="E14" s="146">
        <v>2.5000000000000001E-2</v>
      </c>
      <c r="F14" s="4"/>
    </row>
    <row r="15" spans="1:13" x14ac:dyDescent="0.25">
      <c r="B15" s="64"/>
      <c r="C15" s="64"/>
      <c r="D15" s="64"/>
      <c r="E15" s="6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M17" sqref="M17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0" width="12.28515625" style="4" customWidth="1"/>
    <col min="11" max="12" width="11.7109375" style="4" customWidth="1"/>
    <col min="13" max="16384" width="9" style="4"/>
  </cols>
  <sheetData>
    <row r="1" spans="1:14" ht="19.5" x14ac:dyDescent="0.3">
      <c r="A1" s="253" t="str">
        <f>CoName</f>
        <v>Papa John's Inc</v>
      </c>
      <c r="B1" s="3"/>
      <c r="C1" s="3"/>
      <c r="D1" s="40" t="s">
        <v>1</v>
      </c>
      <c r="E1" s="40" t="s">
        <v>1</v>
      </c>
      <c r="F1" s="40" t="s">
        <v>1</v>
      </c>
      <c r="G1" s="40" t="s">
        <v>1</v>
      </c>
      <c r="H1" s="40" t="s">
        <v>1</v>
      </c>
      <c r="I1" s="40"/>
      <c r="J1" s="40"/>
      <c r="K1" s="40"/>
      <c r="L1" s="40"/>
      <c r="M1" s="40"/>
    </row>
    <row r="2" spans="1:14" x14ac:dyDescent="0.25">
      <c r="A2" s="75" t="s">
        <v>114</v>
      </c>
      <c r="B2" s="19"/>
      <c r="C2" s="41"/>
      <c r="D2" s="75">
        <v>1</v>
      </c>
      <c r="E2" s="75">
        <f>D2+1</f>
        <v>2</v>
      </c>
      <c r="F2" s="75">
        <f t="shared" ref="F2:H2" si="0">E2+1</f>
        <v>3</v>
      </c>
      <c r="G2" s="75">
        <f t="shared" si="0"/>
        <v>4</v>
      </c>
      <c r="H2" s="75">
        <f t="shared" si="0"/>
        <v>5</v>
      </c>
      <c r="I2" s="156"/>
      <c r="J2" s="156"/>
      <c r="K2" s="156"/>
      <c r="L2" s="156"/>
      <c r="M2" s="156"/>
      <c r="N2" s="156"/>
    </row>
    <row r="3" spans="1:14" x14ac:dyDescent="0.25">
      <c r="B3" s="4" t="s">
        <v>183</v>
      </c>
      <c r="D3" s="8">
        <f>1/(1+$K$17)^D2</f>
        <v>0.9484733333179145</v>
      </c>
      <c r="E3" s="8">
        <f t="shared" ref="E3:H3" si="1">1/(1+$K$17)^E2</f>
        <v>0.8996016640151957</v>
      </c>
      <c r="F3" s="8">
        <f t="shared" si="1"/>
        <v>0.85324818892683529</v>
      </c>
      <c r="G3" s="8">
        <f t="shared" si="1"/>
        <v>0.80928315389890892</v>
      </c>
      <c r="H3" s="8">
        <f t="shared" si="1"/>
        <v>0.76758349057653297</v>
      </c>
      <c r="I3" s="8"/>
      <c r="J3" s="8"/>
      <c r="K3" s="8"/>
    </row>
    <row r="4" spans="1:14" x14ac:dyDescent="0.25">
      <c r="B4" s="4" t="s">
        <v>184</v>
      </c>
      <c r="D4" s="4">
        <f>D3*'Free Cash Flow'!F15</f>
        <v>110631.7504618868</v>
      </c>
      <c r="E4" s="4">
        <f>E3*'Free Cash Flow'!G15</f>
        <v>99554.20740377561</v>
      </c>
      <c r="F4" s="4">
        <f>F3*'Free Cash Flow'!H15</f>
        <v>94232.601159389436</v>
      </c>
      <c r="G4" s="4">
        <f>G3*'Free Cash Flow'!I15</f>
        <v>89158.653217458632</v>
      </c>
      <c r="H4" s="4">
        <f>H3*'Free Cash Flow'!J15</f>
        <v>84160.998849073338</v>
      </c>
    </row>
    <row r="5" spans="1:14" x14ac:dyDescent="0.25">
      <c r="G5" s="145"/>
      <c r="H5" s="4">
        <f>(H4*(1+$K$18))/($K$17-$K$18)</f>
        <v>2172192.2603155393</v>
      </c>
    </row>
    <row r="6" spans="1:14" x14ac:dyDescent="0.25">
      <c r="A6" s="75" t="s">
        <v>115</v>
      </c>
      <c r="B6" s="19"/>
      <c r="C6" s="41"/>
      <c r="D6" s="84"/>
      <c r="E6" s="75" t="s">
        <v>172</v>
      </c>
      <c r="F6" s="19"/>
      <c r="G6" s="41"/>
      <c r="H6" s="84" t="s">
        <v>168</v>
      </c>
      <c r="I6" s="75" t="s">
        <v>202</v>
      </c>
      <c r="J6" s="19"/>
      <c r="K6" s="41"/>
    </row>
    <row r="7" spans="1:14" x14ac:dyDescent="0.25">
      <c r="B7" s="4" t="s">
        <v>116</v>
      </c>
      <c r="C7" s="4">
        <f>SUM(D4:H4)</f>
        <v>477738.21109158383</v>
      </c>
      <c r="E7" s="4" t="s">
        <v>116</v>
      </c>
      <c r="G7" s="4">
        <f>C7</f>
        <v>477738.21109158383</v>
      </c>
      <c r="I7" s="4" t="s">
        <v>203</v>
      </c>
      <c r="K7" s="4">
        <f>IncState!F36</f>
        <v>66843.499305161618</v>
      </c>
    </row>
    <row r="8" spans="1:14" x14ac:dyDescent="0.25">
      <c r="B8" s="4" t="s">
        <v>117</v>
      </c>
      <c r="C8" s="4">
        <f>H5*H3</f>
        <v>1667338.9173763306</v>
      </c>
      <c r="E8" s="4" t="s">
        <v>173</v>
      </c>
      <c r="G8" s="4">
        <f>H3*G10*IncState!J23</f>
        <v>2465961.1263796114</v>
      </c>
      <c r="I8" s="4" t="s">
        <v>123</v>
      </c>
      <c r="K8" s="4">
        <f>K7/(WACC!E8-'DCF Model'!K18)</f>
        <v>997664.16873375548</v>
      </c>
    </row>
    <row r="9" spans="1:14" x14ac:dyDescent="0.25">
      <c r="B9" s="4" t="s">
        <v>118</v>
      </c>
      <c r="C9" s="4">
        <f>C7+C8</f>
        <v>2145077.1284679146</v>
      </c>
      <c r="E9" s="4" t="s">
        <v>118</v>
      </c>
      <c r="G9" s="4">
        <f>G7+G8</f>
        <v>2943699.3374711955</v>
      </c>
    </row>
    <row r="10" spans="1:14" x14ac:dyDescent="0.25">
      <c r="C10" s="83"/>
      <c r="E10" s="4" t="s">
        <v>119</v>
      </c>
      <c r="G10" s="83">
        <v>15</v>
      </c>
      <c r="I10" s="4" t="s">
        <v>124</v>
      </c>
      <c r="K10" s="4">
        <f>G17</f>
        <v>32789.415999999997</v>
      </c>
    </row>
    <row r="11" spans="1:14" x14ac:dyDescent="0.25">
      <c r="I11" s="147" t="s">
        <v>125</v>
      </c>
      <c r="J11" s="153"/>
      <c r="K11" s="154">
        <f>K8/K10</f>
        <v>30.426408592753088</v>
      </c>
    </row>
    <row r="12" spans="1:14" x14ac:dyDescent="0.25">
      <c r="B12" s="27" t="s">
        <v>120</v>
      </c>
      <c r="C12" s="36">
        <f>MAIN!F7</f>
        <v>38972</v>
      </c>
      <c r="E12" s="27" t="s">
        <v>120</v>
      </c>
      <c r="F12" s="153"/>
      <c r="G12" s="77">
        <f>C12</f>
        <v>38972</v>
      </c>
      <c r="I12" s="156"/>
    </row>
    <row r="13" spans="1:14" x14ac:dyDescent="0.25">
      <c r="B13" s="27" t="s">
        <v>121</v>
      </c>
      <c r="C13" s="36">
        <f>MAIN!F8</f>
        <v>727135</v>
      </c>
      <c r="E13" s="27" t="s">
        <v>121</v>
      </c>
      <c r="F13" s="153"/>
      <c r="G13" s="77">
        <f t="shared" ref="G13:G14" si="2">C13</f>
        <v>727135</v>
      </c>
    </row>
    <row r="14" spans="1:14" x14ac:dyDescent="0.25">
      <c r="B14" s="27" t="s">
        <v>122</v>
      </c>
      <c r="C14" s="36">
        <v>0</v>
      </c>
      <c r="E14" s="4" t="s">
        <v>122</v>
      </c>
      <c r="G14" s="77">
        <f t="shared" si="2"/>
        <v>0</v>
      </c>
    </row>
    <row r="15" spans="1:14" x14ac:dyDescent="0.25">
      <c r="B15" s="4" t="s">
        <v>123</v>
      </c>
      <c r="C15" s="64">
        <f>C9+C12-SUM(C13:C14)</f>
        <v>1456914.1284679146</v>
      </c>
      <c r="E15" s="4" t="s">
        <v>123</v>
      </c>
      <c r="G15" s="64">
        <f>G9+G12-SUM(G13:G14)</f>
        <v>2255536.3374711955</v>
      </c>
    </row>
    <row r="17" spans="1:17" x14ac:dyDescent="0.25">
      <c r="B17" s="4" t="s">
        <v>124</v>
      </c>
      <c r="C17" s="4">
        <f>MAIN!F5</f>
        <v>32789.415999999997</v>
      </c>
      <c r="E17" s="4" t="s">
        <v>124</v>
      </c>
      <c r="G17" s="4">
        <f>C17</f>
        <v>32789.415999999997</v>
      </c>
      <c r="I17" s="159" t="s">
        <v>102</v>
      </c>
      <c r="J17" s="160"/>
      <c r="K17" s="155">
        <f>WACC!E13</f>
        <v>5.4325899181410654E-2</v>
      </c>
    </row>
    <row r="18" spans="1:17" x14ac:dyDescent="0.25">
      <c r="A18" s="4" t="s">
        <v>126</v>
      </c>
      <c r="B18" s="147" t="s">
        <v>125</v>
      </c>
      <c r="C18" s="154">
        <f>C15/C17</f>
        <v>44.432451266223062</v>
      </c>
      <c r="E18" s="147" t="s">
        <v>125</v>
      </c>
      <c r="F18" s="153"/>
      <c r="G18" s="154">
        <f>G15/G17</f>
        <v>68.788548642378856</v>
      </c>
      <c r="I18" s="75" t="s">
        <v>103</v>
      </c>
      <c r="J18" s="75"/>
      <c r="K18" s="146">
        <v>1.4999999999999999E-2</v>
      </c>
    </row>
    <row r="19" spans="1:17" x14ac:dyDescent="0.25">
      <c r="C19" s="21"/>
    </row>
    <row r="20" spans="1:17" x14ac:dyDescent="0.25">
      <c r="A20" s="113" t="s">
        <v>148</v>
      </c>
      <c r="B20" s="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213"/>
    </row>
    <row r="21" spans="1:17" x14ac:dyDescent="0.25">
      <c r="B21" s="114"/>
      <c r="C21" s="114"/>
      <c r="D21" s="114"/>
      <c r="E21" s="114"/>
      <c r="F21" s="114"/>
      <c r="G21" s="114"/>
      <c r="H21" s="114"/>
      <c r="I21" s="114"/>
    </row>
    <row r="22" spans="1:17" x14ac:dyDescent="0.25">
      <c r="B22" s="114"/>
      <c r="C22" s="114" t="s">
        <v>149</v>
      </c>
      <c r="D22" s="114"/>
      <c r="E22" s="115">
        <v>5.0000000000000001E-3</v>
      </c>
      <c r="F22" s="114"/>
      <c r="G22" s="114"/>
      <c r="H22" s="114" t="s">
        <v>149</v>
      </c>
      <c r="I22" s="114"/>
      <c r="J22" s="115">
        <v>5.0000000000000001E-3</v>
      </c>
    </row>
    <row r="23" spans="1:17" x14ac:dyDescent="0.25">
      <c r="B23" s="114"/>
      <c r="C23" s="114" t="s">
        <v>150</v>
      </c>
      <c r="D23" s="114"/>
      <c r="E23" s="148">
        <v>2.5000000000000001E-3</v>
      </c>
      <c r="F23" s="114"/>
      <c r="G23" s="114"/>
      <c r="H23" s="114" t="s">
        <v>171</v>
      </c>
      <c r="I23" s="114"/>
      <c r="J23" s="152">
        <v>2</v>
      </c>
    </row>
    <row r="24" spans="1:17" x14ac:dyDescent="0.25">
      <c r="B24" s="114"/>
      <c r="C24" s="114"/>
      <c r="D24" s="114"/>
      <c r="E24" s="164"/>
      <c r="F24" s="114"/>
      <c r="G24" s="114"/>
      <c r="H24" s="114"/>
      <c r="I24" s="114"/>
      <c r="J24" s="163"/>
    </row>
    <row r="25" spans="1:17" x14ac:dyDescent="0.25">
      <c r="B25" s="114"/>
      <c r="C25" s="238"/>
      <c r="D25" s="238"/>
      <c r="E25" s="238" t="s">
        <v>186</v>
      </c>
      <c r="F25" s="238"/>
      <c r="H25" s="238"/>
      <c r="I25" s="238"/>
      <c r="J25" s="238" t="s">
        <v>187</v>
      </c>
      <c r="K25" s="238"/>
      <c r="P25" s="166"/>
    </row>
    <row r="26" spans="1:17" x14ac:dyDescent="0.25">
      <c r="B26" s="156"/>
      <c r="C26" s="289">
        <f>C18</f>
        <v>44.432451266223062</v>
      </c>
      <c r="D26" s="239">
        <f>E26-E23</f>
        <v>1.2499999999999999E-2</v>
      </c>
      <c r="E26" s="239">
        <v>1.4999999999999999E-2</v>
      </c>
      <c r="F26" s="239">
        <f>E26+E23</f>
        <v>1.7499999999999998E-2</v>
      </c>
      <c r="G26" s="237"/>
      <c r="H26" s="289">
        <f>G18</f>
        <v>68.788548642378856</v>
      </c>
      <c r="I26" s="279">
        <f>J26-J23</f>
        <v>13</v>
      </c>
      <c r="J26" s="279">
        <v>15</v>
      </c>
      <c r="K26" s="279">
        <f>J26+J23</f>
        <v>17</v>
      </c>
    </row>
    <row r="27" spans="1:17" x14ac:dyDescent="0.25">
      <c r="B27" s="156"/>
      <c r="C27" s="283">
        <f>C28+$E$22</f>
        <v>6.4325899181410656E-2</v>
      </c>
      <c r="D27" s="284">
        <f t="dataTable" ref="D27:F31" dt2D="1" dtr="1" r1="K18" r2="K17"/>
        <v>28.217720453695375</v>
      </c>
      <c r="E27" s="286">
        <v>30.083662078973479</v>
      </c>
      <c r="F27" s="278">
        <v>32.14884618094694</v>
      </c>
      <c r="G27" s="239"/>
      <c r="H27" s="290">
        <f>C27</f>
        <v>6.4325899181410656E-2</v>
      </c>
      <c r="I27" s="284">
        <f t="dataTable" ref="I27:K31" dt2D="1" dtr="1" r1="G10" r2="K17" ca="1"/>
        <v>55.368289302316562</v>
      </c>
      <c r="J27" s="286">
        <v>64.933455138366583</v>
      </c>
      <c r="K27" s="278">
        <v>74.498620974416625</v>
      </c>
      <c r="N27" s="240"/>
      <c r="P27" s="166"/>
    </row>
    <row r="28" spans="1:17" x14ac:dyDescent="0.25">
      <c r="B28" s="156"/>
      <c r="C28" s="283">
        <f>C29+$E$22</f>
        <v>5.9325899181410652E-2</v>
      </c>
      <c r="D28" s="277">
        <v>34.018199549491726</v>
      </c>
      <c r="E28" s="287">
        <v>36.415826378329996</v>
      </c>
      <c r="F28" s="277">
        <v>39.100073085731928</v>
      </c>
      <c r="G28" s="166"/>
      <c r="H28" s="290">
        <f>C28</f>
        <v>5.9325899181410652E-2</v>
      </c>
      <c r="I28" s="277">
        <v>57.041324243040677</v>
      </c>
      <c r="J28" s="287">
        <v>66.834368201308777</v>
      </c>
      <c r="K28" s="277">
        <v>76.627412159576892</v>
      </c>
      <c r="N28" s="241"/>
      <c r="O28" s="46"/>
      <c r="P28" s="46"/>
      <c r="Q28" s="46"/>
    </row>
    <row r="29" spans="1:17" x14ac:dyDescent="0.25">
      <c r="C29" s="283">
        <v>5.4325899181410654E-2</v>
      </c>
      <c r="D29" s="288">
        <v>41.275311848290585</v>
      </c>
      <c r="E29" s="285">
        <v>44.432451266223062</v>
      </c>
      <c r="F29" s="288">
        <v>48.018248162738722</v>
      </c>
      <c r="G29" s="242"/>
      <c r="H29" s="290">
        <f>C29</f>
        <v>5.4325899181410654E-2</v>
      </c>
      <c r="I29" s="288">
        <v>58.761080728628407</v>
      </c>
      <c r="J29" s="285">
        <v>68.788548642378856</v>
      </c>
      <c r="K29" s="288">
        <v>78.816016556129256</v>
      </c>
      <c r="N29" s="244"/>
      <c r="O29" s="162"/>
      <c r="P29" s="162"/>
      <c r="Q29" s="162"/>
    </row>
    <row r="30" spans="1:17" x14ac:dyDescent="0.25">
      <c r="C30" s="283">
        <f>C29-$E$22</f>
        <v>4.9325899181410657E-2</v>
      </c>
      <c r="D30" s="277">
        <v>50.588193408872179</v>
      </c>
      <c r="E30" s="288">
        <v>54.875877415785659</v>
      </c>
      <c r="F30" s="277">
        <v>59.837176955519368</v>
      </c>
      <c r="G30" s="243"/>
      <c r="H30" s="290">
        <f>C30</f>
        <v>4.9325899181410657E-2</v>
      </c>
      <c r="I30" s="277">
        <v>60.529110110878968</v>
      </c>
      <c r="J30" s="288">
        <v>70.797768235343241</v>
      </c>
      <c r="K30" s="277">
        <v>81.066426359807522</v>
      </c>
      <c r="M30" s="46"/>
      <c r="N30" s="162"/>
      <c r="O30" s="83"/>
      <c r="P30" s="83"/>
      <c r="Q30" s="83"/>
    </row>
    <row r="31" spans="1:17" x14ac:dyDescent="0.25">
      <c r="C31" s="283">
        <f>C30-$E$22</f>
        <v>4.4325899181410659E-2</v>
      </c>
      <c r="D31" s="277">
        <v>62.932962776355581</v>
      </c>
      <c r="E31" s="288">
        <v>68.99523069256449</v>
      </c>
      <c r="F31" s="277">
        <v>76.187426794071641</v>
      </c>
      <c r="G31" s="243"/>
      <c r="H31" s="290">
        <f>C31</f>
        <v>4.4325899181410659E-2</v>
      </c>
      <c r="I31" s="277">
        <v>62.347023231646638</v>
      </c>
      <c r="J31" s="288">
        <v>72.863866767712651</v>
      </c>
      <c r="K31" s="277">
        <v>83.38071030377867</v>
      </c>
      <c r="M31" s="46"/>
      <c r="N31" s="162"/>
      <c r="O31" s="83"/>
      <c r="P31" s="83"/>
      <c r="Q31" s="83"/>
    </row>
    <row r="32" spans="1:17" x14ac:dyDescent="0.25">
      <c r="D32" s="46"/>
      <c r="E32" s="145"/>
      <c r="F32" s="224"/>
      <c r="G32" s="243"/>
      <c r="H32" s="225"/>
      <c r="I32" s="225"/>
      <c r="J32" s="225"/>
      <c r="K32" s="245"/>
      <c r="L32" s="145"/>
      <c r="M32" s="46"/>
      <c r="N32" s="162"/>
      <c r="O32" s="83"/>
      <c r="P32" s="83"/>
      <c r="Q32" s="83"/>
    </row>
    <row r="33" spans="2:17" x14ac:dyDescent="0.25">
      <c r="D33" s="46"/>
      <c r="E33" s="220"/>
      <c r="F33" s="224"/>
      <c r="G33" s="243"/>
      <c r="H33" s="225"/>
      <c r="I33" s="225"/>
      <c r="J33" s="225"/>
      <c r="K33" s="240"/>
      <c r="M33" s="46"/>
      <c r="N33" s="162"/>
      <c r="O33" s="83"/>
      <c r="P33" s="83"/>
      <c r="Q33" s="83"/>
    </row>
    <row r="34" spans="2:17" x14ac:dyDescent="0.25">
      <c r="D34" s="46"/>
      <c r="E34" s="220"/>
      <c r="F34" s="224"/>
      <c r="G34" s="243"/>
      <c r="H34" s="225"/>
      <c r="I34" s="225"/>
      <c r="J34" s="225"/>
      <c r="K34" s="240"/>
      <c r="M34" s="46"/>
      <c r="N34" s="162"/>
      <c r="O34" s="83"/>
      <c r="P34" s="83"/>
      <c r="Q34" s="83"/>
    </row>
    <row r="35" spans="2:17" x14ac:dyDescent="0.25">
      <c r="B35" s="246"/>
      <c r="C35" s="246"/>
      <c r="D35" s="246"/>
      <c r="E35" s="247"/>
      <c r="F35" s="248"/>
      <c r="G35" s="247"/>
    </row>
    <row r="36" spans="2:17" x14ac:dyDescent="0.25">
      <c r="B36" s="114"/>
      <c r="C36" s="114"/>
      <c r="D36" s="114"/>
      <c r="E36" s="114"/>
      <c r="F36" s="238"/>
      <c r="G36" s="238"/>
      <c r="H36" s="238"/>
      <c r="I36" s="166"/>
      <c r="J36" s="166"/>
      <c r="P36" s="166"/>
    </row>
    <row r="37" spans="2:17" x14ac:dyDescent="0.25">
      <c r="F37" s="226"/>
      <c r="G37" s="226"/>
      <c r="H37" s="224"/>
      <c r="I37" s="224"/>
      <c r="J37" s="224"/>
      <c r="M37" s="166"/>
      <c r="O37" s="83"/>
      <c r="P37" s="83"/>
      <c r="Q37" s="83"/>
    </row>
    <row r="38" spans="2:17" x14ac:dyDescent="0.25">
      <c r="E38" s="46"/>
      <c r="F38" s="223"/>
      <c r="G38" s="249"/>
      <c r="H38" s="243"/>
      <c r="I38" s="243"/>
      <c r="J38" s="243"/>
      <c r="L38" s="83"/>
      <c r="M38" s="83"/>
      <c r="N38" s="250"/>
      <c r="O38" s="165"/>
      <c r="P38" s="165"/>
      <c r="Q38" s="165"/>
    </row>
    <row r="39" spans="2:17" x14ac:dyDescent="0.25">
      <c r="E39" s="46"/>
      <c r="F39" s="224"/>
      <c r="G39" s="243"/>
      <c r="H39" s="223"/>
      <c r="I39" s="223"/>
      <c r="J39" s="223"/>
      <c r="K39" s="46"/>
      <c r="M39" s="46"/>
      <c r="N39" s="162"/>
      <c r="O39" s="251"/>
      <c r="P39" s="251"/>
      <c r="Q39" s="251"/>
    </row>
    <row r="40" spans="2:17" x14ac:dyDescent="0.25">
      <c r="D40" s="8"/>
      <c r="E40" s="46"/>
      <c r="F40" s="224"/>
      <c r="G40" s="243"/>
      <c r="H40" s="223"/>
      <c r="I40" s="223"/>
      <c r="J40" s="223"/>
      <c r="K40" s="8"/>
      <c r="L40" s="46"/>
      <c r="M40" s="46"/>
      <c r="N40" s="162"/>
      <c r="O40" s="251"/>
      <c r="P40" s="251"/>
      <c r="Q40" s="251"/>
    </row>
    <row r="41" spans="2:17" x14ac:dyDescent="0.25">
      <c r="D41" s="8"/>
      <c r="E41" s="145"/>
      <c r="F41" s="224"/>
      <c r="G41" s="243"/>
      <c r="H41" s="223"/>
      <c r="I41" s="223"/>
      <c r="J41" s="223"/>
      <c r="K41" s="8"/>
      <c r="L41" s="145"/>
      <c r="M41" s="46"/>
      <c r="N41" s="162"/>
      <c r="O41" s="251"/>
      <c r="P41" s="251"/>
      <c r="Q41" s="251"/>
    </row>
    <row r="42" spans="2:17" x14ac:dyDescent="0.25">
      <c r="D42" s="8"/>
      <c r="E42" s="46"/>
      <c r="F42" s="224"/>
      <c r="G42" s="243"/>
      <c r="H42" s="223"/>
      <c r="I42" s="223"/>
      <c r="J42" s="223"/>
      <c r="K42" s="8"/>
      <c r="L42" s="46"/>
      <c r="M42" s="46"/>
      <c r="N42" s="162"/>
      <c r="O42" s="251"/>
      <c r="P42" s="251"/>
      <c r="Q42" s="251"/>
    </row>
    <row r="43" spans="2:17" x14ac:dyDescent="0.25">
      <c r="D43" s="8"/>
      <c r="E43" s="8"/>
      <c r="F43" s="224"/>
      <c r="G43" s="243"/>
      <c r="H43" s="223"/>
      <c r="I43" s="223"/>
      <c r="J43" s="223"/>
      <c r="K43" s="8"/>
      <c r="L43" s="46"/>
      <c r="M43" s="46"/>
      <c r="N43" s="162"/>
      <c r="O43" s="251"/>
      <c r="P43" s="251"/>
      <c r="Q43" s="251"/>
    </row>
    <row r="44" spans="2:17" x14ac:dyDescent="0.25">
      <c r="D44" s="8"/>
      <c r="E44" s="8"/>
      <c r="F44" s="83"/>
      <c r="G44" s="83"/>
      <c r="H44" s="83"/>
      <c r="J44" s="8"/>
      <c r="K44" s="8"/>
      <c r="L44" s="46"/>
      <c r="M44" s="46"/>
      <c r="N44" s="46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9B163E-8FD9-4F0C-B1E1-F38F6A6548CE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88a26cf8-717e-46a4-ac0d-03f11284dc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2025-12-16T03:35:08Z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