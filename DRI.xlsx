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674351D4-B591-4797-A7E3-46BF16AE48DB}" xr6:coauthVersionLast="47" xr6:coauthVersionMax="47" xr10:uidLastSave="{00000000-0000-0000-0000-000000000000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2" l="1"/>
  <c r="K7" i="12"/>
  <c r="K10" i="12"/>
  <c r="K11" i="12"/>
  <c r="K5" i="3" s="1"/>
  <c r="K6" i="3" s="1"/>
  <c r="H28" i="12"/>
  <c r="H29" i="12"/>
  <c r="H30" i="12"/>
  <c r="H31" i="12"/>
  <c r="H27" i="12"/>
  <c r="K26" i="12"/>
  <c r="I26" i="12"/>
  <c r="C31" i="12"/>
  <c r="C30" i="12"/>
  <c r="C27" i="12"/>
  <c r="C28" i="12"/>
  <c r="D26" i="12"/>
  <c r="F26" i="12"/>
  <c r="G17" i="12"/>
  <c r="G13" i="12"/>
  <c r="G14" i="12"/>
  <c r="G12" i="12"/>
  <c r="C17" i="12"/>
  <c r="C13" i="12"/>
  <c r="C12" i="12"/>
  <c r="E3" i="12"/>
  <c r="E4" i="12" s="1"/>
  <c r="F3" i="12"/>
  <c r="F4" i="12" s="1"/>
  <c r="G3" i="12"/>
  <c r="G4" i="12" s="1"/>
  <c r="H3" i="12"/>
  <c r="D3" i="12"/>
  <c r="D4" i="12" s="1"/>
  <c r="K17" i="12"/>
  <c r="E9" i="11"/>
  <c r="G3" i="10"/>
  <c r="H3" i="10"/>
  <c r="I3" i="10"/>
  <c r="J3" i="10"/>
  <c r="G4" i="10"/>
  <c r="H4" i="10"/>
  <c r="I4" i="10"/>
  <c r="J4" i="10"/>
  <c r="G8" i="10"/>
  <c r="H8" i="10"/>
  <c r="I8" i="10"/>
  <c r="J8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4" i="9"/>
  <c r="H4" i="9"/>
  <c r="I4" i="9"/>
  <c r="J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11" i="9"/>
  <c r="G12" i="9" s="1"/>
  <c r="H11" i="9"/>
  <c r="I11" i="9"/>
  <c r="J11" i="9"/>
  <c r="H12" i="9"/>
  <c r="I12" i="9"/>
  <c r="J12" i="9"/>
  <c r="G14" i="9"/>
  <c r="H14" i="9"/>
  <c r="I14" i="9"/>
  <c r="J14" i="9"/>
  <c r="G15" i="9"/>
  <c r="H15" i="9"/>
  <c r="I15" i="9"/>
  <c r="I17" i="9" s="1"/>
  <c r="J15" i="9"/>
  <c r="G16" i="9"/>
  <c r="H16" i="9"/>
  <c r="I16" i="9"/>
  <c r="J16" i="9"/>
  <c r="G17" i="9"/>
  <c r="H17" i="9"/>
  <c r="J17" i="9"/>
  <c r="G16" i="8"/>
  <c r="G19" i="5" s="1"/>
  <c r="H16" i="8"/>
  <c r="H19" i="5" s="1"/>
  <c r="I16" i="8"/>
  <c r="I19" i="5" s="1"/>
  <c r="J16" i="8"/>
  <c r="J19" i="5" s="1"/>
  <c r="G18" i="8"/>
  <c r="G20" i="5" s="1"/>
  <c r="H18" i="8"/>
  <c r="H20" i="5" s="1"/>
  <c r="I18" i="8"/>
  <c r="I20" i="5" s="1"/>
  <c r="J18" i="8"/>
  <c r="J20" i="5" s="1"/>
  <c r="G19" i="8"/>
  <c r="G21" i="5" s="1"/>
  <c r="H19" i="8"/>
  <c r="H21" i="5" s="1"/>
  <c r="I19" i="8"/>
  <c r="I21" i="5" s="1"/>
  <c r="J19" i="8"/>
  <c r="J21" i="5" s="1"/>
  <c r="G20" i="8"/>
  <c r="G22" i="5" s="1"/>
  <c r="H20" i="8"/>
  <c r="H22" i="5" s="1"/>
  <c r="I20" i="8"/>
  <c r="I22" i="5" s="1"/>
  <c r="J20" i="8"/>
  <c r="J22" i="5" s="1"/>
  <c r="G23" i="8"/>
  <c r="H23" i="8"/>
  <c r="I23" i="8"/>
  <c r="J23" i="8"/>
  <c r="G24" i="8"/>
  <c r="H24" i="8" s="1"/>
  <c r="G25" i="8"/>
  <c r="H25" i="8"/>
  <c r="I25" i="8"/>
  <c r="J25" i="8"/>
  <c r="G26" i="8"/>
  <c r="G31" i="8"/>
  <c r="G23" i="5" s="1"/>
  <c r="H31" i="8"/>
  <c r="H23" i="5" s="1"/>
  <c r="I31" i="8"/>
  <c r="I23" i="5" s="1"/>
  <c r="J31" i="8"/>
  <c r="J23" i="5" s="1"/>
  <c r="G32" i="8"/>
  <c r="G24" i="5" s="1"/>
  <c r="H32" i="8"/>
  <c r="H24" i="5" s="1"/>
  <c r="I32" i="8"/>
  <c r="I24" i="5" s="1"/>
  <c r="J32" i="8"/>
  <c r="J24" i="5" s="1"/>
  <c r="G35" i="8"/>
  <c r="H35" i="8"/>
  <c r="H37" i="8" s="1"/>
  <c r="I35" i="8"/>
  <c r="J35" i="8"/>
  <c r="G36" i="8"/>
  <c r="H36" i="8"/>
  <c r="I36" i="8"/>
  <c r="J36" i="8"/>
  <c r="G37" i="8"/>
  <c r="I37" i="8"/>
  <c r="J37" i="8"/>
  <c r="G16" i="7"/>
  <c r="G19" i="7" s="1"/>
  <c r="H16" i="7"/>
  <c r="H19" i="7" s="1"/>
  <c r="I16" i="7"/>
  <c r="J16" i="7"/>
  <c r="G17" i="7"/>
  <c r="H17" i="7"/>
  <c r="I17" i="7"/>
  <c r="J17" i="7"/>
  <c r="G18" i="7"/>
  <c r="H18" i="7"/>
  <c r="G21" i="7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5" i="7"/>
  <c r="H35" i="7"/>
  <c r="I35" i="7"/>
  <c r="J35" i="7"/>
  <c r="J36" i="7" s="1"/>
  <c r="J15" i="5" s="1"/>
  <c r="G38" i="7"/>
  <c r="G36" i="7" s="1"/>
  <c r="G15" i="5" s="1"/>
  <c r="H38" i="7"/>
  <c r="H36" i="7" s="1"/>
  <c r="H15" i="5" s="1"/>
  <c r="I38" i="7"/>
  <c r="I36" i="7" s="1"/>
  <c r="I15" i="5" s="1"/>
  <c r="J38" i="7"/>
  <c r="G39" i="7"/>
  <c r="H39" i="7"/>
  <c r="I39" i="7"/>
  <c r="J39" i="7"/>
  <c r="F29" i="7"/>
  <c r="F28" i="7"/>
  <c r="F31" i="7" s="1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H22" i="6" s="1"/>
  <c r="H28" i="6" s="1"/>
  <c r="I21" i="6"/>
  <c r="J21" i="6"/>
  <c r="G22" i="6"/>
  <c r="G24" i="6"/>
  <c r="H24" i="6"/>
  <c r="I24" i="6"/>
  <c r="J24" i="6"/>
  <c r="G25" i="6"/>
  <c r="H25" i="6"/>
  <c r="I25" i="6"/>
  <c r="J25" i="6"/>
  <c r="G26" i="6"/>
  <c r="G27" i="6"/>
  <c r="G28" i="6"/>
  <c r="G30" i="6"/>
  <c r="H30" i="6"/>
  <c r="I30" i="6"/>
  <c r="J30" i="6"/>
  <c r="G32" i="6"/>
  <c r="H32" i="6"/>
  <c r="I32" i="6"/>
  <c r="J32" i="6"/>
  <c r="G6" i="5"/>
  <c r="G7" i="5"/>
  <c r="H7" i="5"/>
  <c r="I7" i="5"/>
  <c r="J7" i="5"/>
  <c r="G8" i="5"/>
  <c r="G9" i="5"/>
  <c r="H6" i="5" s="1"/>
  <c r="G10" i="5"/>
  <c r="H10" i="5"/>
  <c r="I10" i="5"/>
  <c r="J10" i="5"/>
  <c r="G11" i="5"/>
  <c r="H11" i="5"/>
  <c r="I11" i="5"/>
  <c r="J11" i="5"/>
  <c r="G16" i="5"/>
  <c r="H16" i="5"/>
  <c r="I16" i="5"/>
  <c r="J16" i="5"/>
  <c r="G18" i="5"/>
  <c r="H18" i="5"/>
  <c r="I18" i="5"/>
  <c r="J18" i="5"/>
  <c r="F13" i="10"/>
  <c r="F12" i="10"/>
  <c r="F11" i="10"/>
  <c r="F10" i="10"/>
  <c r="F9" i="10"/>
  <c r="F8" i="10"/>
  <c r="F21" i="9"/>
  <c r="B22" i="9"/>
  <c r="F17" i="9"/>
  <c r="F16" i="9"/>
  <c r="F15" i="9"/>
  <c r="F14" i="9"/>
  <c r="F12" i="9"/>
  <c r="F11" i="9"/>
  <c r="F8" i="9"/>
  <c r="F7" i="9"/>
  <c r="F6" i="9"/>
  <c r="F5" i="9"/>
  <c r="F4" i="9"/>
  <c r="F24" i="5"/>
  <c r="F23" i="5"/>
  <c r="F22" i="5"/>
  <c r="F25" i="5" s="1"/>
  <c r="F26" i="5" s="1"/>
  <c r="F21" i="5"/>
  <c r="F20" i="5"/>
  <c r="F19" i="5"/>
  <c r="E25" i="5"/>
  <c r="E24" i="5"/>
  <c r="E23" i="5"/>
  <c r="E22" i="5"/>
  <c r="E21" i="5"/>
  <c r="E20" i="5"/>
  <c r="E19" i="5"/>
  <c r="F16" i="5"/>
  <c r="F15" i="5"/>
  <c r="F13" i="5"/>
  <c r="E17" i="5"/>
  <c r="F35" i="8"/>
  <c r="F32" i="6"/>
  <c r="F28" i="6"/>
  <c r="F27" i="6"/>
  <c r="F26" i="6"/>
  <c r="F25" i="6"/>
  <c r="F22" i="6"/>
  <c r="F21" i="6"/>
  <c r="F20" i="6"/>
  <c r="F19" i="6"/>
  <c r="F18" i="6"/>
  <c r="F17" i="6"/>
  <c r="E20" i="6"/>
  <c r="E2" i="6"/>
  <c r="F2" i="6"/>
  <c r="G2" i="6" s="1"/>
  <c r="H2" i="6" s="1"/>
  <c r="I2" i="6" s="1"/>
  <c r="J2" i="6" s="1"/>
  <c r="D2" i="6"/>
  <c r="F36" i="8"/>
  <c r="F32" i="8"/>
  <c r="F31" i="8"/>
  <c r="F25" i="8"/>
  <c r="F24" i="8"/>
  <c r="F23" i="8"/>
  <c r="F21" i="7"/>
  <c r="F9" i="5"/>
  <c r="F8" i="5"/>
  <c r="F7" i="5"/>
  <c r="F6" i="5"/>
  <c r="E9" i="5"/>
  <c r="F20" i="8"/>
  <c r="F19" i="8"/>
  <c r="F18" i="8"/>
  <c r="F16" i="8"/>
  <c r="F36" i="7"/>
  <c r="F35" i="7"/>
  <c r="F39" i="7"/>
  <c r="F38" i="7"/>
  <c r="F26" i="7"/>
  <c r="F25" i="7"/>
  <c r="F19" i="7"/>
  <c r="H12" i="13"/>
  <c r="I12" i="13" s="1"/>
  <c r="J12" i="13" s="1"/>
  <c r="G12" i="13"/>
  <c r="G11" i="13"/>
  <c r="H11" i="13" s="1"/>
  <c r="I11" i="13" s="1"/>
  <c r="J11" i="13" s="1"/>
  <c r="F11" i="13"/>
  <c r="F18" i="7"/>
  <c r="F16" i="7"/>
  <c r="E23" i="13"/>
  <c r="C32" i="13"/>
  <c r="F32" i="13" s="1"/>
  <c r="D32" i="13"/>
  <c r="E32" i="13"/>
  <c r="C36" i="8"/>
  <c r="C32" i="8"/>
  <c r="C31" i="8"/>
  <c r="C24" i="8"/>
  <c r="C23" i="8"/>
  <c r="C20" i="8"/>
  <c r="C17" i="8"/>
  <c r="D36" i="8"/>
  <c r="E36" i="8"/>
  <c r="D32" i="8"/>
  <c r="D31" i="8"/>
  <c r="E32" i="8"/>
  <c r="E31" i="8"/>
  <c r="D24" i="8"/>
  <c r="D23" i="8"/>
  <c r="E23" i="8"/>
  <c r="E24" i="8"/>
  <c r="D20" i="8"/>
  <c r="E20" i="8"/>
  <c r="D16" i="8"/>
  <c r="D17" i="8" s="1"/>
  <c r="C16" i="8"/>
  <c r="E16" i="8"/>
  <c r="E17" i="8" s="1"/>
  <c r="E35" i="7"/>
  <c r="D35" i="7"/>
  <c r="C35" i="7"/>
  <c r="C18" i="7"/>
  <c r="C17" i="7"/>
  <c r="D18" i="7"/>
  <c r="D17" i="7"/>
  <c r="E18" i="7"/>
  <c r="E17" i="7"/>
  <c r="F8" i="3"/>
  <c r="G8" i="12" l="1"/>
  <c r="H4" i="12"/>
  <c r="I24" i="8"/>
  <c r="H26" i="8"/>
  <c r="G25" i="5"/>
  <c r="I25" i="5"/>
  <c r="J25" i="5"/>
  <c r="J26" i="5" s="1"/>
  <c r="H25" i="5"/>
  <c r="I26" i="5" s="1"/>
  <c r="G31" i="7"/>
  <c r="G23" i="7"/>
  <c r="H31" i="7"/>
  <c r="I18" i="7"/>
  <c r="I19" i="7"/>
  <c r="J18" i="7"/>
  <c r="J19" i="7"/>
  <c r="I17" i="6"/>
  <c r="I20" i="6" s="1"/>
  <c r="H26" i="6"/>
  <c r="H27" i="6" s="1"/>
  <c r="H8" i="5"/>
  <c r="D17" i="13"/>
  <c r="D38" i="13" s="1"/>
  <c r="C17" i="13"/>
  <c r="C38" i="13" s="1"/>
  <c r="E14" i="13"/>
  <c r="D46" i="13"/>
  <c r="D14" i="13"/>
  <c r="E53" i="13"/>
  <c r="F53" i="13" s="1"/>
  <c r="F11" i="8" s="1"/>
  <c r="E12" i="13"/>
  <c r="D10" i="13"/>
  <c r="E10" i="13"/>
  <c r="D33" i="13"/>
  <c r="E33" i="13"/>
  <c r="F33" i="13" s="1"/>
  <c r="G33" i="13" s="1"/>
  <c r="H33" i="13" s="1"/>
  <c r="I33" i="13" s="1"/>
  <c r="J33" i="13" s="1"/>
  <c r="E55" i="13"/>
  <c r="D55" i="13"/>
  <c r="C55" i="13"/>
  <c r="E54" i="13"/>
  <c r="D54" i="13"/>
  <c r="C54" i="13"/>
  <c r="C53" i="13"/>
  <c r="E49" i="13"/>
  <c r="D49" i="13"/>
  <c r="C49" i="13"/>
  <c r="E47" i="13"/>
  <c r="F47" i="13" s="1"/>
  <c r="D47" i="13"/>
  <c r="C47" i="13"/>
  <c r="C46" i="13"/>
  <c r="E45" i="13"/>
  <c r="D45" i="13"/>
  <c r="C45" i="13"/>
  <c r="E44" i="13"/>
  <c r="D44" i="13"/>
  <c r="C44" i="13"/>
  <c r="E17" i="13"/>
  <c r="E15" i="13"/>
  <c r="D15" i="13"/>
  <c r="C15" i="13"/>
  <c r="C14" i="13"/>
  <c r="E13" i="13"/>
  <c r="F13" i="13" s="1"/>
  <c r="F7" i="7" s="1"/>
  <c r="F22" i="7" s="1"/>
  <c r="F23" i="7" s="1"/>
  <c r="D13" i="13"/>
  <c r="C13" i="13"/>
  <c r="D12" i="13"/>
  <c r="C12" i="13"/>
  <c r="C11" i="13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F4" i="10"/>
  <c r="F3" i="10"/>
  <c r="F6" i="3"/>
  <c r="B38" i="13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36" i="13" s="1"/>
  <c r="C42" i="13" s="1"/>
  <c r="C51" i="13" s="1"/>
  <c r="D2" i="13"/>
  <c r="E2" i="13" s="1"/>
  <c r="G8" i="7"/>
  <c r="H8" i="7"/>
  <c r="I8" i="7"/>
  <c r="J8" i="7"/>
  <c r="G9" i="7"/>
  <c r="H9" i="7"/>
  <c r="I9" i="7"/>
  <c r="J9" i="7"/>
  <c r="A1" i="10"/>
  <c r="C21" i="8"/>
  <c r="D21" i="8"/>
  <c r="E21" i="8"/>
  <c r="D26" i="8"/>
  <c r="C26" i="8"/>
  <c r="E26" i="8"/>
  <c r="E33" i="8"/>
  <c r="C33" i="8"/>
  <c r="D33" i="8"/>
  <c r="C37" i="8"/>
  <c r="D37" i="8"/>
  <c r="D40" i="8" s="1"/>
  <c r="E37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F3" i="5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5" i="8"/>
  <c r="C15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0" i="5"/>
  <c r="B21" i="5"/>
  <c r="F9" i="6"/>
  <c r="G9" i="6"/>
  <c r="H9" i="6"/>
  <c r="I9" i="6"/>
  <c r="J9" i="6"/>
  <c r="J8" i="6"/>
  <c r="I8" i="6"/>
  <c r="H8" i="6"/>
  <c r="G8" i="6"/>
  <c r="E2" i="12"/>
  <c r="F2" i="12" s="1"/>
  <c r="G2" i="12" s="1"/>
  <c r="H2" i="12" s="1"/>
  <c r="F8" i="7"/>
  <c r="I4" i="12" l="1"/>
  <c r="C8" i="12" s="1"/>
  <c r="C7" i="12"/>
  <c r="J24" i="8"/>
  <c r="J26" i="8" s="1"/>
  <c r="I26" i="8"/>
  <c r="G26" i="5"/>
  <c r="H26" i="5"/>
  <c r="I31" i="7"/>
  <c r="J31" i="7"/>
  <c r="H9" i="5"/>
  <c r="I6" i="5" s="1"/>
  <c r="H21" i="7"/>
  <c r="H23" i="7" s="1"/>
  <c r="J17" i="6"/>
  <c r="J20" i="6" s="1"/>
  <c r="I26" i="6"/>
  <c r="I27" i="6" s="1"/>
  <c r="I22" i="6"/>
  <c r="I28" i="6" s="1"/>
  <c r="I8" i="5"/>
  <c r="E38" i="13"/>
  <c r="F17" i="13"/>
  <c r="G17" i="13" s="1"/>
  <c r="H17" i="13" s="1"/>
  <c r="I17" i="13" s="1"/>
  <c r="J17" i="13" s="1"/>
  <c r="G24" i="13"/>
  <c r="E11" i="11"/>
  <c r="C40" i="8"/>
  <c r="C23" i="7"/>
  <c r="C34" i="7"/>
  <c r="F11" i="7"/>
  <c r="D11" i="13"/>
  <c r="D53" i="13"/>
  <c r="D19" i="7"/>
  <c r="D23" i="7" s="1"/>
  <c r="E46" i="13"/>
  <c r="F46" i="13" s="1"/>
  <c r="F6" i="8" s="1"/>
  <c r="E11" i="13"/>
  <c r="E10" i="11"/>
  <c r="F9" i="3"/>
  <c r="D21" i="13"/>
  <c r="D30" i="13" s="1"/>
  <c r="D36" i="13" s="1"/>
  <c r="D42" i="13" s="1"/>
  <c r="D51" i="13" s="1"/>
  <c r="F2" i="13"/>
  <c r="E21" i="13"/>
  <c r="E30" i="13" s="1"/>
  <c r="E36" i="13" s="1"/>
  <c r="E42" i="13" s="1"/>
  <c r="E51" i="13" s="1"/>
  <c r="F2" i="8"/>
  <c r="F11" i="6"/>
  <c r="F30" i="6" s="1"/>
  <c r="E11" i="6"/>
  <c r="F5" i="6"/>
  <c r="G25" i="13"/>
  <c r="G6" i="6" s="1"/>
  <c r="G53" i="13"/>
  <c r="G13" i="13"/>
  <c r="G23" i="13"/>
  <c r="G4" i="6" s="1"/>
  <c r="D10" i="5"/>
  <c r="D18" i="5" s="1"/>
  <c r="E10" i="5"/>
  <c r="E18" i="5" s="1"/>
  <c r="F2" i="5"/>
  <c r="D30" i="6"/>
  <c r="D28" i="8"/>
  <c r="D42" i="8" s="1"/>
  <c r="C16" i="6"/>
  <c r="C24" i="6" s="1"/>
  <c r="E40" i="8"/>
  <c r="E28" i="8"/>
  <c r="C28" i="8"/>
  <c r="G32" i="13"/>
  <c r="F4" i="5"/>
  <c r="G4" i="5" s="1"/>
  <c r="H4" i="5" s="1"/>
  <c r="I4" i="5" s="1"/>
  <c r="J4" i="5" s="1"/>
  <c r="F7" i="8"/>
  <c r="G47" i="13"/>
  <c r="F44" i="13"/>
  <c r="F54" i="13"/>
  <c r="F45" i="13"/>
  <c r="E19" i="7"/>
  <c r="E23" i="7" s="1"/>
  <c r="F49" i="13"/>
  <c r="F55" i="13"/>
  <c r="C9" i="12" l="1"/>
  <c r="C15" i="12" s="1"/>
  <c r="C18" i="12" s="1"/>
  <c r="G7" i="12"/>
  <c r="G9" i="12" s="1"/>
  <c r="G15" i="12" s="1"/>
  <c r="G18" i="12" s="1"/>
  <c r="I9" i="5"/>
  <c r="J6" i="5" s="1"/>
  <c r="I21" i="7"/>
  <c r="I23" i="7" s="1"/>
  <c r="J26" i="6"/>
  <c r="J27" i="6" s="1"/>
  <c r="J22" i="6"/>
  <c r="J28" i="6" s="1"/>
  <c r="J8" i="5"/>
  <c r="E16" i="6"/>
  <c r="E24" i="6" s="1"/>
  <c r="E30" i="6"/>
  <c r="G5" i="6"/>
  <c r="H24" i="13"/>
  <c r="C42" i="8"/>
  <c r="C40" i="7"/>
  <c r="C41" i="7"/>
  <c r="F38" i="13"/>
  <c r="D31" i="7"/>
  <c r="G46" i="13"/>
  <c r="H46" i="13" s="1"/>
  <c r="H6" i="8" s="1"/>
  <c r="G2" i="13"/>
  <c r="F21" i="13"/>
  <c r="F30" i="13" s="1"/>
  <c r="F36" i="13" s="1"/>
  <c r="F42" i="13" s="1"/>
  <c r="F51" i="13" s="1"/>
  <c r="F15" i="8"/>
  <c r="G2" i="8"/>
  <c r="G11" i="6"/>
  <c r="F16" i="6"/>
  <c r="F24" i="6" s="1"/>
  <c r="E42" i="8"/>
  <c r="H25" i="13"/>
  <c r="I25" i="13" s="1"/>
  <c r="H5" i="6"/>
  <c r="I24" i="13"/>
  <c r="H23" i="13"/>
  <c r="I23" i="13" s="1"/>
  <c r="H13" i="13"/>
  <c r="G7" i="7"/>
  <c r="G11" i="8"/>
  <c r="H53" i="13"/>
  <c r="G2" i="5"/>
  <c r="F10" i="5"/>
  <c r="F18" i="5" s="1"/>
  <c r="H32" i="13"/>
  <c r="G3" i="5"/>
  <c r="H4" i="6"/>
  <c r="F5" i="8"/>
  <c r="G45" i="13"/>
  <c r="G44" i="13"/>
  <c r="H44" i="13" s="1"/>
  <c r="I44" i="13" s="1"/>
  <c r="J44" i="13" s="1"/>
  <c r="F4" i="8"/>
  <c r="F12" i="13"/>
  <c r="F13" i="8"/>
  <c r="G55" i="13"/>
  <c r="G49" i="13"/>
  <c r="F9" i="8"/>
  <c r="E31" i="7"/>
  <c r="F12" i="8"/>
  <c r="G54" i="13"/>
  <c r="G7" i="8"/>
  <c r="H47" i="13"/>
  <c r="C26" i="12" l="1"/>
  <c r="J5" i="3"/>
  <c r="J6" i="3" s="1"/>
  <c r="H26" i="12"/>
  <c r="I5" i="3"/>
  <c r="J9" i="5"/>
  <c r="J21" i="7"/>
  <c r="J23" i="7" s="1"/>
  <c r="G11" i="7"/>
  <c r="G38" i="13"/>
  <c r="I46" i="13"/>
  <c r="G6" i="8"/>
  <c r="D34" i="7"/>
  <c r="D16" i="13"/>
  <c r="E34" i="7"/>
  <c r="E16" i="13"/>
  <c r="H2" i="13"/>
  <c r="G21" i="13"/>
  <c r="G30" i="13" s="1"/>
  <c r="G36" i="13" s="1"/>
  <c r="G42" i="13" s="1"/>
  <c r="G51" i="13" s="1"/>
  <c r="H38" i="13"/>
  <c r="H11" i="7"/>
  <c r="G15" i="8"/>
  <c r="H2" i="8"/>
  <c r="H11" i="6"/>
  <c r="H6" i="6"/>
  <c r="J24" i="13"/>
  <c r="I5" i="6"/>
  <c r="H11" i="8"/>
  <c r="I53" i="13"/>
  <c r="G5" i="7"/>
  <c r="I13" i="13"/>
  <c r="H7" i="7"/>
  <c r="G6" i="7"/>
  <c r="H2" i="5"/>
  <c r="I4" i="6"/>
  <c r="J23" i="13"/>
  <c r="I32" i="13"/>
  <c r="H3" i="5"/>
  <c r="J25" i="13"/>
  <c r="I6" i="6"/>
  <c r="F26" i="8"/>
  <c r="H54" i="13"/>
  <c r="G12" i="8"/>
  <c r="F5" i="7"/>
  <c r="F17" i="7" s="1"/>
  <c r="H49" i="13"/>
  <c r="G9" i="8"/>
  <c r="H55" i="13"/>
  <c r="G13" i="8"/>
  <c r="F37" i="8"/>
  <c r="I47" i="13"/>
  <c r="H7" i="8"/>
  <c r="F6" i="7"/>
  <c r="G4" i="8"/>
  <c r="H45" i="13"/>
  <c r="G5" i="8"/>
  <c r="I6" i="3" l="1"/>
  <c r="L5" i="3"/>
  <c r="L6" i="3" s="1"/>
  <c r="D40" i="7"/>
  <c r="D41" i="7"/>
  <c r="J46" i="13"/>
  <c r="J6" i="8" s="1"/>
  <c r="I6" i="8"/>
  <c r="E40" i="7"/>
  <c r="E41" i="7"/>
  <c r="G16" i="13"/>
  <c r="G5" i="10" s="1"/>
  <c r="G7" i="10" s="1"/>
  <c r="G15" i="10" s="1"/>
  <c r="F5" i="10"/>
  <c r="E4" i="11"/>
  <c r="L4" i="11" s="1"/>
  <c r="L5" i="11" s="1"/>
  <c r="L6" i="11" s="1"/>
  <c r="L7" i="11" s="1"/>
  <c r="I2" i="13"/>
  <c r="H21" i="13"/>
  <c r="H30" i="13" s="1"/>
  <c r="H36" i="13" s="1"/>
  <c r="H42" i="13" s="1"/>
  <c r="H51" i="13" s="1"/>
  <c r="I38" i="13"/>
  <c r="I11" i="7"/>
  <c r="I2" i="8"/>
  <c r="H15" i="8"/>
  <c r="J11" i="6"/>
  <c r="I11" i="6"/>
  <c r="J5" i="6"/>
  <c r="H6" i="7"/>
  <c r="J13" i="13"/>
  <c r="I7" i="7"/>
  <c r="H5" i="7"/>
  <c r="J53" i="13"/>
  <c r="I11" i="8"/>
  <c r="I2" i="5"/>
  <c r="I3" i="5"/>
  <c r="J32" i="13"/>
  <c r="J4" i="6"/>
  <c r="J6" i="6"/>
  <c r="F18" i="13"/>
  <c r="J47" i="13"/>
  <c r="I7" i="8"/>
  <c r="H13" i="8"/>
  <c r="I55" i="13"/>
  <c r="I49" i="13"/>
  <c r="H9" i="8"/>
  <c r="I45" i="13"/>
  <c r="H5" i="8"/>
  <c r="H4" i="8"/>
  <c r="I54" i="13"/>
  <c r="H12" i="8"/>
  <c r="G10" i="7" l="1"/>
  <c r="G33" i="7" s="1"/>
  <c r="G34" i="7" s="1"/>
  <c r="H16" i="13"/>
  <c r="H5" i="10" s="1"/>
  <c r="H7" i="10" s="1"/>
  <c r="H15" i="10" s="1"/>
  <c r="J2" i="13"/>
  <c r="J21" i="13" s="1"/>
  <c r="J30" i="13" s="1"/>
  <c r="J36" i="13" s="1"/>
  <c r="J42" i="13" s="1"/>
  <c r="J51" i="13" s="1"/>
  <c r="I21" i="13"/>
  <c r="I30" i="13" s="1"/>
  <c r="I36" i="13" s="1"/>
  <c r="I42" i="13" s="1"/>
  <c r="I51" i="13" s="1"/>
  <c r="J38" i="13"/>
  <c r="J11" i="7"/>
  <c r="G18" i="13"/>
  <c r="G39" i="13" s="1"/>
  <c r="F39" i="13"/>
  <c r="I15" i="8"/>
  <c r="J2" i="8"/>
  <c r="J15" i="8" s="1"/>
  <c r="J11" i="8"/>
  <c r="I5" i="7"/>
  <c r="J7" i="7"/>
  <c r="I6" i="7"/>
  <c r="J2" i="5"/>
  <c r="J3" i="5"/>
  <c r="I4" i="8"/>
  <c r="F19" i="13"/>
  <c r="I5" i="8"/>
  <c r="J45" i="13"/>
  <c r="J49" i="13"/>
  <c r="I9" i="8"/>
  <c r="I13" i="8"/>
  <c r="J55" i="13"/>
  <c r="J7" i="8"/>
  <c r="J54" i="13"/>
  <c r="I12" i="8"/>
  <c r="F10" i="7"/>
  <c r="F33" i="7" s="1"/>
  <c r="F34" i="7" s="1"/>
  <c r="E12" i="11"/>
  <c r="F12" i="7"/>
  <c r="G41" i="7" l="1"/>
  <c r="G40" i="7"/>
  <c r="G14" i="5"/>
  <c r="F40" i="7"/>
  <c r="F14" i="5"/>
  <c r="F17" i="5" s="1"/>
  <c r="F41" i="7"/>
  <c r="H10" i="7"/>
  <c r="H33" i="7" s="1"/>
  <c r="H34" i="7" s="1"/>
  <c r="I16" i="13"/>
  <c r="I5" i="10" s="1"/>
  <c r="I7" i="10" s="1"/>
  <c r="I15" i="10" s="1"/>
  <c r="G12" i="7"/>
  <c r="G19" i="13"/>
  <c r="G40" i="13" s="1"/>
  <c r="F40" i="13"/>
  <c r="H18" i="13"/>
  <c r="H39" i="13" s="1"/>
  <c r="G13" i="7"/>
  <c r="J6" i="7"/>
  <c r="J5" i="7"/>
  <c r="J9" i="8"/>
  <c r="M4" i="11"/>
  <c r="J13" i="8"/>
  <c r="J12" i="8"/>
  <c r="F7" i="10"/>
  <c r="F15" i="10" s="1"/>
  <c r="J5" i="8"/>
  <c r="F13" i="7"/>
  <c r="J4" i="8"/>
  <c r="G13" i="5" l="1"/>
  <c r="G17" i="5" s="1"/>
  <c r="F39" i="8"/>
  <c r="H41" i="7"/>
  <c r="H40" i="7"/>
  <c r="H14" i="5"/>
  <c r="I18" i="13"/>
  <c r="H19" i="13"/>
  <c r="I19" i="13" s="1"/>
  <c r="I40" i="13" s="1"/>
  <c r="H12" i="7"/>
  <c r="J16" i="13"/>
  <c r="I10" i="7"/>
  <c r="I33" i="7" s="1"/>
  <c r="I34" i="7" s="1"/>
  <c r="F3" i="9"/>
  <c r="F9" i="9" s="1"/>
  <c r="F19" i="9" s="1"/>
  <c r="F22" i="9" s="1"/>
  <c r="F23" i="9" s="1"/>
  <c r="M5" i="11"/>
  <c r="H13" i="5" l="1"/>
  <c r="H17" i="5" s="1"/>
  <c r="G39" i="8"/>
  <c r="J10" i="7"/>
  <c r="J33" i="7" s="1"/>
  <c r="J34" i="7" s="1"/>
  <c r="J5" i="10"/>
  <c r="J7" i="10" s="1"/>
  <c r="J15" i="10" s="1"/>
  <c r="I40" i="7"/>
  <c r="I41" i="7"/>
  <c r="I14" i="5"/>
  <c r="F30" i="8"/>
  <c r="F17" i="8"/>
  <c r="H40" i="13"/>
  <c r="H13" i="7"/>
  <c r="I39" i="13"/>
  <c r="J18" i="13"/>
  <c r="I12" i="7"/>
  <c r="J19" i="13"/>
  <c r="J40" i="13" s="1"/>
  <c r="I13" i="7"/>
  <c r="G3" i="9"/>
  <c r="G9" i="9" s="1"/>
  <c r="G19" i="9" s="1"/>
  <c r="G22" i="9" s="1"/>
  <c r="M6" i="11"/>
  <c r="M7" i="11"/>
  <c r="I13" i="5" l="1"/>
  <c r="I17" i="5" s="1"/>
  <c r="H39" i="8"/>
  <c r="J40" i="7"/>
  <c r="J41" i="7"/>
  <c r="J14" i="5"/>
  <c r="F31" i="6"/>
  <c r="F33" i="6" s="1"/>
  <c r="G21" i="9"/>
  <c r="G23" i="9" s="1"/>
  <c r="G30" i="8"/>
  <c r="G33" i="8" s="1"/>
  <c r="G40" i="8" s="1"/>
  <c r="G17" i="8"/>
  <c r="J39" i="13"/>
  <c r="J12" i="7"/>
  <c r="J13" i="7"/>
  <c r="M9" i="11"/>
  <c r="M11" i="11" s="1"/>
  <c r="E8" i="11" s="1"/>
  <c r="E13" i="11" s="1"/>
  <c r="H3" i="9"/>
  <c r="H9" i="9" s="1"/>
  <c r="H19" i="9" s="1"/>
  <c r="H22" i="9" s="1"/>
  <c r="F21" i="8"/>
  <c r="F28" i="8" s="1"/>
  <c r="F33" i="8"/>
  <c r="J13" i="5" l="1"/>
  <c r="J17" i="5" s="1"/>
  <c r="J39" i="8" s="1"/>
  <c r="I39" i="8"/>
  <c r="G21" i="8"/>
  <c r="G28" i="8" s="1"/>
  <c r="G42" i="8" s="1"/>
  <c r="G31" i="6"/>
  <c r="G33" i="6" s="1"/>
  <c r="H21" i="9"/>
  <c r="H23" i="9" s="1"/>
  <c r="F40" i="8"/>
  <c r="F42" i="8" s="1"/>
  <c r="J3" i="9"/>
  <c r="J9" i="9" s="1"/>
  <c r="J19" i="9" s="1"/>
  <c r="J22" i="9" s="1"/>
  <c r="I3" i="9"/>
  <c r="I9" i="9" s="1"/>
  <c r="I19" i="9" s="1"/>
  <c r="I22" i="9" s="1"/>
  <c r="H17" i="8" l="1"/>
  <c r="H30" i="8"/>
  <c r="H33" i="8" s="1"/>
  <c r="H40" i="8" s="1"/>
  <c r="I21" i="9" l="1"/>
  <c r="I23" i="9" s="1"/>
  <c r="H21" i="8"/>
  <c r="H28" i="8" s="1"/>
  <c r="H42" i="8" s="1"/>
  <c r="H31" i="6"/>
  <c r="H33" i="6" s="1"/>
  <c r="I30" i="8" l="1"/>
  <c r="I33" i="8" s="1"/>
  <c r="I40" i="8" s="1"/>
  <c r="I17" i="8"/>
  <c r="J21" i="9" l="1"/>
  <c r="J23" i="9" s="1"/>
  <c r="I21" i="8"/>
  <c r="I28" i="8" s="1"/>
  <c r="I42" i="8" s="1"/>
  <c r="I31" i="6"/>
  <c r="I33" i="6" s="1"/>
  <c r="J30" i="8" l="1"/>
  <c r="J33" i="8" s="1"/>
  <c r="J40" i="8" s="1"/>
  <c r="J17" i="8"/>
  <c r="J21" i="8" l="1"/>
  <c r="J28" i="8" s="1"/>
  <c r="J42" i="8" s="1"/>
  <c r="J31" i="6"/>
  <c r="J33" i="6" s="1"/>
  <c r="F10" i="13"/>
  <c r="F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<sst xmlns="http://schemas.openxmlformats.org/spreadsheetml/2006/main" count="345" uniqueCount="203">
  <si>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</si>
  <si>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</si>
  <si>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</si>
  <si>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</si>
  <si>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</si>
  <si>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</si>
  <si>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</si>
  <si>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</si>
  <si>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</si>
  <si>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</si>
  <si>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</si>
  <si>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</si>
  <si>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</si>
  <si>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</si>
  <si>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</si>
  <si>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</si>
  <si>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</si>
  <si>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</si>
  <si>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</si>
  <si>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</si>
  <si>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</si>
  <si>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</si>
  <si>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</si>
  <si>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</si>
  <si>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</si>
  <si>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</si>
  <si>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</si>
  <si>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</si>
  <si>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</si>
  <si>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</si>
  <si>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</si>
  <si>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</si>
  <si>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</si>
  <si>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</si>
  <si>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</si>
  <si>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</si>
  <si>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</si>
  <si>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</si>
  <si>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</si>
  <si>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</si>
  <si>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</si>
  <si>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</si>
  <si>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</si>
  <si>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</si>
  <si>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</si>
  <si>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</si>
  <si>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</si>
  <si>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</si>
  <si>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</si>
  <si>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</si>
  <si>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</si>
  <si>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</si>
  <si>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</si>
  <si>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</si>
  <si>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</si>
  <si>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</si>
  <si>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</si>
  <si>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</si>
  <si>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</si>
  <si>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</si>
  <si>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</si>
  <si>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</si>
  <si>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</si>
  <si>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</si>
  <si>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</si>
  <si>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</si>
  <si>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</si>
  <si>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</si>
  <si>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</si>
  <si>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</si>
  <si>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</si>
  <si>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</si>
  <si>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</si>
  <si>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</si>
  <si>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</si>
  <si>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</si>
  <si>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</si>
  <si>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</si>
  <si>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</si>
  <si>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</si>
  <si>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</si>
  <si>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</si>
  <si>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</si>
  <si>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</si>
  <si>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</si>
  <si>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</si>
  <si>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</si>
  <si>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</si>
  <si>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</si>
  <si>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</si>
  <si>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</si>
  <si>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</si>
  <si>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</si>
  <si>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</si>
  <si>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</si>
  <si>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</si>
  <si>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</si>
  <si>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</si>
  <si>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</si>
  <si>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</si>
  <si>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</si>
  <si>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</si>
  <si>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</si>
  <si>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</si>
  <si>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</si>
  <si>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</si>
  <si>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</si>
  <si>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</si>
  <si>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</si>
  <si>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</si>
  <si>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</si>
  <si>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</si>
  <si>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</si>
  <si>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</si>
  <si>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</si>
  <si>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</si>
  <si>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</si>
  <si>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</si>
  <si>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</si>
  <si>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</si>
  <si>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</si>
  <si>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</si>
  <si>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</si>
  <si>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</si>
  <si>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</si>
  <si>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</si>
  <si>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</si>
  <si>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</si>
  <si>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</si>
  <si>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</si>
  <si>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</si>
  <si>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</si>
  <si>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</si>
  <si>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</si>
  <si>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</si>
  <si>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</si>
  <si>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</si>
  <si>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</si>
  <si>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</si>
  <si>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</si>
  <si>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</si>
  <si>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</si>
  <si>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</si>
  <si>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</si>
  <si>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</si>
  <si>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</si>
  <si>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</si>
  <si>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</si>
  <si>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</si>
  <si>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</si>
  <si>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</si>
  <si>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</si>
  <si>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</si>
  <si>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</si>
  <si>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</si>
  <si>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</si>
  <si>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</si>
  <si>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</si>
  <si>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</si>
  <si>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</si>
  <si>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</si>
  <si>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</si>
  <si>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</si>
  <si>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</si>
  <si>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</si>
  <si>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</si>
  <si>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</si>
  <si>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</si>
  <si>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</si>
  <si>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</si>
  <si>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</si>
  <si>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</si>
  <si>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</si>
  <si>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</si>
  <si>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</si>
  <si>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</si>
  <si>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</si>
  <si>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</si>
  <si>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</si>
  <si>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</si>
  <si>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</si>
  <si>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</si>
  <si>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</si>
  <si>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</si>
  <si>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</si>
  <si>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Darden Restaurants Inc</t>
  </si>
  <si>
    <t>(inc) / dec in LT assets</t>
  </si>
  <si>
    <t>inc / (dec) in LT liabilties</t>
  </si>
  <si>
    <t>CFFO</t>
  </si>
  <si>
    <t>CFFI</t>
  </si>
  <si>
    <t>Dividends Paid</t>
  </si>
  <si>
    <t>Debt Issuance / (repayments)</t>
  </si>
  <si>
    <t>CFFF</t>
  </si>
  <si>
    <t>Net changes in cash</t>
  </si>
  <si>
    <t>Beginning cash</t>
  </si>
  <si>
    <t>Ending cash</t>
  </si>
  <si>
    <t>Exit Mult.</t>
  </si>
  <si>
    <t>LTGR</t>
  </si>
  <si>
    <t>DDM</t>
  </si>
  <si>
    <t>Average</t>
  </si>
  <si>
    <t>Dividend Discount Model</t>
  </si>
  <si>
    <t>FY Dividend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</si>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</sst>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7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87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66" fontId="37" fillId="0" borderId="0" xfId="0" applyNumberFormat="1" applyFont="1" applyBorder="1"/>
    <xf numFmtId="166" fontId="39" fillId="0" borderId="0" xfId="57" applyFont="1" applyFill="1"/>
    <xf numFmtId="187" fontId="39" fillId="0" borderId="0" xfId="59" applyNumberFormat="1" applyFont="1" applyAlignment="1" applyProtection="1">
      <alignment horizontal="center"/>
    </xf>
    <xf numFmtId="187" fontId="39" fillId="0" borderId="0" xfId="0" applyNumberFormat="1" applyFont="1" applyAlignment="1">
      <alignment horizontal="center"/>
    </xf>
    <xf numFmtId="187" fontId="45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7" fontId="45" fillId="0" borderId="0" xfId="59" applyNumberFormat="1" applyFont="1" applyAlignment="1" applyProtection="1">
      <alignment horizontal="center"/>
    </xf>
    <xf numFmtId="187" fontId="45" fillId="0" borderId="0" xfId="4" applyNumberFormat="1" applyFont="1" applyFill="1" applyBorder="1" applyAlignment="1" applyProtection="1">
      <alignment horizontal="center"/>
    </xf>
    <xf numFmtId="176" fontId="39" fillId="0" borderId="0" xfId="59" applyNumberFormat="1" applyFont="1" applyAlignment="1" applyProtection="1">
      <alignment horizontal="center"/>
    </xf>
    <xf numFmtId="10" fontId="70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D1" zoomScaleNormal="100" workbookViewId="0">
      <selection activeCell="L6" sqref="L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1.710937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5" t="str">
        <f>CoName</f>
        <v>Darden Restaurants Inc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181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185</v>
      </c>
      <c r="E4" s="4" t="s">
        <v>168</v>
      </c>
      <c r="F4" s="223">
        <v>183</v>
      </c>
      <c r="H4" s="170" t="s">
        <v>182</v>
      </c>
      <c r="I4" s="169" t="s">
        <v>180</v>
      </c>
      <c r="J4" s="169" t="s">
        <v>179</v>
      </c>
      <c r="K4" s="169" t="s">
        <v>198</v>
      </c>
      <c r="L4" s="169" t="s">
        <v>199</v>
      </c>
    </row>
    <row r="5" spans="1:15" x14ac:dyDescent="0.25">
      <c r="B5" s="4" t="s">
        <v>4</v>
      </c>
      <c r="C5" s="52">
        <v>247.43</v>
      </c>
      <c r="E5" s="4" t="s">
        <v>173</v>
      </c>
      <c r="F5" s="160">
        <v>116.313</v>
      </c>
      <c r="H5" s="169" t="s">
        <v>175</v>
      </c>
      <c r="I5" s="230">
        <f>'DCF Model'!G18</f>
        <v>265.91276777436582</v>
      </c>
      <c r="J5" s="229">
        <f>'DCF Model'!C18</f>
        <v>209.24270587870862</v>
      </c>
      <c r="K5" s="229">
        <f>'DCF Model'!K11</f>
        <v>167.70763351026503</v>
      </c>
      <c r="L5" s="229">
        <f>AVERAGE(I5:K5)</f>
        <v>214.28770238777983</v>
      </c>
    </row>
    <row r="6" spans="1:15" x14ac:dyDescent="0.25">
      <c r="B6" s="4" t="s">
        <v>5</v>
      </c>
      <c r="C6" s="51" t="s">
        <v>9</v>
      </c>
      <c r="E6" s="4" t="s">
        <v>104</v>
      </c>
      <c r="F6" s="160">
        <f>F5*F4</f>
        <v>21285.278999999999</v>
      </c>
      <c r="H6" s="169" t="s">
        <v>176</v>
      </c>
      <c r="I6" s="286">
        <f>I5/$F$4-1</f>
        <v>0.45307523373970393</v>
      </c>
      <c r="J6" s="286">
        <f t="shared" ref="J6:L6" si="0">J5/$F$4-1</f>
        <v>0.14340276436452792</v>
      </c>
      <c r="K6" s="224">
        <f t="shared" si="0"/>
        <v>-8.3564844206202027E-2</v>
      </c>
      <c r="L6" s="286">
        <f t="shared" si="0"/>
        <v>0.17097105129934342</v>
      </c>
    </row>
    <row r="7" spans="1:15" x14ac:dyDescent="0.25">
      <c r="B7" s="4" t="s">
        <v>6</v>
      </c>
      <c r="C7" s="51" t="s">
        <v>8</v>
      </c>
      <c r="E7" s="4" t="s">
        <v>174</v>
      </c>
      <c r="F7" s="51">
        <v>211</v>
      </c>
    </row>
    <row r="8" spans="1:15" x14ac:dyDescent="0.25">
      <c r="B8" s="4" t="s">
        <v>2</v>
      </c>
      <c r="C8" s="51" t="s">
        <v>87</v>
      </c>
      <c r="E8" s="4" t="s">
        <v>145</v>
      </c>
      <c r="F8" s="51">
        <f>142+2135.1+3878.3</f>
        <v>6155.4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27229.678999999996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5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8"/>
  <sheetViews>
    <sheetView showGridLines="0" zoomScaleNormal="100" workbookViewId="0">
      <selection activeCell="F17" sqref="F1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125</v>
      </c>
      <c r="B2" s="263" t="s">
        <v>126</v>
      </c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196"/>
      <c r="L2" s="196"/>
    </row>
    <row r="3" spans="1:20" x14ac:dyDescent="0.25">
      <c r="A3" s="86"/>
      <c r="B3" s="159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20" x14ac:dyDescent="0.25">
      <c r="B4" s="94" t="s">
        <v>132</v>
      </c>
      <c r="C4"/>
      <c r="D4" s="260">
        <v>1</v>
      </c>
      <c r="E4"/>
      <c r="F4"/>
      <c r="G4" s="89"/>
      <c r="H4" s="89"/>
      <c r="I4" s="89"/>
      <c r="J4" s="89"/>
      <c r="K4" s="89"/>
      <c r="M4" s="231"/>
      <c r="N4" s="232"/>
      <c r="O4" s="232"/>
    </row>
    <row r="5" spans="1:20" x14ac:dyDescent="0.25">
      <c r="B5" s="88"/>
      <c r="C5" s="90"/>
      <c r="D5" s="113" t="s">
        <v>127</v>
      </c>
      <c r="E5" s="91"/>
      <c r="K5" s="89"/>
      <c r="M5" s="233"/>
      <c r="N5" s="234"/>
      <c r="O5" s="234"/>
    </row>
    <row r="6" spans="1:20" x14ac:dyDescent="0.25">
      <c r="B6" s="92" t="s">
        <v>133</v>
      </c>
      <c r="D6" s="101">
        <v>0</v>
      </c>
      <c r="E6" s="93"/>
      <c r="F6" s="101">
        <v>8.2000000000000003E-2</v>
      </c>
      <c r="G6" s="101">
        <v>3.6999999999999998E-2</v>
      </c>
      <c r="H6" s="101">
        <v>0.05</v>
      </c>
      <c r="I6" s="101">
        <v>5.5E-2</v>
      </c>
      <c r="J6" s="101">
        <v>0.05</v>
      </c>
      <c r="K6" s="171"/>
      <c r="M6" s="171"/>
      <c r="N6" s="235"/>
      <c r="O6" s="235"/>
      <c r="P6" s="235"/>
      <c r="Q6" s="235"/>
      <c r="R6" s="235"/>
      <c r="S6" s="235"/>
      <c r="T6" s="235"/>
    </row>
    <row r="7" spans="1:20" x14ac:dyDescent="0.25">
      <c r="B7" s="4" t="s">
        <v>129</v>
      </c>
      <c r="D7" s="101">
        <v>2.5000000000000001E-2</v>
      </c>
      <c r="E7" s="93"/>
      <c r="F7" s="101">
        <f>F6+$D$7</f>
        <v>0.10700000000000001</v>
      </c>
      <c r="G7" s="101">
        <f t="shared" ref="G7:J7" si="1">G6+$D$7</f>
        <v>6.2E-2</v>
      </c>
      <c r="H7" s="101">
        <f t="shared" si="1"/>
        <v>7.5000000000000011E-2</v>
      </c>
      <c r="I7" s="101">
        <f t="shared" si="1"/>
        <v>0.08</v>
      </c>
      <c r="J7" s="101">
        <f t="shared" si="1"/>
        <v>7.5000000000000011E-2</v>
      </c>
      <c r="K7" s="171"/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128</v>
      </c>
      <c r="D8" s="101">
        <v>-2.5000000000000001E-2</v>
      </c>
      <c r="E8" s="93"/>
      <c r="F8" s="101">
        <f>F6+$D$8</f>
        <v>5.7000000000000002E-2</v>
      </c>
      <c r="G8" s="101">
        <f t="shared" ref="G8:J8" si="2">G6+$D$8</f>
        <v>1.1999999999999997E-2</v>
      </c>
      <c r="H8" s="101">
        <f t="shared" si="2"/>
        <v>2.5000000000000001E-2</v>
      </c>
      <c r="I8" s="101">
        <f t="shared" si="2"/>
        <v>0.03</v>
      </c>
      <c r="J8" s="101">
        <f t="shared" si="2"/>
        <v>2.5000000000000001E-2</v>
      </c>
      <c r="K8" s="171"/>
    </row>
    <row r="9" spans="1:20" x14ac:dyDescent="0.25">
      <c r="K9" s="30"/>
      <c r="L9" s="30"/>
      <c r="M9" s="171"/>
      <c r="N9" s="171"/>
    </row>
    <row r="10" spans="1:20" x14ac:dyDescent="0.25">
      <c r="B10" s="118" t="s">
        <v>150</v>
      </c>
      <c r="C10" s="191"/>
      <c r="D10" s="275">
        <f>IncState!D16/IncState!C16-1</f>
        <v>8.6023760941284166E-2</v>
      </c>
      <c r="E10" s="192">
        <f>IncState!E16/IncState!D16-1</f>
        <v>6.0289727831431161E-2</v>
      </c>
      <c r="F10" s="105">
        <f t="shared" ref="F10" si="3">CHOOSE(ScenarioREV,F6,F7,F8)</f>
        <v>8.2000000000000003E-2</v>
      </c>
      <c r="G10" s="105">
        <f t="shared" ref="G10:J10" si="4">CHOOSE(ScenarioREV,G6,G7,G8)</f>
        <v>3.6999999999999998E-2</v>
      </c>
      <c r="H10" s="105">
        <f t="shared" si="4"/>
        <v>0.05</v>
      </c>
      <c r="I10" s="105">
        <f t="shared" si="4"/>
        <v>5.5E-2</v>
      </c>
      <c r="J10" s="105">
        <f t="shared" si="4"/>
        <v>0.05</v>
      </c>
      <c r="K10" s="29"/>
      <c r="L10" s="29"/>
      <c r="M10" s="171"/>
      <c r="N10" s="171"/>
    </row>
    <row r="11" spans="1:20" x14ac:dyDescent="0.25">
      <c r="B11" s="4" t="s">
        <v>134</v>
      </c>
      <c r="C11" s="8">
        <f>IncState!C17/IncState!C16</f>
        <v>0.79888060413051365</v>
      </c>
      <c r="D11" s="8">
        <f>IncState!D17/IncState!D16</f>
        <v>0.78625987708516243</v>
      </c>
      <c r="E11" s="8">
        <f>IncState!E17/IncState!E16</f>
        <v>0.78118194539899144</v>
      </c>
      <c r="F11" s="101">
        <f>E11-0.005</f>
        <v>0.77618194539899144</v>
      </c>
      <c r="G11" s="101">
        <f t="shared" ref="G11:J11" si="5">F11-0.005</f>
        <v>0.77118194539899143</v>
      </c>
      <c r="H11" s="101">
        <f t="shared" si="5"/>
        <v>0.76618194539899143</v>
      </c>
      <c r="I11" s="101">
        <f t="shared" si="5"/>
        <v>0.76118194539899142</v>
      </c>
      <c r="J11" s="101">
        <f t="shared" si="5"/>
        <v>0.75618194539899142</v>
      </c>
      <c r="K11" s="171"/>
      <c r="L11" s="171"/>
      <c r="M11" s="171"/>
      <c r="N11" s="171"/>
    </row>
    <row r="12" spans="1:20" x14ac:dyDescent="0.25">
      <c r="B12" s="4" t="s">
        <v>45</v>
      </c>
      <c r="C12" s="8">
        <f>IncState!C18/IncState!C16</f>
        <v>8.7539808158050306E-2</v>
      </c>
      <c r="D12" s="8">
        <f>IncState!D18/IncState!D16</f>
        <v>9.7269534679543468E-2</v>
      </c>
      <c r="E12" s="8">
        <f>IncState!E18/IncState!E16</f>
        <v>0.10194009953050087</v>
      </c>
      <c r="F12" s="101">
        <f>E12</f>
        <v>0.10194009953050087</v>
      </c>
      <c r="G12" s="101">
        <f>F12+0.0025</f>
        <v>0.10444009953050087</v>
      </c>
      <c r="H12" s="101">
        <f t="shared" ref="H12:J12" si="6">G12+0.0025</f>
        <v>0.10694009953050088</v>
      </c>
      <c r="I12" s="101">
        <f t="shared" si="6"/>
        <v>0.10944009953050088</v>
      </c>
      <c r="J12" s="101">
        <f t="shared" si="6"/>
        <v>0.11194009953050088</v>
      </c>
      <c r="K12" s="171"/>
      <c r="L12" s="171"/>
    </row>
    <row r="13" spans="1:20" x14ac:dyDescent="0.25">
      <c r="B13" s="4" t="s">
        <v>136</v>
      </c>
      <c r="C13" s="4">
        <f>IncState!C22</f>
        <v>0</v>
      </c>
      <c r="D13" s="4">
        <f>IncState!D22</f>
        <v>0</v>
      </c>
      <c r="E13" s="4">
        <f>IncState!E22</f>
        <v>0</v>
      </c>
      <c r="F13" s="102">
        <f>E13</f>
        <v>0</v>
      </c>
      <c r="G13" s="102">
        <f t="shared" ref="G13:J13" si="7">F13</f>
        <v>0</v>
      </c>
      <c r="H13" s="102">
        <f t="shared" si="7"/>
        <v>0</v>
      </c>
      <c r="I13" s="102">
        <f t="shared" si="7"/>
        <v>0</v>
      </c>
      <c r="J13" s="102">
        <f t="shared" si="7"/>
        <v>0</v>
      </c>
      <c r="K13" s="197"/>
      <c r="L13" s="197"/>
    </row>
    <row r="14" spans="1:20" x14ac:dyDescent="0.25">
      <c r="B14" s="4" t="s">
        <v>137</v>
      </c>
      <c r="C14" s="4">
        <f>IncState!C25</f>
        <v>10.6</v>
      </c>
      <c r="D14" s="4">
        <f>IncState!D25</f>
        <v>-12.4</v>
      </c>
      <c r="E14" s="4">
        <f>IncState!E25</f>
        <v>-49.2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7"/>
      <c r="L14" s="197"/>
    </row>
    <row r="15" spans="1:20" x14ac:dyDescent="0.25">
      <c r="B15" s="4" t="s">
        <v>139</v>
      </c>
      <c r="C15" s="4">
        <f>IncState!C26</f>
        <v>0</v>
      </c>
      <c r="D15" s="4">
        <f>IncState!D26</f>
        <v>0</v>
      </c>
      <c r="E15" s="4">
        <f>IncState!E26</f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7"/>
      <c r="L15" s="197"/>
    </row>
    <row r="16" spans="1:20" x14ac:dyDescent="0.25">
      <c r="B16" s="4" t="s">
        <v>48</v>
      </c>
      <c r="C16" s="8">
        <f>IncState!C33/IncState!C31</f>
        <v>0.12343454365258143</v>
      </c>
      <c r="D16" s="8">
        <f>IncState!D33/IncState!D31</f>
        <v>0.12200252419015561</v>
      </c>
      <c r="E16" s="8">
        <f>IncState!E33/IncState!E31</f>
        <v>0.11472371967654985</v>
      </c>
      <c r="F16" s="101">
        <v>0.21</v>
      </c>
      <c r="G16" s="101">
        <f t="shared" ref="G16:J16" si="8">F16</f>
        <v>0.21</v>
      </c>
      <c r="H16" s="101">
        <f t="shared" si="8"/>
        <v>0.21</v>
      </c>
      <c r="I16" s="101">
        <f t="shared" si="8"/>
        <v>0.21</v>
      </c>
      <c r="J16" s="101">
        <f t="shared" si="8"/>
        <v>0.21</v>
      </c>
      <c r="K16" s="171"/>
      <c r="L16" s="171"/>
    </row>
    <row r="17" spans="1:12" s="266" customFormat="1" x14ac:dyDescent="0.25">
      <c r="B17" s="266" t="s">
        <v>140</v>
      </c>
      <c r="C17" s="266">
        <f>IncState!C35</f>
        <v>4.83839212469237</v>
      </c>
      <c r="D17" s="266">
        <f>IncState!D35</f>
        <v>5.2410341951626354</v>
      </c>
      <c r="E17" s="266">
        <f>IncState!E35</f>
        <v>5.5957446808510642</v>
      </c>
      <c r="F17" s="267">
        <f>E17+(E17-D17)</f>
        <v>5.9504551665394931</v>
      </c>
      <c r="G17" s="267">
        <f t="shared" ref="G17:J17" si="9">F17+(F17-E17)</f>
        <v>6.305165652227922</v>
      </c>
      <c r="H17" s="267">
        <f t="shared" si="9"/>
        <v>6.6598761379163509</v>
      </c>
      <c r="I17" s="267">
        <f t="shared" si="9"/>
        <v>7.0145866236047798</v>
      </c>
      <c r="J17" s="267">
        <f t="shared" si="9"/>
        <v>7.3692971092932087</v>
      </c>
      <c r="K17" s="268"/>
      <c r="L17" s="268"/>
    </row>
    <row r="18" spans="1:12" x14ac:dyDescent="0.25">
      <c r="B18" s="4" t="s">
        <v>49</v>
      </c>
      <c r="C18" s="4">
        <f>IncState!C38</f>
        <v>121.9</v>
      </c>
      <c r="D18" s="4">
        <f>IncState!D38</f>
        <v>119.9</v>
      </c>
      <c r="E18" s="4">
        <f>IncState!E38</f>
        <v>117.5</v>
      </c>
      <c r="F18" s="102">
        <f>E18</f>
        <v>117.5</v>
      </c>
      <c r="G18" s="102">
        <f t="shared" ref="G18:J18" si="10">F18</f>
        <v>117.5</v>
      </c>
      <c r="H18" s="102">
        <f t="shared" si="10"/>
        <v>117.5</v>
      </c>
      <c r="I18" s="102">
        <f t="shared" si="10"/>
        <v>117.5</v>
      </c>
      <c r="J18" s="102">
        <f t="shared" si="10"/>
        <v>117.5</v>
      </c>
      <c r="K18" s="197"/>
      <c r="L18" s="197"/>
    </row>
    <row r="19" spans="1:12" x14ac:dyDescent="0.25">
      <c r="B19" s="4" t="s">
        <v>50</v>
      </c>
      <c r="C19" s="4">
        <f>IncState!C39</f>
        <v>122.9</v>
      </c>
      <c r="D19" s="4">
        <f>IncState!D39</f>
        <v>120.8</v>
      </c>
      <c r="E19" s="4">
        <f>IncState!E39</f>
        <v>118.4</v>
      </c>
      <c r="F19" s="102">
        <f>E19</f>
        <v>118.4</v>
      </c>
      <c r="G19" s="102">
        <f t="shared" ref="G19:J19" si="11">F19</f>
        <v>118.4</v>
      </c>
      <c r="H19" s="102">
        <f t="shared" si="11"/>
        <v>118.4</v>
      </c>
      <c r="I19" s="102">
        <f t="shared" si="11"/>
        <v>118.4</v>
      </c>
      <c r="J19" s="102">
        <f t="shared" si="11"/>
        <v>118.4</v>
      </c>
      <c r="K19" s="197"/>
      <c r="L19" s="197"/>
    </row>
    <row r="20" spans="1:12" x14ac:dyDescent="0.25">
      <c r="F20" s="104"/>
      <c r="G20" s="104"/>
      <c r="H20" s="104"/>
      <c r="I20" s="104"/>
      <c r="J20" s="104"/>
      <c r="K20" s="171"/>
      <c r="L20" s="171"/>
    </row>
    <row r="21" spans="1:12" x14ac:dyDescent="0.25">
      <c r="A21" s="64" t="s">
        <v>125</v>
      </c>
      <c r="B21" s="107" t="s">
        <v>145</v>
      </c>
      <c r="C21" s="263">
        <f>C2</f>
        <v>2022</v>
      </c>
      <c r="D21" s="263">
        <f>D2</f>
        <v>2023</v>
      </c>
      <c r="E21" s="263">
        <f>E2</f>
        <v>2024</v>
      </c>
      <c r="F21" s="263">
        <f>F2</f>
        <v>2025</v>
      </c>
      <c r="G21" s="263">
        <f>G2</f>
        <v>2026</v>
      </c>
      <c r="H21" s="263">
        <f>H2</f>
        <v>2027</v>
      </c>
      <c r="I21" s="263">
        <f>I2</f>
        <v>2028</v>
      </c>
      <c r="J21" s="263">
        <f>J2</f>
        <v>2029</v>
      </c>
      <c r="K21" s="198"/>
      <c r="L21" s="198"/>
    </row>
    <row r="22" spans="1:12" x14ac:dyDescent="0.25">
      <c r="A22" s="86"/>
      <c r="B22" s="159"/>
      <c r="C22" s="196"/>
      <c r="D22" s="196"/>
      <c r="E22" s="196"/>
      <c r="F22" s="198"/>
      <c r="G22" s="198"/>
      <c r="H22" s="198"/>
      <c r="I22" s="198"/>
      <c r="J22" s="198"/>
      <c r="K22" s="198"/>
      <c r="L22" s="198"/>
    </row>
    <row r="23" spans="1:12" x14ac:dyDescent="0.25">
      <c r="B23" s="4" t="s">
        <v>138</v>
      </c>
      <c r="E23" s="8">
        <f>E24+1%</f>
        <v>5.8599999999999999E-2</v>
      </c>
      <c r="F23" s="101">
        <f>E23</f>
        <v>5.8599999999999999E-2</v>
      </c>
      <c r="G23" s="101">
        <f t="shared" ref="G23:J23" si="12">F23</f>
        <v>5.8599999999999999E-2</v>
      </c>
      <c r="H23" s="101">
        <f t="shared" si="12"/>
        <v>5.8599999999999999E-2</v>
      </c>
      <c r="I23" s="101">
        <f t="shared" si="12"/>
        <v>5.8599999999999999E-2</v>
      </c>
      <c r="J23" s="101">
        <f t="shared" si="12"/>
        <v>5.8599999999999999E-2</v>
      </c>
      <c r="K23" s="171"/>
      <c r="L23" s="171"/>
    </row>
    <row r="24" spans="1:12" x14ac:dyDescent="0.25">
      <c r="B24" s="4" t="s">
        <v>26</v>
      </c>
      <c r="E24" s="8">
        <v>4.8599999999999997E-2</v>
      </c>
      <c r="F24" s="101">
        <f>E24</f>
        <v>4.8599999999999997E-2</v>
      </c>
      <c r="G24" s="101">
        <f t="shared" ref="G24:J24" si="13">F24</f>
        <v>4.8599999999999997E-2</v>
      </c>
      <c r="H24" s="101">
        <f t="shared" si="13"/>
        <v>4.8599999999999997E-2</v>
      </c>
      <c r="I24" s="101">
        <f t="shared" si="13"/>
        <v>4.8599999999999997E-2</v>
      </c>
      <c r="J24" s="101">
        <f t="shared" si="13"/>
        <v>4.8599999999999997E-2</v>
      </c>
      <c r="K24" s="171"/>
      <c r="L24" s="171"/>
    </row>
    <row r="25" spans="1:12" x14ac:dyDescent="0.25">
      <c r="B25" s="4" t="s">
        <v>27</v>
      </c>
      <c r="C25" s="8"/>
      <c r="D25" s="8"/>
      <c r="E25" s="8">
        <v>0.04</v>
      </c>
      <c r="F25" s="127">
        <f>E25</f>
        <v>0.04</v>
      </c>
      <c r="G25" s="127">
        <f t="shared" ref="G25:J25" si="14">F25</f>
        <v>0.04</v>
      </c>
      <c r="H25" s="127">
        <f t="shared" si="14"/>
        <v>0.04</v>
      </c>
      <c r="I25" s="127">
        <f t="shared" si="14"/>
        <v>0.04</v>
      </c>
      <c r="J25" s="127">
        <f t="shared" si="14"/>
        <v>0.04</v>
      </c>
      <c r="K25" s="171"/>
      <c r="L25" s="171"/>
    </row>
    <row r="26" spans="1:12" x14ac:dyDescent="0.25">
      <c r="F26" s="104"/>
      <c r="G26" s="104"/>
      <c r="H26" s="104"/>
      <c r="I26" s="104"/>
      <c r="J26" s="104"/>
      <c r="K26" s="171"/>
      <c r="L26" s="171"/>
    </row>
    <row r="27" spans="1:12" x14ac:dyDescent="0.25">
      <c r="B27" s="4" t="s">
        <v>28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97"/>
      <c r="L27" s="197"/>
    </row>
    <row r="28" spans="1:12" x14ac:dyDescent="0.25">
      <c r="B28" s="4" t="s">
        <v>29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97"/>
      <c r="L28" s="197"/>
    </row>
    <row r="29" spans="1:12" x14ac:dyDescent="0.25">
      <c r="F29" s="104"/>
      <c r="G29" s="104"/>
      <c r="H29" s="104"/>
      <c r="I29" s="104"/>
      <c r="J29" s="104"/>
      <c r="K29" s="171"/>
      <c r="L29" s="171"/>
    </row>
    <row r="30" spans="1:12" x14ac:dyDescent="0.25">
      <c r="A30" s="64" t="s">
        <v>125</v>
      </c>
      <c r="B30" s="107" t="s">
        <v>142</v>
      </c>
      <c r="C30" s="263">
        <f>C21</f>
        <v>2022</v>
      </c>
      <c r="D30" s="263">
        <f t="shared" ref="D30:J30" si="15">D21</f>
        <v>2023</v>
      </c>
      <c r="E30" s="263">
        <f t="shared" si="15"/>
        <v>2024</v>
      </c>
      <c r="F30" s="263">
        <f t="shared" si="15"/>
        <v>2025</v>
      </c>
      <c r="G30" s="263">
        <f t="shared" si="15"/>
        <v>2026</v>
      </c>
      <c r="H30" s="263">
        <f t="shared" si="15"/>
        <v>2027</v>
      </c>
      <c r="I30" s="263">
        <f t="shared" si="15"/>
        <v>2028</v>
      </c>
      <c r="J30" s="263">
        <f t="shared" si="15"/>
        <v>2029</v>
      </c>
      <c r="K30" s="199"/>
      <c r="L30" s="199"/>
    </row>
    <row r="31" spans="1:12" x14ac:dyDescent="0.25">
      <c r="A31" s="86"/>
      <c r="B31" s="159"/>
      <c r="C31" s="196"/>
      <c r="D31" s="196"/>
      <c r="E31" s="196"/>
      <c r="F31" s="198"/>
      <c r="G31" s="198"/>
      <c r="H31" s="198"/>
      <c r="I31" s="198"/>
      <c r="J31" s="198"/>
      <c r="K31" s="199"/>
      <c r="L31" s="199"/>
    </row>
    <row r="32" spans="1:12" x14ac:dyDescent="0.25">
      <c r="B32" s="4" t="s">
        <v>143</v>
      </c>
      <c r="C32" s="8">
        <f>564.9/IncState!C16</f>
        <v>5.3862583191899162E-2</v>
      </c>
      <c r="D32" s="8">
        <f>601.2/IncState!D16</f>
        <v>5.2783143107989469E-2</v>
      </c>
      <c r="E32" s="8">
        <f>644.6/IncState!E16</f>
        <v>5.3375508210024257E-2</v>
      </c>
      <c r="F32" s="221">
        <f>AVERAGE(C32:E32)</f>
        <v>5.3340411503304298E-2</v>
      </c>
      <c r="G32" s="221">
        <f t="shared" ref="G32:J32" si="16">F32</f>
        <v>5.3340411503304298E-2</v>
      </c>
      <c r="H32" s="221">
        <f t="shared" si="16"/>
        <v>5.3340411503304298E-2</v>
      </c>
      <c r="I32" s="221">
        <f t="shared" si="16"/>
        <v>5.3340411503304298E-2</v>
      </c>
      <c r="J32" s="221">
        <f t="shared" si="16"/>
        <v>5.3340411503304298E-2</v>
      </c>
      <c r="K32" s="171"/>
      <c r="L32" s="171"/>
    </row>
    <row r="33" spans="1:12" x14ac:dyDescent="0.25">
      <c r="B33" s="4" t="s">
        <v>156</v>
      </c>
      <c r="D33" s="8">
        <f>IncState!D21/BalSheet!C23</f>
        <v>6.4783772362304551E-2</v>
      </c>
      <c r="E33" s="8">
        <f>IncState!E21/BalSheet!D23</f>
        <v>6.7786592413575708E-2</v>
      </c>
      <c r="F33" s="101">
        <f>E33</f>
        <v>6.7786592413575708E-2</v>
      </c>
      <c r="G33" s="101">
        <f t="shared" ref="G33:J33" si="17">F33</f>
        <v>6.7786592413575708E-2</v>
      </c>
      <c r="H33" s="101">
        <f t="shared" si="17"/>
        <v>6.7786592413575708E-2</v>
      </c>
      <c r="I33" s="101">
        <f t="shared" si="17"/>
        <v>6.7786592413575708E-2</v>
      </c>
      <c r="J33" s="101">
        <f t="shared" si="17"/>
        <v>6.7786592413575708E-2</v>
      </c>
      <c r="K33" s="171"/>
      <c r="L33" s="171"/>
    </row>
    <row r="34" spans="1:12" x14ac:dyDescent="0.25">
      <c r="B34" s="4" t="s">
        <v>144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200"/>
      <c r="L34" s="200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125</v>
      </c>
      <c r="B36" s="107" t="s">
        <v>61</v>
      </c>
      <c r="C36" s="263">
        <f>C30</f>
        <v>2022</v>
      </c>
      <c r="D36" s="263">
        <f t="shared" ref="D36:J36" si="18">D30</f>
        <v>2023</v>
      </c>
      <c r="E36" s="263">
        <f t="shared" si="18"/>
        <v>2024</v>
      </c>
      <c r="F36" s="263">
        <f t="shared" si="18"/>
        <v>2025</v>
      </c>
      <c r="G36" s="263">
        <f t="shared" si="18"/>
        <v>2026</v>
      </c>
      <c r="H36" s="263">
        <f t="shared" si="18"/>
        <v>2027</v>
      </c>
      <c r="I36" s="263">
        <f t="shared" si="18"/>
        <v>2028</v>
      </c>
      <c r="J36" s="263">
        <f t="shared" si="18"/>
        <v>2029</v>
      </c>
      <c r="K36" s="199"/>
      <c r="L36" s="199"/>
    </row>
    <row r="37" spans="1:12" x14ac:dyDescent="0.25">
      <c r="A37" s="86"/>
      <c r="B37" s="159"/>
      <c r="C37" s="196"/>
      <c r="D37" s="196"/>
      <c r="E37" s="196"/>
      <c r="F37" s="261"/>
      <c r="G37" s="261"/>
      <c r="H37" s="261"/>
      <c r="I37" s="261"/>
      <c r="J37" s="261"/>
      <c r="K37" s="199"/>
      <c r="L37" s="199"/>
    </row>
    <row r="38" spans="1:12" s="266" customFormat="1" x14ac:dyDescent="0.25">
      <c r="B38" s="266" t="str">
        <f>B17</f>
        <v>Dividend Payout Rate</v>
      </c>
      <c r="C38" s="266">
        <f>C17</f>
        <v>4.83839212469237</v>
      </c>
      <c r="D38" s="266">
        <f t="shared" ref="D38:E38" si="19">D17</f>
        <v>5.2410341951626354</v>
      </c>
      <c r="E38" s="266">
        <f t="shared" si="19"/>
        <v>5.5957446808510642</v>
      </c>
      <c r="F38" s="267">
        <f>F17</f>
        <v>5.9504551665394931</v>
      </c>
      <c r="G38" s="267">
        <f t="shared" ref="G38:J38" si="20">G17</f>
        <v>6.305165652227922</v>
      </c>
      <c r="H38" s="267">
        <f t="shared" si="20"/>
        <v>6.6598761379163509</v>
      </c>
      <c r="I38" s="267">
        <f t="shared" si="20"/>
        <v>7.0145866236047798</v>
      </c>
      <c r="J38" s="267">
        <f t="shared" si="20"/>
        <v>7.3692971092932087</v>
      </c>
      <c r="K38" s="268"/>
      <c r="L38" s="268"/>
    </row>
    <row r="39" spans="1:12" x14ac:dyDescent="0.25">
      <c r="B39" s="4" t="s">
        <v>49</v>
      </c>
      <c r="C39" s="4">
        <f>C18</f>
        <v>121.9</v>
      </c>
      <c r="D39" s="4">
        <f t="shared" ref="D39:E39" si="21">D18</f>
        <v>119.9</v>
      </c>
      <c r="E39" s="4">
        <f t="shared" si="21"/>
        <v>117.5</v>
      </c>
      <c r="F39" s="102">
        <f>F18</f>
        <v>117.5</v>
      </c>
      <c r="G39" s="102">
        <f t="shared" ref="G39:J40" si="22">G18</f>
        <v>117.5</v>
      </c>
      <c r="H39" s="102">
        <f t="shared" si="22"/>
        <v>117.5</v>
      </c>
      <c r="I39" s="102">
        <f t="shared" si="22"/>
        <v>117.5</v>
      </c>
      <c r="J39" s="102">
        <f t="shared" si="22"/>
        <v>117.5</v>
      </c>
      <c r="K39" s="197"/>
      <c r="L39" s="197"/>
    </row>
    <row r="40" spans="1:12" x14ac:dyDescent="0.25">
      <c r="B40" s="4" t="s">
        <v>50</v>
      </c>
      <c r="C40" s="4">
        <f t="shared" ref="C40:E40" si="23">C19</f>
        <v>122.9</v>
      </c>
      <c r="D40" s="4">
        <f t="shared" si="23"/>
        <v>120.8</v>
      </c>
      <c r="E40" s="4">
        <f t="shared" si="23"/>
        <v>118.4</v>
      </c>
      <c r="F40" s="102">
        <f>F19</f>
        <v>118.4</v>
      </c>
      <c r="G40" s="102">
        <f t="shared" si="22"/>
        <v>118.4</v>
      </c>
      <c r="H40" s="102">
        <f t="shared" si="22"/>
        <v>118.4</v>
      </c>
      <c r="I40" s="102">
        <f t="shared" si="22"/>
        <v>118.4</v>
      </c>
      <c r="J40" s="102">
        <f t="shared" si="22"/>
        <v>118.4</v>
      </c>
      <c r="K40" s="197"/>
      <c r="L40" s="197"/>
    </row>
    <row r="41" spans="1:12" x14ac:dyDescent="0.25">
      <c r="F41" s="30"/>
      <c r="G41" s="30"/>
      <c r="H41" s="30"/>
      <c r="I41" s="30"/>
      <c r="J41" s="30"/>
      <c r="K41" s="30"/>
      <c r="L41" s="30"/>
    </row>
    <row r="42" spans="1:12" x14ac:dyDescent="0.25">
      <c r="A42" s="64" t="s">
        <v>125</v>
      </c>
      <c r="B42" s="107" t="s">
        <v>130</v>
      </c>
      <c r="C42" s="263">
        <f>C36</f>
        <v>2022</v>
      </c>
      <c r="D42" s="263">
        <f t="shared" ref="D42:J42" si="24">D36</f>
        <v>2023</v>
      </c>
      <c r="E42" s="263">
        <f t="shared" si="24"/>
        <v>2024</v>
      </c>
      <c r="F42" s="263">
        <f t="shared" si="24"/>
        <v>2025</v>
      </c>
      <c r="G42" s="263">
        <f t="shared" si="24"/>
        <v>2026</v>
      </c>
      <c r="H42" s="263">
        <f t="shared" si="24"/>
        <v>2027</v>
      </c>
      <c r="I42" s="263">
        <f t="shared" si="24"/>
        <v>2028</v>
      </c>
      <c r="J42" s="263">
        <f t="shared" si="24"/>
        <v>2029</v>
      </c>
      <c r="K42" s="199"/>
      <c r="L42" s="199"/>
    </row>
    <row r="43" spans="1:12" x14ac:dyDescent="0.25">
      <c r="A43" s="86"/>
      <c r="B43" s="159"/>
      <c r="C43" s="196"/>
      <c r="D43" s="196"/>
      <c r="E43" s="196"/>
      <c r="F43" s="261"/>
      <c r="G43" s="261"/>
      <c r="H43" s="261"/>
      <c r="I43" s="261"/>
      <c r="J43" s="261"/>
      <c r="K43" s="199"/>
      <c r="L43" s="199"/>
    </row>
    <row r="44" spans="1:12" x14ac:dyDescent="0.25">
      <c r="B44" s="4" t="s">
        <v>141</v>
      </c>
      <c r="C44" s="8">
        <f>BalSheet!C16/IncState!C16</f>
        <v>0.01</v>
      </c>
      <c r="D44" s="8">
        <f>BalSheet!D16/IncState!D16</f>
        <v>0.01</v>
      </c>
      <c r="E44" s="8">
        <f>BalSheet!E16/IncState!E16</f>
        <v>0.01</v>
      </c>
      <c r="F44" s="101">
        <f>E44</f>
        <v>0.01</v>
      </c>
      <c r="G44" s="101">
        <f t="shared" ref="G44:J44" si="25">F44</f>
        <v>0.01</v>
      </c>
      <c r="H44" s="101">
        <f t="shared" si="25"/>
        <v>0.01</v>
      </c>
      <c r="I44" s="101">
        <f t="shared" si="25"/>
        <v>0.01</v>
      </c>
      <c r="J44" s="101">
        <f t="shared" si="25"/>
        <v>0.01</v>
      </c>
      <c r="K44" s="171"/>
      <c r="L44" s="171"/>
    </row>
    <row r="45" spans="1:12" x14ac:dyDescent="0.25">
      <c r="B45" s="4" t="s">
        <v>154</v>
      </c>
      <c r="C45" s="8">
        <f>BalSheet!C18/IncState!C16</f>
        <v>7.6469803009210713E-3</v>
      </c>
      <c r="D45" s="8">
        <f>BalSheet!D18/IncState!D16</f>
        <v>6.9446883230904295E-3</v>
      </c>
      <c r="E45" s="8">
        <f>BalSheet!E18/IncState!E16</f>
        <v>7.7670224481853484E-3</v>
      </c>
      <c r="F45" s="101">
        <f>E45</f>
        <v>7.7670224481853484E-3</v>
      </c>
      <c r="G45" s="101">
        <f t="shared" ref="G45:J45" si="26">F45</f>
        <v>7.7670224481853484E-3</v>
      </c>
      <c r="H45" s="101">
        <f t="shared" si="26"/>
        <v>7.7670224481853484E-3</v>
      </c>
      <c r="I45" s="101">
        <f t="shared" si="26"/>
        <v>7.7670224481853484E-3</v>
      </c>
      <c r="J45" s="101">
        <f t="shared" si="26"/>
        <v>7.7670224481853484E-3</v>
      </c>
      <c r="K45" s="171"/>
      <c r="L45" s="171"/>
    </row>
    <row r="46" spans="1:12" x14ac:dyDescent="0.25">
      <c r="B46" s="4" t="s">
        <v>65</v>
      </c>
      <c r="C46" s="8">
        <f>BalSheet!C19/IncState!C17</f>
        <v>3.4361759264784866E-2</v>
      </c>
      <c r="D46" s="8">
        <f>BalSheet!D19/IncState!D17</f>
        <v>3.2438166489866561E-2</v>
      </c>
      <c r="E46" s="8">
        <f>BalSheet!E19/IncState!E17</f>
        <v>3.302911777488049E-2</v>
      </c>
      <c r="F46" s="101">
        <f t="shared" ref="F46:J46" si="27">E46</f>
        <v>3.302911777488049E-2</v>
      </c>
      <c r="G46" s="101">
        <f t="shared" si="27"/>
        <v>3.302911777488049E-2</v>
      </c>
      <c r="H46" s="101">
        <f t="shared" si="27"/>
        <v>3.302911777488049E-2</v>
      </c>
      <c r="I46" s="101">
        <f t="shared" si="27"/>
        <v>3.302911777488049E-2</v>
      </c>
      <c r="J46" s="101">
        <f t="shared" si="27"/>
        <v>3.302911777488049E-2</v>
      </c>
      <c r="K46" s="171"/>
      <c r="L46" s="171"/>
    </row>
    <row r="47" spans="1:12" x14ac:dyDescent="0.25">
      <c r="B47" s="4" t="s">
        <v>66</v>
      </c>
      <c r="C47" s="8">
        <f>BalSheet!C20/IncState!C16</f>
        <v>2.4962337191784742E-2</v>
      </c>
      <c r="D47" s="8">
        <f>BalSheet!D20/IncState!D16</f>
        <v>2.2686567164179102E-2</v>
      </c>
      <c r="E47" s="8">
        <f>BalSheet!E20/IncState!E16</f>
        <v>2.4203631786829178E-2</v>
      </c>
      <c r="F47" s="101">
        <f t="shared" ref="F47:J47" si="28">E47</f>
        <v>2.4203631786829178E-2</v>
      </c>
      <c r="G47" s="101">
        <f t="shared" si="28"/>
        <v>2.4203631786829178E-2</v>
      </c>
      <c r="H47" s="101">
        <f t="shared" si="28"/>
        <v>2.4203631786829178E-2</v>
      </c>
      <c r="I47" s="101">
        <f t="shared" si="28"/>
        <v>2.4203631786829178E-2</v>
      </c>
      <c r="J47" s="101">
        <f t="shared" si="28"/>
        <v>2.4203631786829178E-2</v>
      </c>
      <c r="K47" s="171"/>
      <c r="L47" s="171"/>
    </row>
    <row r="48" spans="1:12" x14ac:dyDescent="0.25">
      <c r="E48" s="8"/>
      <c r="F48" s="104"/>
      <c r="G48" s="104"/>
      <c r="H48" s="104"/>
      <c r="I48" s="104"/>
      <c r="J48" s="104"/>
      <c r="K48" s="171"/>
      <c r="L48" s="171"/>
    </row>
    <row r="49" spans="1:12" x14ac:dyDescent="0.25">
      <c r="B49" s="4" t="s">
        <v>67</v>
      </c>
      <c r="C49" s="8">
        <f>BalSheet!C25/IncState!C16</f>
        <v>2.8709548236999186E-2</v>
      </c>
      <c r="D49" s="8">
        <f>BalSheet!D25/IncState!D16</f>
        <v>3.0517998244073752E-2</v>
      </c>
      <c r="E49" s="8">
        <f>BalSheet!E25/IncState!E16</f>
        <v>3.076999511455944E-2</v>
      </c>
      <c r="F49" s="101">
        <f>E49</f>
        <v>3.076999511455944E-2</v>
      </c>
      <c r="G49" s="101">
        <f t="shared" ref="G49:J49" si="29">F49</f>
        <v>3.076999511455944E-2</v>
      </c>
      <c r="H49" s="101">
        <f t="shared" si="29"/>
        <v>3.076999511455944E-2</v>
      </c>
      <c r="I49" s="101">
        <f t="shared" si="29"/>
        <v>3.076999511455944E-2</v>
      </c>
      <c r="J49" s="101">
        <f t="shared" si="29"/>
        <v>3.076999511455944E-2</v>
      </c>
      <c r="K49" s="171"/>
      <c r="L49" s="171"/>
    </row>
    <row r="50" spans="1:12" x14ac:dyDescent="0.25">
      <c r="F50" s="30"/>
      <c r="G50" s="30"/>
      <c r="H50" s="30"/>
      <c r="I50" s="30"/>
      <c r="J50" s="30"/>
      <c r="K50" s="30"/>
      <c r="L50" s="30"/>
    </row>
    <row r="51" spans="1:12" x14ac:dyDescent="0.25">
      <c r="A51" s="64" t="s">
        <v>125</v>
      </c>
      <c r="B51" s="107" t="s">
        <v>131</v>
      </c>
      <c r="C51" s="263">
        <f>C42</f>
        <v>2022</v>
      </c>
      <c r="D51" s="263">
        <f>D42</f>
        <v>2023</v>
      </c>
      <c r="E51" s="263">
        <f>E42</f>
        <v>2024</v>
      </c>
      <c r="F51" s="263">
        <f>F42</f>
        <v>2025</v>
      </c>
      <c r="G51" s="263">
        <f>G42</f>
        <v>2026</v>
      </c>
      <c r="H51" s="263">
        <f>H42</f>
        <v>2027</v>
      </c>
      <c r="I51" s="263">
        <f>I42</f>
        <v>2028</v>
      </c>
      <c r="J51" s="263">
        <f>J42</f>
        <v>2029</v>
      </c>
      <c r="K51" s="199"/>
      <c r="L51" s="199"/>
    </row>
    <row r="52" spans="1:12" x14ac:dyDescent="0.25">
      <c r="A52" s="86"/>
      <c r="B52" s="159"/>
      <c r="C52" s="196"/>
      <c r="D52" s="196"/>
      <c r="E52" s="196"/>
      <c r="F52" s="261"/>
      <c r="G52" s="261"/>
      <c r="H52" s="261"/>
      <c r="I52" s="261"/>
      <c r="J52" s="261"/>
      <c r="K52" s="199"/>
      <c r="L52" s="199"/>
    </row>
    <row r="53" spans="1:12" x14ac:dyDescent="0.25">
      <c r="B53" s="4" t="s">
        <v>155</v>
      </c>
      <c r="C53" s="8">
        <f>BalSheet!C31/IncState!C17</f>
        <v>7.2447335441904875E-2</v>
      </c>
      <c r="D53" s="8">
        <f>BalSheet!D31/IncState!D17</f>
        <v>6.6517782368376979E-2</v>
      </c>
      <c r="E53" s="8">
        <f>BalSheet!E31/IncState!E17</f>
        <v>6.9089791289047187E-2</v>
      </c>
      <c r="F53" s="101">
        <f t="shared" ref="F53:J53" si="30">E53</f>
        <v>6.9089791289047187E-2</v>
      </c>
      <c r="G53" s="101">
        <f t="shared" si="30"/>
        <v>6.9089791289047187E-2</v>
      </c>
      <c r="H53" s="101">
        <f t="shared" si="30"/>
        <v>6.9089791289047187E-2</v>
      </c>
      <c r="I53" s="101">
        <f t="shared" si="30"/>
        <v>6.9089791289047187E-2</v>
      </c>
      <c r="J53" s="101">
        <f t="shared" si="30"/>
        <v>6.9089791289047187E-2</v>
      </c>
      <c r="K53" s="171"/>
      <c r="L53" s="171"/>
    </row>
    <row r="54" spans="1:12" x14ac:dyDescent="0.25">
      <c r="B54" s="4" t="s">
        <v>68</v>
      </c>
      <c r="C54" s="8">
        <f>BalSheet!C32/IncState!C16</f>
        <v>0.12685215202425676</v>
      </c>
      <c r="D54" s="8">
        <f>BalSheet!D32/IncState!D16</f>
        <v>0.13257243195785778</v>
      </c>
      <c r="E54" s="8">
        <f>BalSheet!E32/IncState!E16</f>
        <v>0.13213046610415094</v>
      </c>
      <c r="F54" s="101">
        <f t="shared" ref="F54:J54" si="31">E54</f>
        <v>0.13213046610415094</v>
      </c>
      <c r="G54" s="101">
        <f t="shared" si="31"/>
        <v>0.13213046610415094</v>
      </c>
      <c r="H54" s="101">
        <f t="shared" si="31"/>
        <v>0.13213046610415094</v>
      </c>
      <c r="I54" s="101">
        <f t="shared" si="31"/>
        <v>0.13213046610415094</v>
      </c>
      <c r="J54" s="101">
        <f t="shared" si="31"/>
        <v>0.13213046610415094</v>
      </c>
      <c r="K54" s="171"/>
      <c r="L54" s="171"/>
    </row>
    <row r="55" spans="1:12" x14ac:dyDescent="0.25">
      <c r="B55" s="4" t="s">
        <v>69</v>
      </c>
      <c r="C55" s="8">
        <f>BalSheet!C36/IncState!C16</f>
        <v>0.49750185930319041</v>
      </c>
      <c r="D55" s="8">
        <f>BalSheet!D36/IncState!D16</f>
        <v>0.48442493415276561</v>
      </c>
      <c r="E55" s="8">
        <f>BalSheet!E36/IncState!E16</f>
        <v>0.488486093055222</v>
      </c>
      <c r="F55" s="101">
        <f t="shared" ref="F55:J55" si="32">E55</f>
        <v>0.488486093055222</v>
      </c>
      <c r="G55" s="101">
        <f t="shared" si="32"/>
        <v>0.488486093055222</v>
      </c>
      <c r="H55" s="101">
        <f t="shared" si="32"/>
        <v>0.488486093055222</v>
      </c>
      <c r="I55" s="101">
        <f t="shared" si="32"/>
        <v>0.488486093055222</v>
      </c>
      <c r="J55" s="101">
        <f t="shared" si="32"/>
        <v>0.488486093055222</v>
      </c>
      <c r="K55" s="171"/>
      <c r="L55" s="171"/>
    </row>
    <row r="56" spans="1:12" x14ac:dyDescent="0.25">
      <c r="F56" s="122"/>
      <c r="G56" s="30"/>
      <c r="H56" s="30"/>
      <c r="I56" s="30"/>
      <c r="J56" s="30"/>
    </row>
    <row r="57" spans="1:12" x14ac:dyDescent="0.25">
      <c r="F57" s="123"/>
      <c r="G57" s="95"/>
      <c r="H57" s="95"/>
      <c r="I57" s="95"/>
      <c r="J57" s="95"/>
    </row>
    <row r="58" spans="1:12" x14ac:dyDescent="0.25">
      <c r="F58" s="95"/>
      <c r="G58" s="95"/>
      <c r="H58" s="95"/>
      <c r="I58" s="95"/>
      <c r="J58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K21:L21 F22:L29 K30:L30 F31:L34 K36:L40 F38:J40 K51:L55 F53:J55 F57:J58 K42:L49 F44:J49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zoomScaleNormal="100" workbookViewId="0">
      <selection activeCell="F88" sqref="F8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3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194"/>
      <c r="L2" s="194"/>
      <c r="M2" s="194"/>
    </row>
    <row r="3" spans="1:13" x14ac:dyDescent="0.25">
      <c r="B3" s="4" t="s">
        <v>12</v>
      </c>
      <c r="C3" s="29"/>
      <c r="D3" s="29"/>
      <c r="E3" s="40"/>
      <c r="F3" s="203">
        <f>Assumptions!F32</f>
        <v>5.3340411503304298E-2</v>
      </c>
      <c r="G3" s="203">
        <f>Assumptions!G32</f>
        <v>5.3340411503304298E-2</v>
      </c>
      <c r="H3" s="203">
        <f>Assumptions!H32</f>
        <v>5.3340411503304298E-2</v>
      </c>
      <c r="I3" s="203">
        <f>Assumptions!I32</f>
        <v>5.3340411503304298E-2</v>
      </c>
      <c r="J3" s="203">
        <f>Assumptions!J32</f>
        <v>5.3340411503304298E-2</v>
      </c>
      <c r="K3" s="201"/>
      <c r="L3" s="201"/>
    </row>
    <row r="4" spans="1:13" x14ac:dyDescent="0.25">
      <c r="B4" s="4" t="s">
        <v>135</v>
      </c>
      <c r="C4" s="29"/>
      <c r="D4" s="29"/>
      <c r="E4" s="40"/>
      <c r="F4" s="203">
        <f>Assumptions!F33</f>
        <v>6.7786592413575708E-2</v>
      </c>
      <c r="G4" s="203">
        <f>F4</f>
        <v>6.7786592413575708E-2</v>
      </c>
      <c r="H4" s="203">
        <f t="shared" ref="H4:J4" si="1">G4</f>
        <v>6.7786592413575708E-2</v>
      </c>
      <c r="I4" s="203">
        <f t="shared" si="1"/>
        <v>6.7786592413575708E-2</v>
      </c>
      <c r="J4" s="203">
        <f t="shared" si="1"/>
        <v>6.7786592413575708E-2</v>
      </c>
      <c r="K4" s="201"/>
      <c r="L4" s="201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13</v>
      </c>
      <c r="E6" s="27"/>
      <c r="F6" s="4">
        <f>E9</f>
        <v>8271.9</v>
      </c>
      <c r="G6" s="4">
        <f t="shared" ref="G6:J6" si="2">F9</f>
        <v>8408.1746779194582</v>
      </c>
      <c r="H6" s="4">
        <f t="shared" si="2"/>
        <v>8561.0007076835955</v>
      </c>
      <c r="I6" s="4">
        <f t="shared" si="2"/>
        <v>8739.6065586378481</v>
      </c>
      <c r="J6" s="4">
        <f t="shared" si="2"/>
        <v>8947.8463079825924</v>
      </c>
    </row>
    <row r="7" spans="1:13" x14ac:dyDescent="0.25">
      <c r="B7" s="4" t="s">
        <v>14</v>
      </c>
      <c r="C7" s="12"/>
      <c r="D7" s="12"/>
      <c r="E7" s="128"/>
      <c r="F7" s="4">
        <f>F3*IncState!F16</f>
        <v>696.99859170531545</v>
      </c>
      <c r="G7" s="4">
        <f>G3*IncState!G16</f>
        <v>722.78753959841208</v>
      </c>
      <c r="H7" s="4">
        <f>H3*IncState!H16</f>
        <v>758.92691657833268</v>
      </c>
      <c r="I7" s="4">
        <f>I3*IncState!I16</f>
        <v>800.667896990141</v>
      </c>
      <c r="J7" s="4">
        <f>J3*IncState!J16</f>
        <v>840.70129183964809</v>
      </c>
    </row>
    <row r="8" spans="1:13" x14ac:dyDescent="0.25">
      <c r="B8" s="4" t="s">
        <v>15</v>
      </c>
      <c r="E8" s="27"/>
      <c r="F8" s="4">
        <f>F6*F4</f>
        <v>560.72391378585689</v>
      </c>
      <c r="G8" s="4">
        <f t="shared" ref="G8:J8" si="3">G6*G4</f>
        <v>569.96150983427447</v>
      </c>
      <c r="H8" s="4">
        <f t="shared" si="3"/>
        <v>580.32106562408103</v>
      </c>
      <c r="I8" s="4">
        <f t="shared" si="3"/>
        <v>592.42814764539685</v>
      </c>
      <c r="J8" s="4">
        <f t="shared" si="3"/>
        <v>606.54401065853426</v>
      </c>
    </row>
    <row r="9" spans="1:13" x14ac:dyDescent="0.25">
      <c r="B9" s="4" t="s">
        <v>16</v>
      </c>
      <c r="E9" s="27">
        <f>BalSheet!E23</f>
        <v>8271.9</v>
      </c>
      <c r="F9" s="4">
        <f>F6+F7-F8</f>
        <v>8408.1746779194582</v>
      </c>
      <c r="G9" s="4">
        <f t="shared" ref="G9:J9" si="4">G6+G7-G8</f>
        <v>8561.0007076835955</v>
      </c>
      <c r="H9" s="4">
        <f t="shared" si="4"/>
        <v>8739.6065586378481</v>
      </c>
      <c r="I9" s="4">
        <f t="shared" si="4"/>
        <v>8947.8463079825924</v>
      </c>
      <c r="J9" s="4">
        <f t="shared" si="4"/>
        <v>9182.0035891637071</v>
      </c>
    </row>
    <row r="10" spans="1:13" x14ac:dyDescent="0.25">
      <c r="A10" s="20" t="s">
        <v>17</v>
      </c>
      <c r="B10" s="42"/>
      <c r="C10" s="236">
        <f t="shared" ref="C10:J10" si="5">C2</f>
        <v>2022</v>
      </c>
      <c r="D10" s="236">
        <f t="shared" si="5"/>
        <v>2023</v>
      </c>
      <c r="E10" s="236">
        <f t="shared" si="5"/>
        <v>2024</v>
      </c>
      <c r="F10" s="236">
        <f t="shared" si="5"/>
        <v>2025</v>
      </c>
      <c r="G10" s="236">
        <f t="shared" ref="G10:J10" si="6">G2</f>
        <v>2026</v>
      </c>
      <c r="H10" s="236">
        <f t="shared" si="6"/>
        <v>2027</v>
      </c>
      <c r="I10" s="236">
        <f t="shared" si="6"/>
        <v>2028</v>
      </c>
      <c r="J10" s="236">
        <f t="shared" si="6"/>
        <v>2029</v>
      </c>
      <c r="K10" s="196"/>
      <c r="L10" s="196"/>
    </row>
    <row r="11" spans="1:13" x14ac:dyDescent="0.25">
      <c r="B11" s="4" t="s">
        <v>18</v>
      </c>
      <c r="E11" s="27"/>
      <c r="F11" s="256">
        <f>Assumptions!F34</f>
        <v>0</v>
      </c>
      <c r="G11" s="256">
        <f>Assumptions!G34</f>
        <v>0</v>
      </c>
      <c r="H11" s="256">
        <f>Assumptions!H34</f>
        <v>0</v>
      </c>
      <c r="I11" s="256">
        <f>Assumptions!I34</f>
        <v>0</v>
      </c>
      <c r="J11" s="256">
        <f>Assumptions!J34</f>
        <v>0</v>
      </c>
      <c r="K11" s="202"/>
      <c r="L11" s="202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E17</f>
        <v>2311.3000000000002</v>
      </c>
      <c r="G13" s="4">
        <f t="shared" ref="G13:J13" si="7">F17</f>
        <v>2870.2580960616106</v>
      </c>
      <c r="H13" s="4">
        <f t="shared" si="7"/>
        <v>3460.8509377610449</v>
      </c>
      <c r="I13" s="4">
        <f t="shared" si="7"/>
        <v>4104.4380707150758</v>
      </c>
      <c r="J13" s="4">
        <f t="shared" si="7"/>
        <v>4814.429262052362</v>
      </c>
    </row>
    <row r="14" spans="1:13" x14ac:dyDescent="0.25">
      <c r="B14" s="4" t="s">
        <v>20</v>
      </c>
      <c r="E14" s="27"/>
      <c r="F14" s="4">
        <f>IncState!F34</f>
        <v>1258.1365781300012</v>
      </c>
      <c r="G14" s="4">
        <f>IncState!G34</f>
        <v>1331.4498058362151</v>
      </c>
      <c r="H14" s="4">
        <f>IncState!H34</f>
        <v>1426.1225791592015</v>
      </c>
      <c r="I14" s="4">
        <f>IncState!I34</f>
        <v>1534.2051196108473</v>
      </c>
      <c r="J14" s="4">
        <f>IncState!J34</f>
        <v>1642.0434641191728</v>
      </c>
    </row>
    <row r="15" spans="1:13" x14ac:dyDescent="0.25">
      <c r="B15" s="4" t="s">
        <v>21</v>
      </c>
      <c r="E15" s="27"/>
      <c r="F15" s="4">
        <f>-IncState!F36</f>
        <v>-699.17848206839039</v>
      </c>
      <c r="G15" s="4">
        <f>-IncState!G36</f>
        <v>-740.85696413678079</v>
      </c>
      <c r="H15" s="4">
        <f>-IncState!H36</f>
        <v>-782.53544620517118</v>
      </c>
      <c r="I15" s="4">
        <f>-IncState!I36</f>
        <v>-824.21392827356158</v>
      </c>
      <c r="J15" s="4">
        <f>-IncState!J36</f>
        <v>-865.89241034195197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BalSheet!E39</f>
        <v>2311.3000000000002</v>
      </c>
      <c r="F17" s="4">
        <f>SUM(F13:F16)</f>
        <v>2870.2580960616106</v>
      </c>
      <c r="G17" s="4">
        <f t="shared" ref="G17:J17" si="9">SUM(G13:G16)</f>
        <v>3460.8509377610449</v>
      </c>
      <c r="H17" s="4">
        <f t="shared" si="9"/>
        <v>4104.4380707150758</v>
      </c>
      <c r="I17" s="4">
        <f t="shared" si="9"/>
        <v>4814.429262052362</v>
      </c>
      <c r="J17" s="4">
        <f t="shared" si="9"/>
        <v>5590.5803158295821</v>
      </c>
    </row>
    <row r="18" spans="1:12" x14ac:dyDescent="0.25">
      <c r="A18" s="20" t="s">
        <v>24</v>
      </c>
      <c r="B18" s="42"/>
      <c r="C18" s="236">
        <f>C10</f>
        <v>2022</v>
      </c>
      <c r="D18" s="236">
        <f t="shared" ref="D18:J18" si="10">D10</f>
        <v>2023</v>
      </c>
      <c r="E18" s="236">
        <f t="shared" si="10"/>
        <v>2024</v>
      </c>
      <c r="F18" s="236">
        <f t="shared" si="10"/>
        <v>2025</v>
      </c>
      <c r="G18" s="236">
        <f t="shared" ref="G18:J18" si="11">G10</f>
        <v>2026</v>
      </c>
      <c r="H18" s="236">
        <f t="shared" si="11"/>
        <v>2027</v>
      </c>
      <c r="I18" s="236">
        <f t="shared" si="11"/>
        <v>2028</v>
      </c>
      <c r="J18" s="236">
        <f t="shared" si="11"/>
        <v>2029</v>
      </c>
      <c r="K18" s="196"/>
      <c r="L18" s="196"/>
    </row>
    <row r="19" spans="1:12" x14ac:dyDescent="0.25">
      <c r="A19" s="87"/>
      <c r="B19" s="173" t="s">
        <v>159</v>
      </c>
      <c r="C19" s="196"/>
      <c r="D19" s="196"/>
      <c r="E19" s="217">
        <f>BalSheet!E16</f>
        <v>120.76700000000001</v>
      </c>
      <c r="F19" s="132">
        <f>BalSheet!F16</f>
        <v>130.66989400000003</v>
      </c>
      <c r="G19" s="132">
        <f>BalSheet!G16</f>
        <v>135.50468007800004</v>
      </c>
      <c r="H19" s="132">
        <f>BalSheet!H16</f>
        <v>142.27991408190002</v>
      </c>
      <c r="I19" s="132">
        <f>BalSheet!I16</f>
        <v>150.10530935640452</v>
      </c>
      <c r="J19" s="132">
        <f>BalSheet!J16</f>
        <v>157.61057482422476</v>
      </c>
      <c r="K19" s="196"/>
      <c r="L19" s="196"/>
    </row>
    <row r="20" spans="1:12" x14ac:dyDescent="0.25">
      <c r="B20" s="4" t="str">
        <f>BalSheet!B18</f>
        <v>Accounts receivable</v>
      </c>
      <c r="D20" s="98"/>
      <c r="E20" s="99">
        <f>BalSheet!E18</f>
        <v>93.8</v>
      </c>
      <c r="F20" s="4">
        <f>BalSheet!F18</f>
        <v>101.49160000000002</v>
      </c>
      <c r="G20" s="4">
        <f>BalSheet!G18</f>
        <v>105.24678920000001</v>
      </c>
      <c r="H20" s="4">
        <f>BalSheet!H18</f>
        <v>110.50912866000002</v>
      </c>
      <c r="I20" s="4">
        <f>BalSheet!I18</f>
        <v>116.58713073630001</v>
      </c>
      <c r="J20" s="4">
        <f>BalSheet!J18</f>
        <v>122.41648727311501</v>
      </c>
      <c r="K20" s="98"/>
      <c r="L20" s="98"/>
    </row>
    <row r="21" spans="1:12" x14ac:dyDescent="0.25">
      <c r="B21" s="4" t="str">
        <f>BalSheet!B19</f>
        <v>Inventories</v>
      </c>
      <c r="C21" s="98"/>
      <c r="D21" s="98"/>
      <c r="E21" s="99">
        <f>BalSheet!E19</f>
        <v>311.60000000000002</v>
      </c>
      <c r="F21" s="4">
        <f>BalSheet!F19</f>
        <v>334.9932443407215</v>
      </c>
      <c r="G21" s="4">
        <f>BalSheet!G19</f>
        <v>345.15019436265629</v>
      </c>
      <c r="H21" s="4">
        <f>BalSheet!H19</f>
        <v>360.05801406118366</v>
      </c>
      <c r="I21" s="4">
        <f>BalSheet!I19</f>
        <v>377.38228186386499</v>
      </c>
      <c r="J21" s="4">
        <f>BalSheet!J19</f>
        <v>393.64852683784028</v>
      </c>
      <c r="K21" s="98"/>
      <c r="L21" s="98"/>
    </row>
    <row r="22" spans="1:12" x14ac:dyDescent="0.25">
      <c r="B22" s="4" t="s">
        <v>72</v>
      </c>
      <c r="C22" s="98"/>
      <c r="D22" s="98"/>
      <c r="E22" s="99">
        <f>BalSheet!E20</f>
        <v>292.29999999999995</v>
      </c>
      <c r="F22" s="4">
        <f>BalSheet!F20</f>
        <v>316.26859999999999</v>
      </c>
      <c r="G22" s="4">
        <f>BalSheet!G20</f>
        <v>327.97053819999996</v>
      </c>
      <c r="H22" s="4">
        <f>BalSheet!H20</f>
        <v>344.36906510999995</v>
      </c>
      <c r="I22" s="4">
        <f>BalSheet!I20</f>
        <v>363.30936369104995</v>
      </c>
      <c r="J22" s="4">
        <f>BalSheet!J20</f>
        <v>381.47483187560249</v>
      </c>
      <c r="K22" s="98"/>
      <c r="L22" s="98"/>
    </row>
    <row r="23" spans="1:12" x14ac:dyDescent="0.25">
      <c r="B23" s="4" t="s">
        <v>163</v>
      </c>
      <c r="C23" s="98"/>
      <c r="D23" s="98"/>
      <c r="E23" s="99">
        <f>BalSheet!E31</f>
        <v>651.80000000000007</v>
      </c>
      <c r="F23" s="4">
        <f>BalSheet!F31</f>
        <v>700.73362214788915</v>
      </c>
      <c r="G23" s="4">
        <f>BalSheet!G31</f>
        <v>721.979771134722</v>
      </c>
      <c r="H23" s="4">
        <f>BalSheet!H31</f>
        <v>753.16371490718711</v>
      </c>
      <c r="I23" s="4">
        <f>BalSheet!I31</f>
        <v>789.40234697967651</v>
      </c>
      <c r="J23" s="4">
        <f>BalSheet!J31</f>
        <v>823.42782346888418</v>
      </c>
      <c r="K23" s="98"/>
      <c r="L23" s="98"/>
    </row>
    <row r="24" spans="1:12" x14ac:dyDescent="0.25">
      <c r="B24" s="4" t="s">
        <v>78</v>
      </c>
      <c r="C24" s="98"/>
      <c r="D24" s="98"/>
      <c r="E24" s="99">
        <f>BalSheet!E32</f>
        <v>1595.6999999999998</v>
      </c>
      <c r="F24" s="4">
        <f>BalSheet!F32</f>
        <v>1726.5473999999999</v>
      </c>
      <c r="G24" s="4">
        <f>BalSheet!G32</f>
        <v>1790.4296537999999</v>
      </c>
      <c r="H24" s="4">
        <f>BalSheet!H32</f>
        <v>1879.95113649</v>
      </c>
      <c r="I24" s="4">
        <f>BalSheet!I32</f>
        <v>1983.3484489969499</v>
      </c>
      <c r="J24" s="4">
        <f>BalSheet!J32</f>
        <v>2082.5158714467975</v>
      </c>
      <c r="K24" s="98"/>
      <c r="L24" s="98"/>
    </row>
    <row r="25" spans="1:12" x14ac:dyDescent="0.25">
      <c r="A25" s="11" t="s">
        <v>125</v>
      </c>
      <c r="B25" s="17" t="s">
        <v>24</v>
      </c>
      <c r="C25" s="18"/>
      <c r="D25" s="18"/>
      <c r="E25" s="18">
        <f>SUM(E19:E22)-SUM(E23:E24)</f>
        <v>-1429.0329999999999</v>
      </c>
      <c r="F25" s="18">
        <f>SUM(F19:F22)-SUM(F23:F24)</f>
        <v>-1543.8576838071674</v>
      </c>
      <c r="G25" s="18">
        <f t="shared" ref="G25:J25" si="12">SUM(G19:G22)-SUM(G23:G24)</f>
        <v>-1598.5372230940654</v>
      </c>
      <c r="H25" s="18">
        <f t="shared" si="12"/>
        <v>-1675.8987294841036</v>
      </c>
      <c r="I25" s="18">
        <f t="shared" si="12"/>
        <v>-1765.3667103290068</v>
      </c>
      <c r="J25" s="18">
        <f t="shared" si="12"/>
        <v>-1850.793274104899</v>
      </c>
      <c r="K25" s="11"/>
      <c r="L25" s="11"/>
    </row>
    <row r="26" spans="1:12" s="11" customFormat="1" x14ac:dyDescent="0.25">
      <c r="A26" s="24"/>
      <c r="B26" s="11" t="s">
        <v>151</v>
      </c>
      <c r="F26" s="11">
        <f>E25-F25</f>
        <v>114.8246838071675</v>
      </c>
      <c r="G26" s="11">
        <f t="shared" ref="G26:J26" si="13">F25-G25</f>
        <v>54.679539286898034</v>
      </c>
      <c r="H26" s="11">
        <f t="shared" si="13"/>
        <v>77.36150639003813</v>
      </c>
      <c r="I26" s="11">
        <f t="shared" si="13"/>
        <v>89.467980844903195</v>
      </c>
      <c r="J26" s="11">
        <f t="shared" si="13"/>
        <v>85.426563775892191</v>
      </c>
    </row>
    <row r="27" spans="1:12" x14ac:dyDescent="0.25">
      <c r="B27" s="66"/>
      <c r="C27" s="66"/>
      <c r="D27" s="66"/>
      <c r="E27" s="66"/>
      <c r="F27" s="66"/>
      <c r="G27" s="66"/>
      <c r="H27" s="84"/>
      <c r="I27" s="66"/>
      <c r="J27" s="66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G33" sqref="G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5"/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204"/>
      <c r="L2" s="204"/>
    </row>
    <row r="3" spans="1:13" s="2" customFormat="1" x14ac:dyDescent="0.25">
      <c r="A3" s="87"/>
      <c r="B3" s="11"/>
      <c r="C3" s="196"/>
      <c r="D3" s="196"/>
      <c r="E3" s="196"/>
      <c r="F3" s="196"/>
      <c r="G3" s="196"/>
      <c r="H3" s="196"/>
      <c r="I3" s="196"/>
      <c r="J3" s="196"/>
      <c r="K3" s="204"/>
      <c r="L3" s="204"/>
    </row>
    <row r="4" spans="1:13" s="2" customFormat="1" x14ac:dyDescent="0.25">
      <c r="A4" s="11"/>
      <c r="B4" s="4" t="s">
        <v>25</v>
      </c>
      <c r="C4" s="30"/>
      <c r="D4" s="56"/>
      <c r="E4" s="60"/>
      <c r="F4" s="111">
        <f>Assumptions!F23</f>
        <v>5.8599999999999999E-2</v>
      </c>
      <c r="G4" s="111">
        <f>Assumptions!G23</f>
        <v>5.8599999999999999E-2</v>
      </c>
      <c r="H4" s="111">
        <f>Assumptions!H23</f>
        <v>5.8599999999999999E-2</v>
      </c>
      <c r="I4" s="111">
        <f>Assumptions!I23</f>
        <v>5.8599999999999999E-2</v>
      </c>
      <c r="J4" s="111">
        <f>Assumptions!J23</f>
        <v>5.8599999999999999E-2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1">
        <f>Assumptions!F24</f>
        <v>4.8599999999999997E-2</v>
      </c>
      <c r="G5" s="111">
        <f>Assumptions!G24</f>
        <v>4.8599999999999997E-2</v>
      </c>
      <c r="H5" s="111">
        <f>Assumptions!H24</f>
        <v>4.8599999999999997E-2</v>
      </c>
      <c r="I5" s="111">
        <f>Assumptions!I24</f>
        <v>4.8599999999999997E-2</v>
      </c>
      <c r="J5" s="111">
        <f>Assumptions!J24</f>
        <v>4.8599999999999997E-2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1">
        <f>Assumptions!F25</f>
        <v>0.04</v>
      </c>
      <c r="G6" s="111">
        <f>Assumptions!G25</f>
        <v>0.04</v>
      </c>
      <c r="H6" s="111">
        <f>Assumptions!H25</f>
        <v>0.04</v>
      </c>
      <c r="I6" s="111">
        <f>Assumptions!I25</f>
        <v>0.04</v>
      </c>
      <c r="J6" s="111">
        <f>Assumptions!J25</f>
        <v>0.04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5"/>
      <c r="L7" s="205"/>
    </row>
    <row r="8" spans="1:13" s="2" customFormat="1" x14ac:dyDescent="0.25">
      <c r="A8" s="11"/>
      <c r="B8" s="4" t="s">
        <v>28</v>
      </c>
      <c r="C8" s="30"/>
      <c r="D8" s="58"/>
      <c r="E8" s="62"/>
      <c r="F8" s="112">
        <f>Assumptions!F27</f>
        <v>0</v>
      </c>
      <c r="G8" s="112">
        <f>Assumptions!G27</f>
        <v>0</v>
      </c>
      <c r="H8" s="112">
        <f>Assumptions!H27</f>
        <v>0</v>
      </c>
      <c r="I8" s="112">
        <f>Assumptions!I27</f>
        <v>0</v>
      </c>
      <c r="J8" s="112">
        <f>Assumptions!J27</f>
        <v>0</v>
      </c>
      <c r="K8" s="206"/>
      <c r="L8" s="206"/>
    </row>
    <row r="9" spans="1:13" s="2" customFormat="1" x14ac:dyDescent="0.25">
      <c r="A9" s="11"/>
      <c r="B9" s="4" t="s">
        <v>29</v>
      </c>
      <c r="C9" s="30"/>
      <c r="D9" s="58"/>
      <c r="E9" s="62"/>
      <c r="F9" s="112">
        <f>Assumptions!F28</f>
        <v>0</v>
      </c>
      <c r="G9" s="112">
        <f>Assumptions!G28</f>
        <v>0</v>
      </c>
      <c r="H9" s="112">
        <f>Assumptions!H28</f>
        <v>0</v>
      </c>
      <c r="I9" s="112">
        <f>Assumptions!I28</f>
        <v>0</v>
      </c>
      <c r="J9" s="112">
        <f>Assumptions!J28</f>
        <v>0</v>
      </c>
      <c r="K9" s="206"/>
      <c r="L9" s="206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30</v>
      </c>
      <c r="B11" s="54"/>
      <c r="C11" s="254">
        <f>C2</f>
        <v>2022</v>
      </c>
      <c r="D11" s="254">
        <f t="shared" ref="D11:J11" si="1">D2</f>
        <v>2023</v>
      </c>
      <c r="E11" s="254">
        <f t="shared" si="1"/>
        <v>2024</v>
      </c>
      <c r="F11" s="254">
        <f t="shared" si="1"/>
        <v>2025</v>
      </c>
      <c r="G11" s="254">
        <f t="shared" si="1"/>
        <v>2026</v>
      </c>
      <c r="H11" s="254">
        <f t="shared" si="1"/>
        <v>2027</v>
      </c>
      <c r="I11" s="254">
        <f t="shared" si="1"/>
        <v>2028</v>
      </c>
      <c r="J11" s="254">
        <f t="shared" si="1"/>
        <v>2029</v>
      </c>
      <c r="K11" s="207"/>
      <c r="L11" s="207"/>
      <c r="M11" s="47"/>
    </row>
    <row r="12" spans="1:13" x14ac:dyDescent="0.25">
      <c r="B12" s="4" t="s">
        <v>31</v>
      </c>
      <c r="E12" s="27"/>
      <c r="F12" s="4">
        <v>0</v>
      </c>
      <c r="G12" s="4">
        <v>0</v>
      </c>
      <c r="H12" s="4">
        <v>0</v>
      </c>
      <c r="I12" s="4">
        <v>0</v>
      </c>
      <c r="J12" s="4">
        <v>0</v>
      </c>
      <c r="M12" s="47"/>
    </row>
    <row r="13" spans="1:13" x14ac:dyDescent="0.25">
      <c r="B13" s="4" t="s">
        <v>32</v>
      </c>
      <c r="E13" s="28"/>
      <c r="I13" s="4"/>
      <c r="J13" s="4"/>
      <c r="M13" s="47"/>
    </row>
    <row r="14" spans="1:13" x14ac:dyDescent="0.25">
      <c r="B14" s="4" t="s">
        <v>33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62" t="s">
        <v>34</v>
      </c>
      <c r="B16" s="19"/>
      <c r="C16" s="254">
        <f t="shared" ref="C16:J16" si="2">C11</f>
        <v>2022</v>
      </c>
      <c r="D16" s="254">
        <f t="shared" si="2"/>
        <v>2023</v>
      </c>
      <c r="E16" s="254">
        <f t="shared" si="2"/>
        <v>2024</v>
      </c>
      <c r="F16" s="254">
        <f t="shared" si="2"/>
        <v>2025</v>
      </c>
      <c r="G16" s="254">
        <f t="shared" ref="G16:J16" si="3">G11</f>
        <v>2026</v>
      </c>
      <c r="H16" s="254">
        <f t="shared" si="3"/>
        <v>2027</v>
      </c>
      <c r="I16" s="254">
        <f t="shared" si="3"/>
        <v>2028</v>
      </c>
      <c r="J16" s="254">
        <f t="shared" si="3"/>
        <v>2029</v>
      </c>
      <c r="K16" s="204"/>
      <c r="L16" s="204"/>
      <c r="M16" s="47"/>
    </row>
    <row r="17" spans="1:13" x14ac:dyDescent="0.25">
      <c r="B17" s="4" t="s">
        <v>19</v>
      </c>
      <c r="E17" s="27"/>
      <c r="F17" s="4">
        <f>E20</f>
        <v>2128.9</v>
      </c>
      <c r="G17" s="4">
        <f t="shared" ref="G17:J17" si="4">F20</f>
        <v>2128.9</v>
      </c>
      <c r="H17" s="4">
        <f t="shared" si="4"/>
        <v>2128.9</v>
      </c>
      <c r="I17" s="4">
        <f t="shared" si="4"/>
        <v>2128.9</v>
      </c>
      <c r="J17" s="4">
        <f t="shared" si="4"/>
        <v>2128.9</v>
      </c>
      <c r="M17" s="47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7">
        <f>BalSheet!E35</f>
        <v>2128.9</v>
      </c>
      <c r="F20" s="4">
        <f>SUM(F17:F19)</f>
        <v>2128.9</v>
      </c>
      <c r="G20" s="4">
        <f t="shared" ref="G20:J20" si="7">SUM(G17:G19)</f>
        <v>2128.9</v>
      </c>
      <c r="H20" s="4">
        <f t="shared" si="7"/>
        <v>2128.9</v>
      </c>
      <c r="I20" s="4">
        <f t="shared" si="7"/>
        <v>2128.9</v>
      </c>
      <c r="J20" s="4">
        <f t="shared" si="7"/>
        <v>2128.9</v>
      </c>
    </row>
    <row r="21" spans="1:13" x14ac:dyDescent="0.25">
      <c r="B21" s="4" t="s">
        <v>32</v>
      </c>
      <c r="D21" s="48"/>
      <c r="E21" s="27"/>
      <c r="F21" s="8">
        <f>F5</f>
        <v>4.8599999999999997E-2</v>
      </c>
      <c r="G21" s="8">
        <f t="shared" ref="G21:J21" si="8">G5</f>
        <v>4.8599999999999997E-2</v>
      </c>
      <c r="H21" s="8">
        <f t="shared" si="8"/>
        <v>4.8599999999999997E-2</v>
      </c>
      <c r="I21" s="8">
        <f t="shared" si="8"/>
        <v>4.8599999999999997E-2</v>
      </c>
      <c r="J21" s="8">
        <f t="shared" si="8"/>
        <v>4.8599999999999997E-2</v>
      </c>
    </row>
    <row r="22" spans="1:13" x14ac:dyDescent="0.25">
      <c r="B22" s="4" t="s">
        <v>33</v>
      </c>
      <c r="E22" s="27"/>
      <c r="F22" s="4">
        <f>-F21*F20</f>
        <v>-103.46454</v>
      </c>
      <c r="G22" s="4">
        <f t="shared" ref="G22:J22" si="9">-G21*G20</f>
        <v>-103.46454</v>
      </c>
      <c r="H22" s="4">
        <f t="shared" si="9"/>
        <v>-103.46454</v>
      </c>
      <c r="I22" s="4">
        <f t="shared" si="9"/>
        <v>-103.46454</v>
      </c>
      <c r="J22" s="4">
        <f t="shared" si="9"/>
        <v>-103.46454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2"/>
      <c r="C24" s="254">
        <f>C16</f>
        <v>2022</v>
      </c>
      <c r="D24" s="254">
        <f t="shared" ref="D24:J24" si="10">D16</f>
        <v>2023</v>
      </c>
      <c r="E24" s="254">
        <f t="shared" si="10"/>
        <v>2024</v>
      </c>
      <c r="F24" s="254">
        <f t="shared" si="10"/>
        <v>2025</v>
      </c>
      <c r="G24" s="254">
        <f t="shared" ref="G24:J24" si="11">G16</f>
        <v>2026</v>
      </c>
      <c r="H24" s="254">
        <f t="shared" si="11"/>
        <v>2027</v>
      </c>
      <c r="I24" s="254">
        <f t="shared" si="11"/>
        <v>2028</v>
      </c>
      <c r="J24" s="254">
        <f t="shared" si="11"/>
        <v>2029</v>
      </c>
      <c r="K24" s="204"/>
      <c r="L24" s="204"/>
    </row>
    <row r="25" spans="1:13" x14ac:dyDescent="0.25">
      <c r="A25" s="7"/>
      <c r="B25" s="4" t="s">
        <v>30</v>
      </c>
      <c r="E25" s="27"/>
      <c r="F25" s="4">
        <f>F12</f>
        <v>0</v>
      </c>
      <c r="G25" s="4">
        <f t="shared" ref="G25:J25" si="12">G12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</row>
    <row r="26" spans="1:13" x14ac:dyDescent="0.25">
      <c r="A26" s="7"/>
      <c r="B26" s="4" t="s">
        <v>38</v>
      </c>
      <c r="E26" s="27"/>
      <c r="F26" s="4">
        <f>F20</f>
        <v>2128.9</v>
      </c>
      <c r="G26" s="4">
        <f t="shared" ref="G26:J26" si="13">G20</f>
        <v>2128.9</v>
      </c>
      <c r="H26" s="4">
        <f t="shared" si="13"/>
        <v>2128.9</v>
      </c>
      <c r="I26" s="4">
        <f t="shared" si="13"/>
        <v>2128.9</v>
      </c>
      <c r="J26" s="4">
        <f t="shared" si="13"/>
        <v>2128.9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2128.9</v>
      </c>
      <c r="G27" s="11">
        <f t="shared" ref="G27:J27" si="14">SUM(G25:G26)</f>
        <v>2128.9</v>
      </c>
      <c r="H27" s="11">
        <f t="shared" si="14"/>
        <v>2128.9</v>
      </c>
      <c r="I27" s="11">
        <f t="shared" si="14"/>
        <v>2128.9</v>
      </c>
      <c r="J27" s="11">
        <f t="shared" si="14"/>
        <v>2128.9</v>
      </c>
      <c r="K27" s="11"/>
      <c r="L27" s="11"/>
    </row>
    <row r="28" spans="1:13" x14ac:dyDescent="0.25">
      <c r="A28" s="7"/>
      <c r="B28" s="4" t="s">
        <v>40</v>
      </c>
      <c r="E28" s="27"/>
      <c r="F28" s="4">
        <f>F22</f>
        <v>-103.46454</v>
      </c>
      <c r="G28" s="4">
        <f t="shared" ref="G28:J28" si="15">G22</f>
        <v>-103.46454</v>
      </c>
      <c r="H28" s="4">
        <f t="shared" si="15"/>
        <v>-103.46454</v>
      </c>
      <c r="I28" s="4">
        <f t="shared" si="15"/>
        <v>-103.46454</v>
      </c>
      <c r="J28" s="4">
        <f t="shared" si="15"/>
        <v>-103.46454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2"/>
      <c r="C30" s="254">
        <f>C11</f>
        <v>2022</v>
      </c>
      <c r="D30" s="254">
        <f t="shared" ref="D30:J30" si="16">D11</f>
        <v>2023</v>
      </c>
      <c r="E30" s="254">
        <f t="shared" si="16"/>
        <v>2024</v>
      </c>
      <c r="F30" s="254">
        <f t="shared" si="16"/>
        <v>2025</v>
      </c>
      <c r="G30" s="254">
        <f t="shared" ref="G30:J30" si="17">G11</f>
        <v>2026</v>
      </c>
      <c r="H30" s="254">
        <f t="shared" si="17"/>
        <v>2027</v>
      </c>
      <c r="I30" s="254">
        <f t="shared" si="17"/>
        <v>2028</v>
      </c>
      <c r="J30" s="254">
        <f t="shared" si="17"/>
        <v>2029</v>
      </c>
      <c r="K30" s="204"/>
      <c r="L30" s="204"/>
    </row>
    <row r="31" spans="1:13" x14ac:dyDescent="0.25">
      <c r="A31" s="7"/>
      <c r="B31" s="4" t="s">
        <v>169</v>
      </c>
      <c r="E31" s="27"/>
      <c r="F31" s="4">
        <f>BalSheet!F17</f>
        <v>1110.0125019493203</v>
      </c>
      <c r="G31" s="4">
        <f>BalSheet!G17</f>
        <v>1823.7547949715145</v>
      </c>
      <c r="H31" s="4">
        <f>BalSheet!H17</f>
        <v>2676.2109504513319</v>
      </c>
      <c r="I31" s="4">
        <f>BalSheet!I17</f>
        <v>3625.611312277726</v>
      </c>
      <c r="J31" s="4">
        <f>BalSheet!J17</f>
        <v>4596.5597310436733</v>
      </c>
    </row>
    <row r="32" spans="1:13" x14ac:dyDescent="0.25">
      <c r="B32" s="4" t="s">
        <v>32</v>
      </c>
      <c r="D32" s="48"/>
      <c r="E32" s="23"/>
      <c r="F32" s="5">
        <f>F6</f>
        <v>0.04</v>
      </c>
      <c r="G32" s="5">
        <f t="shared" ref="G32:J32" si="18">G6</f>
        <v>0.04</v>
      </c>
      <c r="H32" s="5">
        <f t="shared" si="18"/>
        <v>0.04</v>
      </c>
      <c r="I32" s="5">
        <f t="shared" si="18"/>
        <v>0.04</v>
      </c>
      <c r="J32" s="5">
        <f t="shared" si="18"/>
        <v>0.04</v>
      </c>
      <c r="K32" s="172"/>
      <c r="L32" s="172"/>
    </row>
    <row r="33" spans="2:10" x14ac:dyDescent="0.25">
      <c r="B33" s="4" t="s">
        <v>41</v>
      </c>
      <c r="E33" s="27"/>
      <c r="F33" s="4">
        <f>F31*F32</f>
        <v>44.400500077972815</v>
      </c>
      <c r="G33" s="4">
        <f t="shared" ref="G33:J33" si="19">G31*G32</f>
        <v>72.950191798860587</v>
      </c>
      <c r="H33" s="4">
        <f t="shared" si="19"/>
        <v>107.04843801805328</v>
      </c>
      <c r="I33" s="4">
        <f t="shared" si="19"/>
        <v>145.02445249110903</v>
      </c>
      <c r="J33" s="4">
        <f t="shared" si="19"/>
        <v>183.86238924174694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F41" sqref="F16:J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4">
        <v>2022</v>
      </c>
      <c r="D2" s="264">
        <f>C2+1</f>
        <v>2023</v>
      </c>
      <c r="E2" s="264">
        <f t="shared" ref="E2:J2" si="0">D2+1</f>
        <v>2024</v>
      </c>
      <c r="F2" s="264">
        <f t="shared" si="0"/>
        <v>2025</v>
      </c>
      <c r="G2" s="264">
        <f t="shared" si="0"/>
        <v>2026</v>
      </c>
      <c r="H2" s="264">
        <f t="shared" si="0"/>
        <v>2027</v>
      </c>
      <c r="I2" s="264">
        <f t="shared" si="0"/>
        <v>2028</v>
      </c>
      <c r="J2" s="264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43</v>
      </c>
      <c r="C4" s="31"/>
      <c r="D4" s="31"/>
      <c r="E4" s="32"/>
      <c r="F4" s="176">
        <f>Assumptions!F10</f>
        <v>8.2000000000000003E-2</v>
      </c>
      <c r="G4" s="176">
        <f>Assumptions!G10</f>
        <v>3.6999999999999998E-2</v>
      </c>
      <c r="H4" s="176">
        <f>Assumptions!H10</f>
        <v>0.05</v>
      </c>
      <c r="I4" s="176">
        <f>Assumptions!I10</f>
        <v>5.5E-2</v>
      </c>
      <c r="J4" s="176">
        <f>Assumptions!J10</f>
        <v>0.05</v>
      </c>
      <c r="K4" s="209"/>
      <c r="L4" s="209"/>
    </row>
    <row r="5" spans="1:12" x14ac:dyDescent="0.25">
      <c r="B5" s="30" t="s">
        <v>44</v>
      </c>
      <c r="C5" s="31"/>
      <c r="D5" s="31"/>
      <c r="E5" s="31"/>
      <c r="F5" s="176">
        <f>Assumptions!F11</f>
        <v>0.77618194539899144</v>
      </c>
      <c r="G5" s="176">
        <f>Assumptions!G11</f>
        <v>0.77118194539899143</v>
      </c>
      <c r="H5" s="176">
        <f>Assumptions!H11</f>
        <v>0.76618194539899143</v>
      </c>
      <c r="I5" s="176">
        <f>Assumptions!I11</f>
        <v>0.76118194539899142</v>
      </c>
      <c r="J5" s="176">
        <f>Assumptions!J11</f>
        <v>0.75618194539899142</v>
      </c>
      <c r="K5" s="209"/>
      <c r="L5" s="209"/>
    </row>
    <row r="6" spans="1:12" x14ac:dyDescent="0.25">
      <c r="B6" s="30" t="s">
        <v>45</v>
      </c>
      <c r="C6" s="31"/>
      <c r="D6" s="31"/>
      <c r="E6" s="31"/>
      <c r="F6" s="176">
        <f>Assumptions!F12</f>
        <v>0.10194009953050087</v>
      </c>
      <c r="G6" s="176">
        <f>Assumptions!G12</f>
        <v>0.10444009953050087</v>
      </c>
      <c r="H6" s="176">
        <f>Assumptions!H12</f>
        <v>0.10694009953050088</v>
      </c>
      <c r="I6" s="176">
        <f>Assumptions!I12</f>
        <v>0.10944009953050088</v>
      </c>
      <c r="J6" s="176">
        <f>Assumptions!J12</f>
        <v>0.11194009953050088</v>
      </c>
      <c r="K6" s="209"/>
      <c r="L6" s="209"/>
    </row>
    <row r="7" spans="1:12" x14ac:dyDescent="0.25">
      <c r="A7" s="87"/>
      <c r="B7" s="4" t="s">
        <v>46</v>
      </c>
      <c r="C7" s="30"/>
      <c r="D7" s="30"/>
      <c r="E7" s="30"/>
      <c r="F7" s="177">
        <f>Assumptions!F13</f>
        <v>0</v>
      </c>
      <c r="G7" s="177">
        <f>Assumptions!G13</f>
        <v>0</v>
      </c>
      <c r="H7" s="177">
        <f>Assumptions!H13</f>
        <v>0</v>
      </c>
      <c r="I7" s="177">
        <f>Assumptions!I13</f>
        <v>0</v>
      </c>
      <c r="J7" s="177">
        <f>Assumptions!J13</f>
        <v>0</v>
      </c>
      <c r="K7" s="210"/>
      <c r="L7" s="210"/>
    </row>
    <row r="8" spans="1:12" x14ac:dyDescent="0.25">
      <c r="A8" s="87"/>
      <c r="B8" s="4" t="s">
        <v>47</v>
      </c>
      <c r="C8" s="30"/>
      <c r="D8" s="30"/>
      <c r="E8" s="30"/>
      <c r="F8" s="178">
        <f>Assumptions!F14</f>
        <v>0</v>
      </c>
      <c r="G8" s="178">
        <f>Assumptions!G14</f>
        <v>0</v>
      </c>
      <c r="H8" s="178">
        <f>Assumptions!H14</f>
        <v>0</v>
      </c>
      <c r="I8" s="178">
        <f>Assumptions!I14</f>
        <v>0</v>
      </c>
      <c r="J8" s="178">
        <f>Assumptions!J14</f>
        <v>0</v>
      </c>
      <c r="K8" s="211"/>
      <c r="L8" s="211"/>
    </row>
    <row r="9" spans="1:12" x14ac:dyDescent="0.25">
      <c r="B9" s="4" t="s">
        <v>146</v>
      </c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211"/>
      <c r="L9" s="211"/>
    </row>
    <row r="10" spans="1:12" x14ac:dyDescent="0.25">
      <c r="B10" s="30" t="s">
        <v>48</v>
      </c>
      <c r="C10" s="43"/>
      <c r="D10" s="43"/>
      <c r="E10" s="43"/>
      <c r="F10" s="176">
        <f>Assumptions!F16</f>
        <v>0.21</v>
      </c>
      <c r="G10" s="176">
        <f>Assumptions!G16</f>
        <v>0.21</v>
      </c>
      <c r="H10" s="176">
        <f>Assumptions!H16</f>
        <v>0.21</v>
      </c>
      <c r="I10" s="176">
        <f>Assumptions!I16</f>
        <v>0.21</v>
      </c>
      <c r="J10" s="176">
        <f>Assumptions!J16</f>
        <v>0.21</v>
      </c>
      <c r="K10" s="209"/>
      <c r="L10" s="209"/>
    </row>
    <row r="11" spans="1:12" s="266" customFormat="1" x14ac:dyDescent="0.25">
      <c r="A11" s="269"/>
      <c r="B11" s="266" t="s">
        <v>140</v>
      </c>
      <c r="E11" s="270"/>
      <c r="F11" s="271">
        <f>Assumptions!F17</f>
        <v>5.9504551665394931</v>
      </c>
      <c r="G11" s="271">
        <f>Assumptions!G17</f>
        <v>6.305165652227922</v>
      </c>
      <c r="H11" s="271">
        <f>Assumptions!H17</f>
        <v>6.6598761379163509</v>
      </c>
      <c r="I11" s="271">
        <f>Assumptions!I17</f>
        <v>7.0145866236047798</v>
      </c>
      <c r="J11" s="271">
        <f>Assumptions!J17</f>
        <v>7.3692971092932087</v>
      </c>
      <c r="K11" s="272"/>
      <c r="L11" s="272"/>
    </row>
    <row r="12" spans="1:12" x14ac:dyDescent="0.25">
      <c r="B12" s="4" t="s">
        <v>49</v>
      </c>
      <c r="C12" s="30"/>
      <c r="D12" s="30"/>
      <c r="E12" s="39"/>
      <c r="F12" s="178">
        <f>Assumptions!F18</f>
        <v>117.5</v>
      </c>
      <c r="G12" s="178">
        <f>Assumptions!G18</f>
        <v>117.5</v>
      </c>
      <c r="H12" s="178">
        <f>Assumptions!H18</f>
        <v>117.5</v>
      </c>
      <c r="I12" s="178">
        <f>Assumptions!I18</f>
        <v>117.5</v>
      </c>
      <c r="J12" s="178">
        <f>Assumptions!J18</f>
        <v>117.5</v>
      </c>
      <c r="K12" s="211"/>
      <c r="L12" s="211"/>
    </row>
    <row r="13" spans="1:12" x14ac:dyDescent="0.25">
      <c r="B13" s="4" t="s">
        <v>50</v>
      </c>
      <c r="C13" s="30"/>
      <c r="D13" s="30"/>
      <c r="E13" s="39"/>
      <c r="F13" s="178">
        <f>Assumptions!F19</f>
        <v>118.4</v>
      </c>
      <c r="G13" s="178">
        <f>Assumptions!G19</f>
        <v>118.4</v>
      </c>
      <c r="H13" s="178">
        <f>Assumptions!H19</f>
        <v>118.4</v>
      </c>
      <c r="I13" s="178">
        <f>Assumptions!I19</f>
        <v>118.4</v>
      </c>
      <c r="J13" s="178">
        <f>Assumptions!J19</f>
        <v>118.4</v>
      </c>
      <c r="K13" s="211"/>
      <c r="L13" s="211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9" t="s">
        <v>42</v>
      </c>
      <c r="B15" s="180"/>
      <c r="C15" s="151">
        <f>C37</f>
        <v>44926</v>
      </c>
      <c r="D15" s="151">
        <f t="shared" ref="D15:J15" si="1">D37</f>
        <v>45291</v>
      </c>
      <c r="E15" s="151">
        <f t="shared" si="1"/>
        <v>45657</v>
      </c>
      <c r="F15" s="151">
        <f t="shared" si="1"/>
        <v>46022</v>
      </c>
      <c r="G15" s="151">
        <f t="shared" si="1"/>
        <v>46022</v>
      </c>
      <c r="H15" s="151">
        <f t="shared" si="1"/>
        <v>46022</v>
      </c>
      <c r="I15" s="151">
        <f t="shared" si="1"/>
        <v>46022</v>
      </c>
      <c r="J15" s="151">
        <f t="shared" si="1"/>
        <v>46022</v>
      </c>
      <c r="K15" s="207"/>
      <c r="L15" s="207"/>
    </row>
    <row r="16" spans="1:12" x14ac:dyDescent="0.25">
      <c r="B16" s="4" t="s">
        <v>51</v>
      </c>
      <c r="C16" s="98">
        <v>10487.8</v>
      </c>
      <c r="D16" s="124">
        <v>11390</v>
      </c>
      <c r="E16" s="22">
        <v>12076.7</v>
      </c>
      <c r="F16" s="4">
        <f>E16*(1+F4)</f>
        <v>13066.989400000002</v>
      </c>
      <c r="G16" s="4">
        <f t="shared" ref="G16:J16" si="2">F16*(1+G4)</f>
        <v>13550.468007800002</v>
      </c>
      <c r="H16" s="4">
        <f t="shared" si="2"/>
        <v>14227.991408190002</v>
      </c>
      <c r="I16" s="4">
        <f t="shared" si="2"/>
        <v>15010.530935640452</v>
      </c>
      <c r="J16" s="4">
        <f t="shared" si="2"/>
        <v>15761.057482422475</v>
      </c>
    </row>
    <row r="17" spans="1:12" x14ac:dyDescent="0.25">
      <c r="B17" s="4" t="s">
        <v>158</v>
      </c>
      <c r="C17" s="124">
        <f>3355.9+3346.3+1676.3</f>
        <v>8378.5</v>
      </c>
      <c r="D17" s="124">
        <f>3523.9+3619.3+1812.3</f>
        <v>8955.5</v>
      </c>
      <c r="E17" s="22">
        <f>3657+3833.1+1944</f>
        <v>9434.1</v>
      </c>
      <c r="F17" s="174">
        <f>F16*F5</f>
        <v>10142.361253000001</v>
      </c>
      <c r="G17" s="174">
        <f t="shared" ref="G17:J17" si="3">G16*G5</f>
        <v>10449.876279322001</v>
      </c>
      <c r="H17" s="174">
        <f t="shared" si="3"/>
        <v>10901.230136247152</v>
      </c>
      <c r="I17" s="174">
        <f t="shared" si="3"/>
        <v>11425.745139062543</v>
      </c>
      <c r="J17" s="174">
        <f t="shared" si="3"/>
        <v>11918.227108603558</v>
      </c>
      <c r="K17" s="208"/>
      <c r="L17" s="208"/>
    </row>
    <row r="18" spans="1:12" x14ac:dyDescent="0.25">
      <c r="B18" s="4" t="s">
        <v>52</v>
      </c>
      <c r="C18" s="124">
        <f>118.3+25.9+386.1+387.8</f>
        <v>918.09999999999991</v>
      </c>
      <c r="D18" s="124">
        <f>144.5+24.3+479.2+459.9</f>
        <v>1107.9000000000001</v>
      </c>
      <c r="E18" s="22">
        <f>169.9+24.8+520.3+516.1</f>
        <v>1231.0999999999999</v>
      </c>
      <c r="F18" s="174">
        <f>F16*F6</f>
        <v>1332.0502000000001</v>
      </c>
      <c r="G18" s="174">
        <f t="shared" ref="G18:J18" si="4">G16*G6</f>
        <v>1415.2122274195001</v>
      </c>
      <c r="H18" s="174">
        <f t="shared" si="4"/>
        <v>1521.5428173109501</v>
      </c>
      <c r="I18" s="174">
        <f t="shared" si="4"/>
        <v>1642.7539996021535</v>
      </c>
      <c r="J18" s="174">
        <f t="shared" si="4"/>
        <v>1764.2943432883176</v>
      </c>
      <c r="K18" s="208"/>
      <c r="L18" s="208"/>
    </row>
    <row r="19" spans="1:12" s="11" customFormat="1" x14ac:dyDescent="0.25">
      <c r="A19" s="11" t="s">
        <v>125</v>
      </c>
      <c r="B19" s="17" t="s">
        <v>55</v>
      </c>
      <c r="C19" s="18">
        <f>C16-SUM(C17:C18)</f>
        <v>1191.1999999999989</v>
      </c>
      <c r="D19" s="18">
        <f>D16-SUM(D17:D18)</f>
        <v>1326.6000000000004</v>
      </c>
      <c r="E19" s="18">
        <f>E16-SUM(E17:E18)</f>
        <v>1411.5</v>
      </c>
      <c r="F19" s="18">
        <f>F16-SUM(F17:F18)</f>
        <v>1592.5779470000016</v>
      </c>
      <c r="G19" s="18">
        <f t="shared" ref="G19:J19" si="5">G16-SUM(G17:G18)</f>
        <v>1685.3795010585</v>
      </c>
      <c r="H19" s="18">
        <f t="shared" si="5"/>
        <v>1805.2184546319004</v>
      </c>
      <c r="I19" s="18">
        <f t="shared" si="5"/>
        <v>1942.0317969757562</v>
      </c>
      <c r="J19" s="18">
        <f t="shared" si="5"/>
        <v>2078.5360305305985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5">
        <v>387.8</v>
      </c>
      <c r="D21" s="125">
        <v>459.9</v>
      </c>
      <c r="E21" s="25">
        <v>516.1</v>
      </c>
      <c r="F21" s="4">
        <f>Calcs!F8</f>
        <v>560.72391378585689</v>
      </c>
      <c r="G21" s="4">
        <f>Calcs!G8</f>
        <v>569.96150983427447</v>
      </c>
      <c r="H21" s="4">
        <f>Calcs!H8</f>
        <v>580.32106562408103</v>
      </c>
      <c r="I21" s="4">
        <f>Calcs!I8</f>
        <v>592.42814764539685</v>
      </c>
      <c r="J21" s="4">
        <f>Calcs!J8</f>
        <v>606.54401065853426</v>
      </c>
      <c r="K21" s="4"/>
      <c r="L21" s="4"/>
    </row>
    <row r="22" spans="1:12" s="11" customFormat="1" x14ac:dyDescent="0.25">
      <c r="B22" s="4" t="s">
        <v>54</v>
      </c>
      <c r="C22" s="98">
        <v>0</v>
      </c>
      <c r="D22" s="98">
        <v>0</v>
      </c>
      <c r="E22" s="126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9" customFormat="1" x14ac:dyDescent="0.25">
      <c r="A23" s="129" t="s">
        <v>125</v>
      </c>
      <c r="B23" s="130" t="s">
        <v>53</v>
      </c>
      <c r="C23" s="131">
        <f>SUM(C19,C21:C22)</f>
        <v>1578.9999999999989</v>
      </c>
      <c r="D23" s="131">
        <f t="shared" ref="D23:F23" si="7">SUM(D19,D21:D22)</f>
        <v>1786.5000000000005</v>
      </c>
      <c r="E23" s="131">
        <f t="shared" si="7"/>
        <v>1927.6</v>
      </c>
      <c r="F23" s="131">
        <f t="shared" si="7"/>
        <v>2153.3018607858585</v>
      </c>
      <c r="G23" s="131">
        <f t="shared" ref="G23:J23" si="8">SUM(G19,G21:G22)</f>
        <v>2255.3410108927746</v>
      </c>
      <c r="H23" s="131">
        <f t="shared" si="8"/>
        <v>2385.5395202559812</v>
      </c>
      <c r="I23" s="131">
        <f t="shared" si="8"/>
        <v>2534.4599446211532</v>
      </c>
      <c r="J23" s="131">
        <f t="shared" si="8"/>
        <v>2685.0800411891328</v>
      </c>
    </row>
    <row r="24" spans="1:12" s="11" customFormat="1" x14ac:dyDescent="0.25">
      <c r="C24" s="13"/>
      <c r="D24" s="4"/>
      <c r="E24" s="36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6">
        <v>10.6</v>
      </c>
      <c r="D25" s="96">
        <v>-12.4</v>
      </c>
      <c r="E25" s="97">
        <v>-49.2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6"/>
      <c r="D26" s="96"/>
      <c r="E26" s="97"/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/>
      <c r="D28" s="9"/>
      <c r="E28" s="45"/>
      <c r="F28" s="278">
        <f>IF(circ=1,Debt!F33,0)</f>
        <v>0</v>
      </c>
      <c r="G28" s="278">
        <f>IF(circ=1,Debt!G33,0)</f>
        <v>0</v>
      </c>
      <c r="H28" s="278">
        <f>IF(circ=1,Debt!H33,0)</f>
        <v>0</v>
      </c>
      <c r="I28" s="278">
        <f>IF(circ=1,Debt!I33,0)</f>
        <v>0</v>
      </c>
      <c r="J28" s="278">
        <f>IF(circ=1,Debt!J33,0)</f>
        <v>0</v>
      </c>
      <c r="K28" s="184"/>
      <c r="L28" s="184"/>
    </row>
    <row r="29" spans="1:12" x14ac:dyDescent="0.25">
      <c r="B29" s="4" t="s">
        <v>33</v>
      </c>
      <c r="C29" s="9">
        <v>-81.3</v>
      </c>
      <c r="D29" s="9">
        <v>-138.1</v>
      </c>
      <c r="E29" s="45">
        <v>-175.1</v>
      </c>
      <c r="F29" s="278">
        <f>IF(circ=1,Debt!F28,0)</f>
        <v>0</v>
      </c>
      <c r="G29" s="278">
        <f>IF(circ=1,Debt!G28,0)</f>
        <v>0</v>
      </c>
      <c r="H29" s="278">
        <f>IF(circ=1,Debt!H28,0)</f>
        <v>0</v>
      </c>
      <c r="I29" s="278">
        <f>IF(circ=1,Debt!I28,0)</f>
        <v>0</v>
      </c>
      <c r="J29" s="278">
        <f>IF(circ=1,Debt!J28,0)</f>
        <v>0</v>
      </c>
      <c r="K29" s="184"/>
      <c r="L29" s="184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125</v>
      </c>
      <c r="B31" s="17" t="s">
        <v>86</v>
      </c>
      <c r="C31" s="18">
        <f t="shared" ref="C31:D31" si="11">C19+SUM(C26:C29)</f>
        <v>1109.899999999999</v>
      </c>
      <c r="D31" s="18">
        <f t="shared" si="11"/>
        <v>1188.5000000000005</v>
      </c>
      <c r="E31" s="18">
        <f>E19+SUM(E25:E29)</f>
        <v>1187.2</v>
      </c>
      <c r="F31" s="18">
        <f>F19+SUM(F25:F29)</f>
        <v>1592.5779470000016</v>
      </c>
      <c r="G31" s="18">
        <f t="shared" ref="G31:J31" si="12">G19+SUM(G25:G29)</f>
        <v>1685.3795010585</v>
      </c>
      <c r="H31" s="18">
        <f t="shared" si="12"/>
        <v>1805.2184546319004</v>
      </c>
      <c r="I31" s="18">
        <f t="shared" si="12"/>
        <v>1942.0317969757562</v>
      </c>
      <c r="J31" s="18">
        <f t="shared" si="12"/>
        <v>2078.5360305305985</v>
      </c>
    </row>
    <row r="32" spans="1:12" x14ac:dyDescent="0.25">
      <c r="E32" s="37"/>
      <c r="H32" s="4"/>
    </row>
    <row r="33" spans="1:12" x14ac:dyDescent="0.25">
      <c r="B33" s="4" t="s">
        <v>58</v>
      </c>
      <c r="C33" s="133">
        <v>137</v>
      </c>
      <c r="D33" s="4">
        <v>145</v>
      </c>
      <c r="E33" s="59">
        <v>136.19999999999999</v>
      </c>
      <c r="F33" s="4">
        <f>F31*F10</f>
        <v>334.4413688700003</v>
      </c>
      <c r="G33" s="4">
        <f t="shared" ref="G33:J33" si="13">G31*G10</f>
        <v>353.92969522228498</v>
      </c>
      <c r="H33" s="4">
        <f t="shared" si="13"/>
        <v>379.09587547269905</v>
      </c>
      <c r="I33" s="4">
        <f t="shared" si="13"/>
        <v>407.82667736490879</v>
      </c>
      <c r="J33" s="4">
        <f t="shared" si="13"/>
        <v>436.49256641142568</v>
      </c>
    </row>
    <row r="34" spans="1:12" s="11" customFormat="1" x14ac:dyDescent="0.25">
      <c r="A34" s="11" t="s">
        <v>125</v>
      </c>
      <c r="B34" s="17" t="s">
        <v>59</v>
      </c>
      <c r="C34" s="18">
        <f>C31-C33</f>
        <v>972.89999999999895</v>
      </c>
      <c r="D34" s="34">
        <f t="shared" ref="D34:F34" si="14">D31-D33</f>
        <v>1043.5000000000005</v>
      </c>
      <c r="E34" s="18">
        <f t="shared" si="14"/>
        <v>1051</v>
      </c>
      <c r="F34" s="18">
        <f t="shared" si="14"/>
        <v>1258.1365781300012</v>
      </c>
      <c r="G34" s="18">
        <f t="shared" ref="G34:J34" si="15">G31-G33</f>
        <v>1331.4498058362151</v>
      </c>
      <c r="H34" s="18">
        <f t="shared" si="15"/>
        <v>1426.1225791592015</v>
      </c>
      <c r="I34" s="18">
        <f t="shared" si="15"/>
        <v>1534.2051196108473</v>
      </c>
      <c r="J34" s="18">
        <f t="shared" si="15"/>
        <v>1642.0434641191728</v>
      </c>
    </row>
    <row r="35" spans="1:12" s="266" customFormat="1" x14ac:dyDescent="0.25">
      <c r="A35" s="269"/>
      <c r="B35" s="266" t="s">
        <v>177</v>
      </c>
      <c r="C35" s="273">
        <f>C36/C38</f>
        <v>4.83839212469237</v>
      </c>
      <c r="D35" s="276">
        <f t="shared" ref="D35:E35" si="16">D36/D38</f>
        <v>5.2410341951626354</v>
      </c>
      <c r="E35" s="274">
        <f t="shared" si="16"/>
        <v>5.5957446808510642</v>
      </c>
      <c r="F35" s="266">
        <f>F11</f>
        <v>5.9504551665394931</v>
      </c>
      <c r="G35" s="266">
        <f t="shared" ref="G35:J35" si="17">G11</f>
        <v>6.305165652227922</v>
      </c>
      <c r="H35" s="266">
        <f t="shared" si="17"/>
        <v>6.6598761379163509</v>
      </c>
      <c r="I35" s="266">
        <f t="shared" si="17"/>
        <v>7.0145866236047798</v>
      </c>
      <c r="J35" s="266">
        <f t="shared" si="17"/>
        <v>7.3692971092932087</v>
      </c>
    </row>
    <row r="36" spans="1:12" x14ac:dyDescent="0.25">
      <c r="B36" s="4" t="s">
        <v>60</v>
      </c>
      <c r="C36" s="10">
        <v>589.79999999999995</v>
      </c>
      <c r="D36" s="10">
        <v>628.4</v>
      </c>
      <c r="E36" s="22">
        <v>657.5</v>
      </c>
      <c r="F36" s="4">
        <f>F35*F38</f>
        <v>699.17848206839039</v>
      </c>
      <c r="G36" s="4">
        <f t="shared" ref="G36:J36" si="18">G35*G38</f>
        <v>740.85696413678079</v>
      </c>
      <c r="H36" s="4">
        <f t="shared" si="18"/>
        <v>782.53544620517118</v>
      </c>
      <c r="I36" s="4">
        <f t="shared" si="18"/>
        <v>824.21392827356158</v>
      </c>
      <c r="J36" s="4">
        <f t="shared" si="18"/>
        <v>865.89241034195197</v>
      </c>
    </row>
    <row r="37" spans="1:12" x14ac:dyDescent="0.25">
      <c r="A37" s="20" t="s">
        <v>61</v>
      </c>
      <c r="B37" s="19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4"/>
      <c r="L37" s="204"/>
    </row>
    <row r="38" spans="1:12" x14ac:dyDescent="0.25">
      <c r="B38" s="4" t="s">
        <v>49</v>
      </c>
      <c r="C38" s="10">
        <v>121.9</v>
      </c>
      <c r="D38" s="10">
        <v>119.9</v>
      </c>
      <c r="E38" s="22">
        <v>117.5</v>
      </c>
      <c r="F38" s="175">
        <f>F12</f>
        <v>117.5</v>
      </c>
      <c r="G38" s="175">
        <f t="shared" ref="G38:J38" si="19">G12</f>
        <v>117.5</v>
      </c>
      <c r="H38" s="175">
        <f t="shared" si="19"/>
        <v>117.5</v>
      </c>
      <c r="I38" s="175">
        <f t="shared" si="19"/>
        <v>117.5</v>
      </c>
      <c r="J38" s="175">
        <f t="shared" si="19"/>
        <v>117.5</v>
      </c>
      <c r="K38" s="208"/>
      <c r="L38" s="208"/>
    </row>
    <row r="39" spans="1:12" x14ac:dyDescent="0.25">
      <c r="B39" s="4" t="s">
        <v>50</v>
      </c>
      <c r="C39" s="10">
        <v>122.9</v>
      </c>
      <c r="D39" s="10">
        <v>120.8</v>
      </c>
      <c r="E39" s="22">
        <v>118.4</v>
      </c>
      <c r="F39" s="175">
        <f>F13</f>
        <v>118.4</v>
      </c>
      <c r="G39" s="175">
        <f t="shared" ref="G39:J39" si="20">G13</f>
        <v>118.4</v>
      </c>
      <c r="H39" s="175">
        <f t="shared" si="20"/>
        <v>118.4</v>
      </c>
      <c r="I39" s="175">
        <f t="shared" si="20"/>
        <v>118.4</v>
      </c>
      <c r="J39" s="175">
        <f t="shared" si="20"/>
        <v>118.4</v>
      </c>
      <c r="K39" s="208"/>
      <c r="L39" s="208"/>
    </row>
    <row r="40" spans="1:12" x14ac:dyDescent="0.25">
      <c r="B40" s="4" t="s">
        <v>62</v>
      </c>
      <c r="C40" s="182">
        <f t="shared" ref="C40:D40" si="21">C34/C38</f>
        <v>7.981132075471689</v>
      </c>
      <c r="D40" s="182">
        <f t="shared" si="21"/>
        <v>8.7030859049207709</v>
      </c>
      <c r="E40" s="183">
        <f>E34/E38</f>
        <v>8.9446808510638292</v>
      </c>
      <c r="F40" s="174">
        <f>F34/F38</f>
        <v>10.707545345787244</v>
      </c>
      <c r="G40" s="174">
        <f t="shared" ref="G40:J40" si="22">G34/G38</f>
        <v>11.331487709244383</v>
      </c>
      <c r="H40" s="174">
        <f t="shared" si="22"/>
        <v>12.137213439652779</v>
      </c>
      <c r="I40" s="174">
        <f t="shared" si="22"/>
        <v>13.057064847751892</v>
      </c>
      <c r="J40" s="174">
        <f t="shared" si="22"/>
        <v>13.974837992503598</v>
      </c>
      <c r="K40" s="208"/>
      <c r="L40" s="208"/>
    </row>
    <row r="41" spans="1:12" s="11" customFormat="1" x14ac:dyDescent="0.25">
      <c r="A41" s="11" t="s">
        <v>125</v>
      </c>
      <c r="B41" s="17" t="s">
        <v>63</v>
      </c>
      <c r="C41" s="181">
        <f t="shared" ref="C41:D41" si="23">C34/C39</f>
        <v>7.9161920260374199</v>
      </c>
      <c r="D41" s="181">
        <f t="shared" si="23"/>
        <v>8.638245033112586</v>
      </c>
      <c r="E41" s="181">
        <f>E34/E39</f>
        <v>8.8766891891891895</v>
      </c>
      <c r="F41" s="181">
        <f>F34/F39</f>
        <v>10.626153531503387</v>
      </c>
      <c r="G41" s="181">
        <f t="shared" ref="G41:J41" si="24">G34/G39</f>
        <v>11.245353089832896</v>
      </c>
      <c r="H41" s="181">
        <f t="shared" si="24"/>
        <v>12.044954215871634</v>
      </c>
      <c r="I41" s="181">
        <f t="shared" si="24"/>
        <v>12.95781351022675</v>
      </c>
      <c r="J41" s="181">
        <f t="shared" si="24"/>
        <v>13.868610338844364</v>
      </c>
      <c r="K41" s="212"/>
      <c r="L41" s="212"/>
    </row>
    <row r="42" spans="1:12" x14ac:dyDescent="0.25">
      <c r="C42" s="14"/>
      <c r="D42" s="14"/>
      <c r="E42" s="38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6:J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5">
        <v>2022</v>
      </c>
      <c r="D2" s="265">
        <f>C2+1</f>
        <v>2023</v>
      </c>
      <c r="E2" s="265">
        <f t="shared" ref="E2:J2" si="0">D2+1</f>
        <v>2024</v>
      </c>
      <c r="F2" s="265">
        <f t="shared" si="0"/>
        <v>2025</v>
      </c>
      <c r="G2" s="265">
        <f t="shared" si="0"/>
        <v>2026</v>
      </c>
      <c r="H2" s="265">
        <f t="shared" si="0"/>
        <v>2027</v>
      </c>
      <c r="I2" s="265">
        <f t="shared" si="0"/>
        <v>2028</v>
      </c>
      <c r="J2" s="265">
        <f t="shared" si="0"/>
        <v>2029</v>
      </c>
      <c r="K2" s="213"/>
      <c r="L2" s="213"/>
    </row>
    <row r="3" spans="1:12" x14ac:dyDescent="0.25">
      <c r="K3" s="6"/>
      <c r="L3" s="6"/>
    </row>
    <row r="4" spans="1:12" x14ac:dyDescent="0.25">
      <c r="B4" s="4" t="s">
        <v>141</v>
      </c>
      <c r="C4" s="43"/>
      <c r="D4" s="43"/>
      <c r="E4" s="44"/>
      <c r="F4" s="103">
        <f>Assumptions!F44</f>
        <v>0.01</v>
      </c>
      <c r="G4" s="103">
        <f>F4</f>
        <v>0.01</v>
      </c>
      <c r="H4" s="103">
        <f t="shared" ref="H4:J4" si="1">G4</f>
        <v>0.01</v>
      </c>
      <c r="I4" s="103">
        <f t="shared" si="1"/>
        <v>0.01</v>
      </c>
      <c r="J4" s="103">
        <f t="shared" si="1"/>
        <v>0.01</v>
      </c>
      <c r="K4" s="171"/>
      <c r="L4" s="171"/>
    </row>
    <row r="5" spans="1:12" x14ac:dyDescent="0.25">
      <c r="B5" s="4" t="s">
        <v>154</v>
      </c>
      <c r="C5" s="43"/>
      <c r="D5" s="43"/>
      <c r="E5" s="44"/>
      <c r="F5" s="103">
        <f>Assumptions!F45</f>
        <v>7.7670224481853484E-3</v>
      </c>
      <c r="G5" s="103">
        <f>Assumptions!G45</f>
        <v>7.7670224481853484E-3</v>
      </c>
      <c r="H5" s="103">
        <f>Assumptions!H45</f>
        <v>7.7670224481853484E-3</v>
      </c>
      <c r="I5" s="103">
        <f>Assumptions!I45</f>
        <v>7.7670224481853484E-3</v>
      </c>
      <c r="J5" s="103">
        <f>Assumptions!J45</f>
        <v>7.7670224481853484E-3</v>
      </c>
      <c r="K5" s="171"/>
      <c r="L5" s="171"/>
    </row>
    <row r="6" spans="1:12" x14ac:dyDescent="0.25">
      <c r="B6" s="4" t="s">
        <v>65</v>
      </c>
      <c r="C6" s="43"/>
      <c r="D6" s="43"/>
      <c r="E6" s="44"/>
      <c r="F6" s="103">
        <f>Assumptions!F46</f>
        <v>3.302911777488049E-2</v>
      </c>
      <c r="G6" s="103">
        <f>Assumptions!G46</f>
        <v>3.302911777488049E-2</v>
      </c>
      <c r="H6" s="103">
        <f>Assumptions!H46</f>
        <v>3.302911777488049E-2</v>
      </c>
      <c r="I6" s="103">
        <f>Assumptions!I46</f>
        <v>3.302911777488049E-2</v>
      </c>
      <c r="J6" s="103">
        <f>Assumptions!J46</f>
        <v>3.302911777488049E-2</v>
      </c>
      <c r="K6" s="171"/>
      <c r="L6" s="171"/>
    </row>
    <row r="7" spans="1:12" x14ac:dyDescent="0.25">
      <c r="B7" s="4" t="s">
        <v>66</v>
      </c>
      <c r="C7" s="43"/>
      <c r="D7" s="43"/>
      <c r="E7" s="44"/>
      <c r="F7" s="103">
        <f>Assumptions!F47</f>
        <v>2.4203631786829178E-2</v>
      </c>
      <c r="G7" s="103">
        <f>Assumptions!G47</f>
        <v>2.4203631786829178E-2</v>
      </c>
      <c r="H7" s="103">
        <f>Assumptions!H47</f>
        <v>2.4203631786829178E-2</v>
      </c>
      <c r="I7" s="103">
        <f>Assumptions!I47</f>
        <v>2.4203631786829178E-2</v>
      </c>
      <c r="J7" s="103">
        <f>Assumptions!J47</f>
        <v>2.4203631786829178E-2</v>
      </c>
      <c r="K7" s="171"/>
      <c r="L7" s="171"/>
    </row>
    <row r="8" spans="1:12" x14ac:dyDescent="0.25">
      <c r="A8" s="7"/>
      <c r="C8" s="30"/>
      <c r="D8" s="30"/>
      <c r="E8" s="30"/>
      <c r="F8" s="104"/>
      <c r="G8" s="104"/>
      <c r="H8" s="104"/>
      <c r="I8" s="104"/>
      <c r="J8" s="104"/>
      <c r="K8" s="171"/>
      <c r="L8" s="171"/>
    </row>
    <row r="9" spans="1:12" x14ac:dyDescent="0.25">
      <c r="B9" s="4" t="s">
        <v>67</v>
      </c>
      <c r="C9" s="43"/>
      <c r="D9" s="43"/>
      <c r="E9" s="44"/>
      <c r="F9" s="103">
        <f>Assumptions!F49</f>
        <v>3.076999511455944E-2</v>
      </c>
      <c r="G9" s="103">
        <f>Assumptions!G49</f>
        <v>3.076999511455944E-2</v>
      </c>
      <c r="H9" s="103">
        <f>Assumptions!H49</f>
        <v>3.076999511455944E-2</v>
      </c>
      <c r="I9" s="103">
        <f>Assumptions!I49</f>
        <v>3.076999511455944E-2</v>
      </c>
      <c r="J9" s="103">
        <f>Assumptions!J49</f>
        <v>3.076999511455944E-2</v>
      </c>
      <c r="K9" s="171"/>
      <c r="L9" s="171"/>
    </row>
    <row r="10" spans="1:12" x14ac:dyDescent="0.25">
      <c r="C10" s="30"/>
      <c r="D10" s="30"/>
      <c r="E10" s="30"/>
      <c r="F10" s="104"/>
      <c r="G10" s="104"/>
      <c r="H10" s="104"/>
      <c r="I10" s="104"/>
      <c r="J10" s="104"/>
      <c r="K10" s="171"/>
      <c r="L10" s="171"/>
    </row>
    <row r="11" spans="1:12" x14ac:dyDescent="0.25">
      <c r="B11" s="4" t="s">
        <v>153</v>
      </c>
      <c r="C11" s="43"/>
      <c r="D11" s="43"/>
      <c r="E11" s="44"/>
      <c r="F11" s="103">
        <f>Assumptions!F53</f>
        <v>6.9089791289047187E-2</v>
      </c>
      <c r="G11" s="103">
        <f>Assumptions!G53</f>
        <v>6.9089791289047187E-2</v>
      </c>
      <c r="H11" s="103">
        <f>Assumptions!H53</f>
        <v>6.9089791289047187E-2</v>
      </c>
      <c r="I11" s="103">
        <f>Assumptions!I53</f>
        <v>6.9089791289047187E-2</v>
      </c>
      <c r="J11" s="103">
        <f>Assumptions!J53</f>
        <v>6.9089791289047187E-2</v>
      </c>
      <c r="K11" s="171"/>
      <c r="L11" s="171"/>
    </row>
    <row r="12" spans="1:12" x14ac:dyDescent="0.25">
      <c r="B12" s="4" t="s">
        <v>68</v>
      </c>
      <c r="C12" s="43"/>
      <c r="D12" s="43"/>
      <c r="E12" s="26"/>
      <c r="F12" s="103">
        <f>Assumptions!F54</f>
        <v>0.13213046610415094</v>
      </c>
      <c r="G12" s="103">
        <f>Assumptions!G54</f>
        <v>0.13213046610415094</v>
      </c>
      <c r="H12" s="103">
        <f>Assumptions!H54</f>
        <v>0.13213046610415094</v>
      </c>
      <c r="I12" s="103">
        <f>Assumptions!I54</f>
        <v>0.13213046610415094</v>
      </c>
      <c r="J12" s="103">
        <f>Assumptions!J54</f>
        <v>0.13213046610415094</v>
      </c>
      <c r="K12" s="171"/>
      <c r="L12" s="171"/>
    </row>
    <row r="13" spans="1:12" x14ac:dyDescent="0.25">
      <c r="B13" s="4" t="s">
        <v>69</v>
      </c>
      <c r="C13" s="43"/>
      <c r="D13" s="43"/>
      <c r="E13" s="44"/>
      <c r="F13" s="257">
        <f>Assumptions!F55</f>
        <v>0.488486093055222</v>
      </c>
      <c r="G13" s="257">
        <f>Assumptions!G55</f>
        <v>0.488486093055222</v>
      </c>
      <c r="H13" s="257">
        <f>Assumptions!H55</f>
        <v>0.488486093055222</v>
      </c>
      <c r="I13" s="257">
        <f>Assumptions!I55</f>
        <v>0.488486093055222</v>
      </c>
      <c r="J13" s="257">
        <f>Assumptions!J55</f>
        <v>0.488486093055222</v>
      </c>
      <c r="K13" s="171"/>
      <c r="L13" s="171"/>
    </row>
    <row r="14" spans="1:12" x14ac:dyDescent="0.25">
      <c r="C14" s="43"/>
      <c r="D14" s="43"/>
      <c r="E14" s="43"/>
      <c r="F14" s="104"/>
      <c r="G14" s="104"/>
      <c r="H14" s="104"/>
      <c r="I14" s="104"/>
      <c r="J14" s="104"/>
      <c r="K14" s="171"/>
      <c r="L14" s="171"/>
    </row>
    <row r="15" spans="1:12" ht="15" customHeight="1" x14ac:dyDescent="0.25">
      <c r="A15" s="179" t="s">
        <v>64</v>
      </c>
      <c r="B15" s="180"/>
      <c r="C15" s="254">
        <f>C2</f>
        <v>2022</v>
      </c>
      <c r="D15" s="254">
        <f>D2</f>
        <v>2023</v>
      </c>
      <c r="E15" s="254">
        <f>E2</f>
        <v>2024</v>
      </c>
      <c r="F15" s="254">
        <f>F2</f>
        <v>2025</v>
      </c>
      <c r="G15" s="254">
        <f>G2</f>
        <v>2026</v>
      </c>
      <c r="H15" s="254">
        <f>H2</f>
        <v>2027</v>
      </c>
      <c r="I15" s="254">
        <f>I2</f>
        <v>2028</v>
      </c>
      <c r="J15" s="254">
        <f>J2</f>
        <v>2029</v>
      </c>
      <c r="K15" s="207"/>
      <c r="L15" s="207"/>
    </row>
    <row r="16" spans="1:12" x14ac:dyDescent="0.25">
      <c r="B16" s="4" t="s">
        <v>159</v>
      </c>
      <c r="C16" s="277">
        <f>1%*IncState!C16</f>
        <v>104.878</v>
      </c>
      <c r="D16" s="277">
        <f>1%*IncState!D16</f>
        <v>113.9</v>
      </c>
      <c r="E16" s="187">
        <f>1%*IncState!E16</f>
        <v>120.76700000000001</v>
      </c>
      <c r="F16" s="4">
        <f>F4*IncState!F16</f>
        <v>130.66989400000003</v>
      </c>
      <c r="G16" s="4">
        <f>G4*IncState!G16</f>
        <v>135.50468007800004</v>
      </c>
      <c r="H16" s="4">
        <f>H4*IncState!H16</f>
        <v>142.27991408190002</v>
      </c>
      <c r="I16" s="4">
        <f>I4*IncState!I16</f>
        <v>150.10530935640452</v>
      </c>
      <c r="J16" s="4">
        <f>J4*IncState!J16</f>
        <v>157.61057482422476</v>
      </c>
    </row>
    <row r="17" spans="1:12" x14ac:dyDescent="0.25">
      <c r="B17" s="4" t="s">
        <v>160</v>
      </c>
      <c r="C17" s="186">
        <f>367.8-C16</f>
        <v>262.92200000000003</v>
      </c>
      <c r="D17" s="186">
        <f>194.8-D16</f>
        <v>80.900000000000006</v>
      </c>
      <c r="E17" s="187">
        <f>240-E16</f>
        <v>119.23299999999999</v>
      </c>
      <c r="F17" s="4">
        <f>MAX(CashFlow!F23,0)</f>
        <v>1110.0125019493203</v>
      </c>
      <c r="G17" s="4">
        <f>MAX(CashFlow!G23,0)</f>
        <v>1823.7547949715145</v>
      </c>
      <c r="H17" s="4">
        <f>MAX(CashFlow!H23,0)</f>
        <v>2676.2109504513319</v>
      </c>
      <c r="I17" s="4">
        <f>MAX(CashFlow!I23,0)</f>
        <v>3625.611312277726</v>
      </c>
      <c r="J17" s="4">
        <f>MAX(CashFlow!J23,0)</f>
        <v>4596.5597310436733</v>
      </c>
    </row>
    <row r="18" spans="1:12" x14ac:dyDescent="0.25">
      <c r="B18" s="4" t="s">
        <v>70</v>
      </c>
      <c r="C18" s="188">
        <v>80.2</v>
      </c>
      <c r="D18" s="188">
        <v>79.099999999999994</v>
      </c>
      <c r="E18" s="189">
        <v>93.8</v>
      </c>
      <c r="F18" s="4">
        <f>F5*IncState!F16</f>
        <v>101.49160000000002</v>
      </c>
      <c r="G18" s="4">
        <f>G5*IncState!G16</f>
        <v>105.24678920000001</v>
      </c>
      <c r="H18" s="4">
        <f>H5*IncState!H16</f>
        <v>110.50912866000002</v>
      </c>
      <c r="I18" s="4">
        <f>I5*IncState!I16</f>
        <v>116.58713073630001</v>
      </c>
      <c r="J18" s="4">
        <f>J5*IncState!J16</f>
        <v>122.41648727311501</v>
      </c>
    </row>
    <row r="19" spans="1:12" x14ac:dyDescent="0.25">
      <c r="B19" s="4" t="s">
        <v>71</v>
      </c>
      <c r="C19" s="188">
        <v>287.89999999999998</v>
      </c>
      <c r="D19" s="188">
        <v>290.5</v>
      </c>
      <c r="E19" s="189">
        <v>311.60000000000002</v>
      </c>
      <c r="F19" s="4">
        <f>F6*IncState!F17</f>
        <v>334.9932443407215</v>
      </c>
      <c r="G19" s="4">
        <f>G6*IncState!G17</f>
        <v>345.15019436265629</v>
      </c>
      <c r="H19" s="4">
        <f>H6*IncState!H17</f>
        <v>360.05801406118366</v>
      </c>
      <c r="I19" s="4">
        <f>I6*IncState!I17</f>
        <v>377.38228186386499</v>
      </c>
      <c r="J19" s="4">
        <f>J6*IncState!J17</f>
        <v>393.64852683784028</v>
      </c>
    </row>
    <row r="20" spans="1:12" x14ac:dyDescent="0.25">
      <c r="B20" s="4" t="s">
        <v>72</v>
      </c>
      <c r="C20" s="188">
        <f>107.3+154.5</f>
        <v>261.8</v>
      </c>
      <c r="D20" s="188">
        <f>121.7+136.7</f>
        <v>258.39999999999998</v>
      </c>
      <c r="E20" s="189">
        <f>135.6+156.7</f>
        <v>292.29999999999995</v>
      </c>
      <c r="F20" s="4">
        <f>F7*IncState!F16</f>
        <v>316.26859999999999</v>
      </c>
      <c r="G20" s="4">
        <f>G7*IncState!G16</f>
        <v>327.97053819999996</v>
      </c>
      <c r="H20" s="4">
        <f>H7*IncState!H16</f>
        <v>344.36906510999995</v>
      </c>
      <c r="I20" s="4">
        <f>I7*IncState!I16</f>
        <v>363.30936369104995</v>
      </c>
      <c r="J20" s="4">
        <f>J7*IncState!J16</f>
        <v>381.47483187560249</v>
      </c>
    </row>
    <row r="21" spans="1:12" s="11" customFormat="1" x14ac:dyDescent="0.25">
      <c r="B21" s="11" t="s">
        <v>73</v>
      </c>
      <c r="C21" s="11">
        <f>SUM(C16:C20)</f>
        <v>997.7</v>
      </c>
      <c r="D21" s="11">
        <f>SUM(D16:D20)</f>
        <v>822.8</v>
      </c>
      <c r="E21" s="24">
        <f t="shared" ref="E21" si="2">SUM(E16:E20)</f>
        <v>937.7</v>
      </c>
      <c r="F21" s="11">
        <f>SUM(F16:F20)</f>
        <v>1993.4358402900421</v>
      </c>
      <c r="G21" s="11">
        <f t="shared" ref="G21:J21" si="3">SUM(G16:G20)</f>
        <v>2737.6269968121705</v>
      </c>
      <c r="H21" s="11">
        <f t="shared" si="3"/>
        <v>3633.4270723644158</v>
      </c>
      <c r="I21" s="11">
        <f t="shared" si="3"/>
        <v>4632.9953979253451</v>
      </c>
      <c r="J21" s="11">
        <f t="shared" si="3"/>
        <v>5651.7101518544559</v>
      </c>
    </row>
    <row r="22" spans="1:12" x14ac:dyDescent="0.25">
      <c r="A22" s="7"/>
      <c r="E22" s="27"/>
      <c r="I22" s="4"/>
      <c r="J22" s="4"/>
    </row>
    <row r="23" spans="1:12" x14ac:dyDescent="0.25">
      <c r="B23" s="4" t="s">
        <v>74</v>
      </c>
      <c r="C23" s="188">
        <f>3725.1+3373.9</f>
        <v>7099</v>
      </c>
      <c r="D23" s="188">
        <f>4184.3+3429.3</f>
        <v>7613.6</v>
      </c>
      <c r="E23" s="189">
        <f>4716+3555.9</f>
        <v>8271.9</v>
      </c>
      <c r="F23" s="4">
        <f>Calcs!F9</f>
        <v>8408.1746779194582</v>
      </c>
      <c r="G23" s="4">
        <f>Calcs!G9</f>
        <v>8561.0007076835955</v>
      </c>
      <c r="H23" s="4">
        <f>Calcs!H9</f>
        <v>8739.6065586378481</v>
      </c>
      <c r="I23" s="4">
        <f>Calcs!I9</f>
        <v>8947.8463079825924</v>
      </c>
      <c r="J23" s="4">
        <f>Calcs!J9</f>
        <v>9182.0035891637071</v>
      </c>
    </row>
    <row r="24" spans="1:12" x14ac:dyDescent="0.25">
      <c r="B24" s="4" t="s">
        <v>161</v>
      </c>
      <c r="C24" s="188">
        <f>1037.4+806.3</f>
        <v>1843.7</v>
      </c>
      <c r="D24" s="188">
        <f>1391+1148</f>
        <v>2539</v>
      </c>
      <c r="E24" s="189">
        <f>1659.4+1346.4</f>
        <v>3005.8</v>
      </c>
      <c r="F24" s="132">
        <f>E24-IncState!F22</f>
        <v>3005.8</v>
      </c>
      <c r="G24" s="132">
        <f>F24-IncState!G22</f>
        <v>3005.8</v>
      </c>
      <c r="H24" s="132">
        <f>G24-IncState!H22</f>
        <v>3005.8</v>
      </c>
      <c r="I24" s="132">
        <f>H24-IncState!I22</f>
        <v>3005.8</v>
      </c>
      <c r="J24" s="132">
        <f>I24-IncState!J22</f>
        <v>3005.8</v>
      </c>
      <c r="K24" s="132"/>
      <c r="L24" s="132"/>
    </row>
    <row r="25" spans="1:12" x14ac:dyDescent="0.25">
      <c r="B25" s="4" t="s">
        <v>162</v>
      </c>
      <c r="C25" s="188">
        <v>301.10000000000002</v>
      </c>
      <c r="D25" s="188">
        <v>347.6</v>
      </c>
      <c r="E25" s="189">
        <v>371.6</v>
      </c>
      <c r="F25" s="4">
        <f>F9*IncState!F16</f>
        <v>402.07120000000003</v>
      </c>
      <c r="G25" s="4">
        <f>G9*IncState!G16</f>
        <v>416.94783440000003</v>
      </c>
      <c r="H25" s="4">
        <f>H9*IncState!H16</f>
        <v>437.79522612000005</v>
      </c>
      <c r="I25" s="4">
        <f>I9*IncState!I16</f>
        <v>461.87396355660007</v>
      </c>
      <c r="J25" s="4">
        <f>J9*IncState!J16</f>
        <v>484.96766173443007</v>
      </c>
    </row>
    <row r="26" spans="1:12" s="11" customFormat="1" x14ac:dyDescent="0.25">
      <c r="B26" s="11" t="s">
        <v>75</v>
      </c>
      <c r="C26" s="11">
        <f>SUM(C23:C25)</f>
        <v>9243.8000000000011</v>
      </c>
      <c r="D26" s="11">
        <f>SUM(D23:D25)</f>
        <v>10500.2</v>
      </c>
      <c r="E26" s="24">
        <f>SUM(E23:E25)</f>
        <v>11649.300000000001</v>
      </c>
      <c r="F26" s="11">
        <f>SUM(F23:F25)</f>
        <v>11816.045877919458</v>
      </c>
      <c r="G26" s="11">
        <f t="shared" ref="G26:J26" si="4">SUM(G23:G25)</f>
        <v>11983.748542083596</v>
      </c>
      <c r="H26" s="11">
        <f t="shared" si="4"/>
        <v>12183.20178475785</v>
      </c>
      <c r="I26" s="11">
        <f t="shared" si="4"/>
        <v>12415.520271539192</v>
      </c>
      <c r="J26" s="11">
        <f t="shared" si="4"/>
        <v>12672.771250898139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125</v>
      </c>
      <c r="B28" s="17" t="s">
        <v>76</v>
      </c>
      <c r="C28" s="18">
        <f>SUM(C26,C21)</f>
        <v>10241.500000000002</v>
      </c>
      <c r="D28" s="18">
        <f>SUM(D26,D21)</f>
        <v>11323</v>
      </c>
      <c r="E28" s="18">
        <f>SUM(E26,E21)</f>
        <v>12587.000000000002</v>
      </c>
      <c r="F28" s="18">
        <f>SUM(F26,F21)</f>
        <v>13809.481718209499</v>
      </c>
      <c r="G28" s="18">
        <f t="shared" ref="G28:J28" si="5">SUM(G26,G21)</f>
        <v>14721.375538895767</v>
      </c>
      <c r="H28" s="18">
        <f t="shared" si="5"/>
        <v>15816.628857122265</v>
      </c>
      <c r="I28" s="18">
        <f t="shared" si="5"/>
        <v>17048.515669464537</v>
      </c>
      <c r="J28" s="18">
        <f t="shared" si="5"/>
        <v>18324.481402752594</v>
      </c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77</v>
      </c>
      <c r="C30" s="9">
        <v>0</v>
      </c>
      <c r="D30" s="9">
        <v>86.8</v>
      </c>
      <c r="E30" s="45">
        <v>0</v>
      </c>
      <c r="F30" s="4">
        <f>MIN(CashFlow!F23,0)</f>
        <v>0</v>
      </c>
      <c r="G30" s="4">
        <f>MIN(CashFlow!G23,0)</f>
        <v>0</v>
      </c>
      <c r="H30" s="4">
        <f>MIN(CashFlow!H23,0)</f>
        <v>0</v>
      </c>
      <c r="I30" s="4">
        <f>MIN(CashFlow!I23,0)</f>
        <v>0</v>
      </c>
      <c r="J30" s="4">
        <f>MIN(CashFlow!J23,0)</f>
        <v>0</v>
      </c>
    </row>
    <row r="31" spans="1:12" x14ac:dyDescent="0.25">
      <c r="B31" s="4" t="s">
        <v>152</v>
      </c>
      <c r="C31" s="188">
        <f>426.2+173+7.8</f>
        <v>607</v>
      </c>
      <c r="D31" s="9">
        <f>399.5+190.1+6.1</f>
        <v>595.70000000000005</v>
      </c>
      <c r="E31" s="45">
        <f>439.6+207.5+4.7</f>
        <v>651.80000000000007</v>
      </c>
      <c r="F31" s="4">
        <f>F11*IncState!F17</f>
        <v>700.73362214788915</v>
      </c>
      <c r="G31" s="4">
        <f>G11*IncState!G17</f>
        <v>721.979771134722</v>
      </c>
      <c r="H31" s="4">
        <f>H11*IncState!H17</f>
        <v>753.16371490718711</v>
      </c>
      <c r="I31" s="4">
        <f>I11*IncState!I17</f>
        <v>789.40234697967651</v>
      </c>
      <c r="J31" s="4">
        <f>J11*IncState!J17</f>
        <v>823.42782346888418</v>
      </c>
    </row>
    <row r="32" spans="1:12" x14ac:dyDescent="0.25">
      <c r="B32" s="4" t="s">
        <v>78</v>
      </c>
      <c r="C32" s="188">
        <f>65.9+512+752.5</f>
        <v>1330.4</v>
      </c>
      <c r="D32" s="9">
        <f>71+591.8+847.2</f>
        <v>1510</v>
      </c>
      <c r="E32" s="45">
        <f>83+599.4+913.3</f>
        <v>1595.6999999999998</v>
      </c>
      <c r="F32" s="4">
        <f>F12*IncState!F16</f>
        <v>1726.5473999999999</v>
      </c>
      <c r="G32" s="4">
        <f>G12*IncState!G16</f>
        <v>1790.4296537999999</v>
      </c>
      <c r="H32" s="4">
        <f>H12*IncState!H16</f>
        <v>1879.95113649</v>
      </c>
      <c r="I32" s="4">
        <f>I12*IncState!I16</f>
        <v>1983.3484489969499</v>
      </c>
      <c r="J32" s="4">
        <f>J12*IncState!J16</f>
        <v>2082.5158714467975</v>
      </c>
    </row>
    <row r="33" spans="1:12" s="11" customFormat="1" x14ac:dyDescent="0.25">
      <c r="B33" s="11" t="s">
        <v>79</v>
      </c>
      <c r="C33" s="11">
        <f t="shared" ref="C33:E33" si="6">SUM(C30:C32)</f>
        <v>1937.4</v>
      </c>
      <c r="D33" s="11">
        <f t="shared" si="6"/>
        <v>2192.5</v>
      </c>
      <c r="E33" s="24">
        <f t="shared" si="6"/>
        <v>2247.5</v>
      </c>
      <c r="F33" s="11">
        <f>SUM(F30:F32)</f>
        <v>2427.281022147889</v>
      </c>
      <c r="G33" s="11">
        <f t="shared" ref="G33:J33" si="7">SUM(G30:G32)</f>
        <v>2512.4094249347218</v>
      </c>
      <c r="H33" s="11">
        <f t="shared" si="7"/>
        <v>2633.1148513971871</v>
      </c>
      <c r="I33" s="11">
        <f t="shared" si="7"/>
        <v>2772.7507959766263</v>
      </c>
      <c r="J33" s="11">
        <f t="shared" si="7"/>
        <v>2905.9436949156816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80</v>
      </c>
      <c r="C35" s="188">
        <v>884.9</v>
      </c>
      <c r="D35" s="9">
        <v>1370.4</v>
      </c>
      <c r="E35" s="45">
        <v>2128.9</v>
      </c>
      <c r="F35" s="4">
        <f>Debt!F20</f>
        <v>2128.9</v>
      </c>
      <c r="G35" s="4">
        <f>Debt!G20</f>
        <v>2128.9</v>
      </c>
      <c r="H35" s="4">
        <f>Debt!H20</f>
        <v>2128.9</v>
      </c>
      <c r="I35" s="4">
        <f>Debt!I20</f>
        <v>2128.9</v>
      </c>
      <c r="J35" s="4">
        <f>Debt!J20</f>
        <v>2128.9</v>
      </c>
    </row>
    <row r="36" spans="1:12" x14ac:dyDescent="0.25">
      <c r="B36" s="4" t="s">
        <v>81</v>
      </c>
      <c r="C36" s="188">
        <f>142.2+3667.6+1407.9</f>
        <v>5217.7</v>
      </c>
      <c r="D36" s="9">
        <f>232+3704.7+1580.9</f>
        <v>5517.6</v>
      </c>
      <c r="E36" s="45">
        <f>278.8+3816.9+1803.6</f>
        <v>5899.3</v>
      </c>
      <c r="F36" s="4">
        <f>F13*IncState!F16</f>
        <v>6383.0426000000007</v>
      </c>
      <c r="G36" s="4">
        <f>G13*IncState!G16</f>
        <v>6619.2151762000003</v>
      </c>
      <c r="H36" s="4">
        <f>H13*IncState!H16</f>
        <v>6950.175935010001</v>
      </c>
      <c r="I36" s="4">
        <f>I13*IncState!I16</f>
        <v>7332.4356114355505</v>
      </c>
      <c r="J36" s="4">
        <f>J13*IncState!J16</f>
        <v>7699.0573920073284</v>
      </c>
    </row>
    <row r="37" spans="1:12" x14ac:dyDescent="0.25">
      <c r="B37" s="11" t="s">
        <v>82</v>
      </c>
      <c r="C37" s="11">
        <f t="shared" ref="C37:E37" si="8">SUM(C35:C36)</f>
        <v>6102.5999999999995</v>
      </c>
      <c r="D37" s="11">
        <f t="shared" si="8"/>
        <v>6888</v>
      </c>
      <c r="E37" s="24">
        <f t="shared" si="8"/>
        <v>8028.2000000000007</v>
      </c>
      <c r="F37" s="11">
        <f>SUM(F35:F36)</f>
        <v>8511.9426000000003</v>
      </c>
      <c r="G37" s="11">
        <f t="shared" ref="G37:J37" si="9">SUM(G35:G36)</f>
        <v>8748.1151762000009</v>
      </c>
      <c r="H37" s="11">
        <f t="shared" si="9"/>
        <v>9079.0759350100016</v>
      </c>
      <c r="I37" s="11">
        <f t="shared" si="9"/>
        <v>9461.3356114355502</v>
      </c>
      <c r="J37" s="11">
        <f t="shared" si="9"/>
        <v>9827.957392007329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90">
        <v>2201.5</v>
      </c>
      <c r="D39" s="190">
        <v>2242.5</v>
      </c>
      <c r="E39" s="218">
        <v>2311.3000000000002</v>
      </c>
      <c r="F39" s="4">
        <f>Calcs!F17</f>
        <v>2870.2580960616106</v>
      </c>
      <c r="G39" s="4">
        <f>Calcs!G17</f>
        <v>3460.8509377610449</v>
      </c>
      <c r="H39" s="4">
        <f>Calcs!H17</f>
        <v>4104.4380707150758</v>
      </c>
      <c r="I39" s="4">
        <f>Calcs!I17</f>
        <v>4814.429262052362</v>
      </c>
      <c r="J39" s="4">
        <f>Calcs!J17</f>
        <v>5590.5803158295821</v>
      </c>
    </row>
    <row r="40" spans="1:12" s="11" customFormat="1" x14ac:dyDescent="0.25">
      <c r="A40" s="11" t="s">
        <v>125</v>
      </c>
      <c r="B40" s="17" t="s">
        <v>83</v>
      </c>
      <c r="C40" s="18">
        <f>SUM(C39,C37,C33)</f>
        <v>10241.499999999998</v>
      </c>
      <c r="D40" s="18">
        <f>SUM(D39,D37,D33)</f>
        <v>11323</v>
      </c>
      <c r="E40" s="18">
        <f t="shared" ref="E40:F40" si="10">SUM(E39,E37,E33)</f>
        <v>12587</v>
      </c>
      <c r="F40" s="18">
        <f t="shared" si="10"/>
        <v>13809.481718209499</v>
      </c>
      <c r="G40" s="18">
        <f t="shared" ref="G40:J40" si="11">SUM(G39,G37,G33)</f>
        <v>14721.375538895767</v>
      </c>
      <c r="H40" s="18">
        <f t="shared" si="11"/>
        <v>15816.628857122265</v>
      </c>
      <c r="I40" s="18">
        <f t="shared" si="11"/>
        <v>17048.515669464537</v>
      </c>
      <c r="J40" s="18">
        <f t="shared" si="11"/>
        <v>18324.481402752594</v>
      </c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125</v>
      </c>
      <c r="B42" s="11" t="s">
        <v>84</v>
      </c>
      <c r="C42" s="46">
        <f>C40-C28</f>
        <v>0</v>
      </c>
      <c r="D42" s="46">
        <f t="shared" ref="D42:J42" si="12">D40-D28</f>
        <v>0</v>
      </c>
      <c r="E42" s="152">
        <f t="shared" si="12"/>
        <v>0</v>
      </c>
      <c r="F42" s="46">
        <f t="shared" si="12"/>
        <v>0</v>
      </c>
      <c r="G42" s="46">
        <f t="shared" ref="G42:J42" si="13">G40-G28</f>
        <v>0</v>
      </c>
      <c r="H42" s="46">
        <f t="shared" si="13"/>
        <v>0</v>
      </c>
      <c r="I42" s="46">
        <f t="shared" si="13"/>
        <v>0</v>
      </c>
      <c r="J42" s="46">
        <f t="shared" si="13"/>
        <v>0</v>
      </c>
      <c r="K42" s="46"/>
      <c r="L42" s="46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5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4"/>
  <sheetViews>
    <sheetView showGridLines="0" zoomScaleNormal="100" workbookViewId="0">
      <selection activeCell="F24" sqref="F4:J24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9" t="s">
        <v>85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B3" s="4" t="s">
        <v>157</v>
      </c>
      <c r="F3" s="4">
        <f>IncState!F34</f>
        <v>1258.1365781300012</v>
      </c>
      <c r="G3" s="4">
        <f>IncState!G34</f>
        <v>1331.4498058362151</v>
      </c>
      <c r="H3" s="4">
        <f>IncState!H34</f>
        <v>1426.1225791592015</v>
      </c>
      <c r="I3" s="4">
        <f>IncState!I34</f>
        <v>1534.2051196108473</v>
      </c>
      <c r="J3" s="4">
        <f>IncState!J34</f>
        <v>1642.0434641191728</v>
      </c>
    </row>
    <row r="4" spans="1:12" x14ac:dyDescent="0.25">
      <c r="B4" s="4" t="s">
        <v>15</v>
      </c>
      <c r="F4" s="4">
        <f>IncState!F21</f>
        <v>560.72391378585689</v>
      </c>
      <c r="G4" s="4">
        <f>IncState!G21</f>
        <v>569.96150983427447</v>
      </c>
      <c r="H4" s="4">
        <f>IncState!H21</f>
        <v>580.32106562408103</v>
      </c>
      <c r="I4" s="4">
        <f>IncState!I21</f>
        <v>592.42814764539685</v>
      </c>
      <c r="J4" s="4">
        <f>IncState!J21</f>
        <v>606.54401065853426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114.8246838071675</v>
      </c>
      <c r="G6" s="4">
        <f>Calcs!G26</f>
        <v>54.679539286898034</v>
      </c>
      <c r="H6" s="4">
        <f>Calcs!H26</f>
        <v>77.36150639003813</v>
      </c>
      <c r="I6" s="4">
        <f>Calcs!I26</f>
        <v>89.467980844903195</v>
      </c>
      <c r="J6" s="4">
        <f>Calcs!J26</f>
        <v>85.426563775892191</v>
      </c>
    </row>
    <row r="7" spans="1:12" x14ac:dyDescent="0.25">
      <c r="B7" s="4" t="s">
        <v>186</v>
      </c>
      <c r="F7" s="4">
        <f>BalSheet!E25-BalSheet!F25</f>
        <v>-30.47120000000001</v>
      </c>
      <c r="G7" s="4">
        <f>BalSheet!F25-BalSheet!G25</f>
        <v>-14.8766344</v>
      </c>
      <c r="H7" s="4">
        <f>BalSheet!G25-BalSheet!H25</f>
        <v>-20.847391720000019</v>
      </c>
      <c r="I7" s="4">
        <f>BalSheet!H25-BalSheet!I25</f>
        <v>-24.078737436600022</v>
      </c>
      <c r="J7" s="4">
        <f>BalSheet!I25-BalSheet!J25</f>
        <v>-23.093698177829992</v>
      </c>
    </row>
    <row r="8" spans="1:12" x14ac:dyDescent="0.25">
      <c r="B8" s="4" t="s">
        <v>187</v>
      </c>
      <c r="F8" s="4">
        <f>BalSheet!F36-BalSheet!E36</f>
        <v>483.74260000000049</v>
      </c>
      <c r="G8" s="4">
        <f>BalSheet!G36-BalSheet!F36</f>
        <v>236.17257619999964</v>
      </c>
      <c r="H8" s="4">
        <f>BalSheet!H36-BalSheet!G36</f>
        <v>330.9607588100007</v>
      </c>
      <c r="I8" s="4">
        <f>BalSheet!I36-BalSheet!H36</f>
        <v>382.25967642554951</v>
      </c>
      <c r="J8" s="4">
        <f>BalSheet!J36-BalSheet!I36</f>
        <v>366.62178057177789</v>
      </c>
    </row>
    <row r="9" spans="1:12" s="11" customFormat="1" x14ac:dyDescent="0.25">
      <c r="B9" s="11" t="s">
        <v>188</v>
      </c>
      <c r="F9" s="11">
        <f>SUM(F3:F8)</f>
        <v>2386.9565757230262</v>
      </c>
      <c r="G9" s="11">
        <f t="shared" ref="G9:J9" si="1">SUM(G3:G8)</f>
        <v>2177.3867967573869</v>
      </c>
      <c r="H9" s="11">
        <f t="shared" si="1"/>
        <v>2393.9185182633214</v>
      </c>
      <c r="I9" s="11">
        <f t="shared" si="1"/>
        <v>2574.2821870900966</v>
      </c>
      <c r="J9" s="11">
        <f t="shared" si="1"/>
        <v>2677.5421209475471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-696.99859170531545</v>
      </c>
      <c r="G11" s="4">
        <f>-Calcs!G7</f>
        <v>-722.78753959841208</v>
      </c>
      <c r="H11" s="4">
        <f>-Calcs!H7</f>
        <v>-758.92691657833268</v>
      </c>
      <c r="I11" s="4">
        <f>-Calcs!I7</f>
        <v>-800.667896990141</v>
      </c>
      <c r="J11" s="4">
        <f>-Calcs!J7</f>
        <v>-840.70129183964809</v>
      </c>
    </row>
    <row r="12" spans="1:12" s="11" customFormat="1" x14ac:dyDescent="0.25">
      <c r="B12" s="11" t="s">
        <v>189</v>
      </c>
      <c r="F12" s="11">
        <f>SUM(F11)</f>
        <v>-696.99859170531545</v>
      </c>
      <c r="G12" s="11">
        <f t="shared" ref="G12:J12" si="2">SUM(G11)</f>
        <v>-722.78753959841208</v>
      </c>
      <c r="H12" s="11">
        <f t="shared" si="2"/>
        <v>-758.92691657833268</v>
      </c>
      <c r="I12" s="11">
        <f t="shared" si="2"/>
        <v>-800.667896990141</v>
      </c>
      <c r="J12" s="11">
        <f t="shared" si="2"/>
        <v>-840.70129183964809</v>
      </c>
    </row>
    <row r="13" spans="1:12" x14ac:dyDescent="0.25">
      <c r="I13" s="4"/>
      <c r="J13" s="4"/>
    </row>
    <row r="14" spans="1:12" x14ac:dyDescent="0.25">
      <c r="B14" s="4" t="s">
        <v>190</v>
      </c>
      <c r="F14" s="4">
        <f>-IncState!F36</f>
        <v>-699.17848206839039</v>
      </c>
      <c r="G14" s="4">
        <f>-IncState!G36</f>
        <v>-740.85696413678079</v>
      </c>
      <c r="H14" s="4">
        <f>-IncState!H36</f>
        <v>-782.53544620517118</v>
      </c>
      <c r="I14" s="4">
        <f>-IncState!I36</f>
        <v>-824.21392827356158</v>
      </c>
      <c r="J14" s="4">
        <f>-IncState!J36</f>
        <v>-865.89241034195197</v>
      </c>
    </row>
    <row r="15" spans="1:12" x14ac:dyDescent="0.25">
      <c r="B15" s="4" t="s">
        <v>191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144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192</v>
      </c>
      <c r="F17" s="11">
        <f>SUM(F14:F16)</f>
        <v>-699.17848206839039</v>
      </c>
      <c r="G17" s="11">
        <f t="shared" ref="G17:J17" si="3">SUM(G14:G16)</f>
        <v>-740.85696413678079</v>
      </c>
      <c r="H17" s="11">
        <f t="shared" si="3"/>
        <v>-782.53544620517118</v>
      </c>
      <c r="I17" s="11">
        <f t="shared" si="3"/>
        <v>-824.21392827356158</v>
      </c>
      <c r="J17" s="11">
        <f t="shared" si="3"/>
        <v>-865.89241034195197</v>
      </c>
    </row>
    <row r="18" spans="2:10" x14ac:dyDescent="0.25">
      <c r="I18" s="4"/>
      <c r="J18" s="4"/>
    </row>
    <row r="19" spans="2:10" x14ac:dyDescent="0.25">
      <c r="B19" s="4" t="s">
        <v>193</v>
      </c>
      <c r="F19" s="4">
        <f>SUM(F17,F12,F9)</f>
        <v>990.77950194932032</v>
      </c>
      <c r="G19" s="4">
        <f t="shared" ref="G19:J19" si="4">SUM(G17,G12,G9)</f>
        <v>713.74229302219419</v>
      </c>
      <c r="H19" s="4">
        <f t="shared" si="4"/>
        <v>852.45615547981743</v>
      </c>
      <c r="I19" s="4">
        <f t="shared" si="4"/>
        <v>949.40036182639415</v>
      </c>
      <c r="J19" s="4">
        <f t="shared" si="4"/>
        <v>970.94841876594705</v>
      </c>
    </row>
    <row r="20" spans="2:10" x14ac:dyDescent="0.25">
      <c r="I20" s="4"/>
      <c r="J20" s="4"/>
    </row>
    <row r="21" spans="2:10" x14ac:dyDescent="0.25">
      <c r="B21" s="4" t="s">
        <v>194</v>
      </c>
      <c r="F21" s="4">
        <f>BalSheet!E17</f>
        <v>119.23299999999999</v>
      </c>
      <c r="G21" s="4">
        <f>BalSheet!F17</f>
        <v>1110.0125019493203</v>
      </c>
      <c r="H21" s="4">
        <f>BalSheet!G17</f>
        <v>1823.7547949715145</v>
      </c>
      <c r="I21" s="4">
        <f>BalSheet!H17</f>
        <v>2676.2109504513319</v>
      </c>
      <c r="J21" s="4">
        <f>BalSheet!I17</f>
        <v>3625.611312277726</v>
      </c>
    </row>
    <row r="22" spans="2:10" x14ac:dyDescent="0.25">
      <c r="B22" s="4" t="str">
        <f>B19</f>
        <v>Net changes in cash</v>
      </c>
      <c r="F22" s="4">
        <f>F19</f>
        <v>990.77950194932032</v>
      </c>
      <c r="G22" s="4">
        <f t="shared" ref="G22:J22" si="5">G19</f>
        <v>713.74229302219419</v>
      </c>
      <c r="H22" s="4">
        <f t="shared" si="5"/>
        <v>852.45615547981743</v>
      </c>
      <c r="I22" s="4">
        <f t="shared" si="5"/>
        <v>949.40036182639415</v>
      </c>
      <c r="J22" s="4">
        <f t="shared" si="5"/>
        <v>970.94841876594705</v>
      </c>
    </row>
    <row r="23" spans="2:10" x14ac:dyDescent="0.25">
      <c r="B23" s="4" t="s">
        <v>195</v>
      </c>
      <c r="F23" s="4">
        <f>SUM(F21:F22)</f>
        <v>1110.0125019493203</v>
      </c>
      <c r="G23" s="4">
        <f t="shared" ref="G23:J23" si="6">SUM(G21:G22)</f>
        <v>1823.7547949715145</v>
      </c>
      <c r="H23" s="4">
        <f t="shared" si="6"/>
        <v>2676.2109504513319</v>
      </c>
      <c r="I23" s="4">
        <f t="shared" si="6"/>
        <v>3625.611312277726</v>
      </c>
      <c r="J23" s="4">
        <f t="shared" si="6"/>
        <v>4596.5597310436733</v>
      </c>
    </row>
    <row r="24" spans="2:10" x14ac:dyDescent="0.25">
      <c r="I24" s="4"/>
      <c r="J24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Darden Restaurants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9" t="s">
        <v>88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A3" s="11" t="s">
        <v>125</v>
      </c>
      <c r="B3" s="4" t="s">
        <v>89</v>
      </c>
      <c r="D3" s="237"/>
      <c r="E3" s="23"/>
      <c r="F3" s="238">
        <f>IncState!F16</f>
        <v>13066.989400000002</v>
      </c>
      <c r="G3" s="238">
        <f>IncState!G16</f>
        <v>13550.468007800002</v>
      </c>
      <c r="H3" s="238">
        <f>IncState!H16</f>
        <v>14227.991408190002</v>
      </c>
      <c r="I3" s="238">
        <f>IncState!I16</f>
        <v>15010.530935640452</v>
      </c>
      <c r="J3" s="238">
        <f>IncState!J16</f>
        <v>15761.057482422475</v>
      </c>
      <c r="K3" s="215"/>
      <c r="L3" s="215"/>
    </row>
    <row r="4" spans="1:12" x14ac:dyDescent="0.25">
      <c r="B4" s="4" t="s">
        <v>55</v>
      </c>
      <c r="E4" s="27"/>
      <c r="F4" s="4">
        <f>IncState!F19</f>
        <v>1592.5779470000016</v>
      </c>
      <c r="G4" s="4">
        <f>IncState!G19</f>
        <v>1685.3795010585</v>
      </c>
      <c r="H4" s="4">
        <f>IncState!H19</f>
        <v>1805.2184546319004</v>
      </c>
      <c r="I4" s="4">
        <f>IncState!I19</f>
        <v>1942.0317969757562</v>
      </c>
      <c r="J4" s="4">
        <f>IncState!J19</f>
        <v>2078.5360305305985</v>
      </c>
    </row>
    <row r="5" spans="1:12" x14ac:dyDescent="0.25">
      <c r="B5" s="30" t="s">
        <v>94</v>
      </c>
      <c r="C5" s="30"/>
      <c r="D5" s="30"/>
      <c r="E5" s="39"/>
      <c r="F5" s="43">
        <f>Assumptions!F16</f>
        <v>0.21</v>
      </c>
      <c r="G5" s="43">
        <f>Assumptions!G16</f>
        <v>0.21</v>
      </c>
      <c r="H5" s="43">
        <f>Assumptions!H16</f>
        <v>0.21</v>
      </c>
      <c r="I5" s="43">
        <f>Assumptions!I16</f>
        <v>0.21</v>
      </c>
      <c r="J5" s="43">
        <f>Assumptions!J16</f>
        <v>0.21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2"/>
      <c r="L6" s="172"/>
    </row>
    <row r="7" spans="1:12" x14ac:dyDescent="0.25">
      <c r="A7" s="24" t="s">
        <v>125</v>
      </c>
      <c r="B7" s="21" t="s">
        <v>90</v>
      </c>
      <c r="C7" s="119"/>
      <c r="D7" s="119"/>
      <c r="E7" s="119"/>
      <c r="F7" s="134">
        <f t="shared" ref="F7:J7" si="1">F4*(1-F5)</f>
        <v>1258.1365781300012</v>
      </c>
      <c r="G7" s="134">
        <f t="shared" ref="G7:J7" si="2">G4*(1-G5)</f>
        <v>1331.4498058362151</v>
      </c>
      <c r="H7" s="134">
        <f t="shared" si="2"/>
        <v>1426.1225791592015</v>
      </c>
      <c r="I7" s="134">
        <f t="shared" si="2"/>
        <v>1534.2051196108475</v>
      </c>
      <c r="J7" s="134">
        <f t="shared" si="2"/>
        <v>1642.043464119173</v>
      </c>
      <c r="K7" s="215"/>
      <c r="L7" s="215"/>
    </row>
    <row r="8" spans="1:12" x14ac:dyDescent="0.25">
      <c r="B8" s="4" t="s">
        <v>15</v>
      </c>
      <c r="C8" s="119"/>
      <c r="D8" s="119"/>
      <c r="E8" s="120"/>
      <c r="F8" s="135">
        <f>CashFlow!F4</f>
        <v>560.72391378585689</v>
      </c>
      <c r="G8" s="135">
        <f>CashFlow!G4</f>
        <v>569.96150983427447</v>
      </c>
      <c r="H8" s="135">
        <f>CashFlow!H4</f>
        <v>580.32106562408103</v>
      </c>
      <c r="I8" s="135">
        <f>CashFlow!I4</f>
        <v>592.42814764539685</v>
      </c>
      <c r="J8" s="135">
        <f>CashFlow!J4</f>
        <v>606.54401065853426</v>
      </c>
      <c r="K8" s="214"/>
      <c r="L8" s="214"/>
    </row>
    <row r="9" spans="1:12" x14ac:dyDescent="0.25">
      <c r="B9" s="4" t="s">
        <v>54</v>
      </c>
      <c r="C9" s="5"/>
      <c r="D9" s="5"/>
      <c r="E9" s="23"/>
      <c r="F9" s="136">
        <f>CashFlow!F5</f>
        <v>0</v>
      </c>
      <c r="G9" s="136">
        <f>CashFlow!G5</f>
        <v>0</v>
      </c>
      <c r="H9" s="136">
        <f>CashFlow!H5</f>
        <v>0</v>
      </c>
      <c r="I9" s="136">
        <f>CashFlow!I5</f>
        <v>0</v>
      </c>
      <c r="J9" s="136">
        <f>CashFlow!J5</f>
        <v>0</v>
      </c>
      <c r="K9" s="214"/>
      <c r="L9" s="214"/>
    </row>
    <row r="10" spans="1:12" x14ac:dyDescent="0.25">
      <c r="B10" s="4" t="s">
        <v>91</v>
      </c>
      <c r="C10" s="5"/>
      <c r="D10" s="5"/>
      <c r="E10" s="23"/>
      <c r="F10" s="136">
        <f>CashFlow!F6</f>
        <v>114.8246838071675</v>
      </c>
      <c r="G10" s="136">
        <f>CashFlow!G6</f>
        <v>54.679539286898034</v>
      </c>
      <c r="H10" s="136">
        <f>CashFlow!H6</f>
        <v>77.36150639003813</v>
      </c>
      <c r="I10" s="136">
        <f>CashFlow!I6</f>
        <v>89.467980844903195</v>
      </c>
      <c r="J10" s="136">
        <f>CashFlow!J6</f>
        <v>85.426563775892191</v>
      </c>
      <c r="K10" s="214"/>
      <c r="L10" s="214"/>
    </row>
    <row r="11" spans="1:12" x14ac:dyDescent="0.25">
      <c r="B11" s="4" t="s">
        <v>164</v>
      </c>
      <c r="C11" s="5"/>
      <c r="D11" s="5"/>
      <c r="E11" s="23"/>
      <c r="F11" s="136">
        <f>CashFlow!F7</f>
        <v>-30.47120000000001</v>
      </c>
      <c r="G11" s="136">
        <f>CashFlow!G7</f>
        <v>-14.8766344</v>
      </c>
      <c r="H11" s="136">
        <f>CashFlow!H7</f>
        <v>-20.847391720000019</v>
      </c>
      <c r="I11" s="136">
        <f>CashFlow!I7</f>
        <v>-24.078737436600022</v>
      </c>
      <c r="J11" s="136">
        <f>CashFlow!J7</f>
        <v>-23.093698177829992</v>
      </c>
      <c r="K11" s="214"/>
      <c r="L11" s="214"/>
    </row>
    <row r="12" spans="1:12" x14ac:dyDescent="0.25">
      <c r="B12" s="4" t="s">
        <v>165</v>
      </c>
      <c r="E12" s="27"/>
      <c r="F12" s="136">
        <f>CashFlow!F8</f>
        <v>483.74260000000049</v>
      </c>
      <c r="G12" s="136">
        <f>CashFlow!G8</f>
        <v>236.17257619999964</v>
      </c>
      <c r="H12" s="136">
        <f>CashFlow!H8</f>
        <v>330.9607588100007</v>
      </c>
      <c r="I12" s="136">
        <f>CashFlow!I8</f>
        <v>382.25967642554951</v>
      </c>
      <c r="J12" s="136">
        <f>CashFlow!J8</f>
        <v>366.62178057177789</v>
      </c>
      <c r="K12" s="214"/>
      <c r="L12" s="214"/>
    </row>
    <row r="13" spans="1:12" x14ac:dyDescent="0.25">
      <c r="B13" s="4" t="s">
        <v>92</v>
      </c>
      <c r="E13" s="27"/>
      <c r="F13" s="132">
        <f>CashFlow!F11</f>
        <v>-696.99859170531545</v>
      </c>
      <c r="G13" s="132">
        <f>CashFlow!G11</f>
        <v>-722.78753959841208</v>
      </c>
      <c r="H13" s="132">
        <f>CashFlow!H11</f>
        <v>-758.92691657833268</v>
      </c>
      <c r="I13" s="132">
        <f>CashFlow!I11</f>
        <v>-800.667896990141</v>
      </c>
      <c r="J13" s="132">
        <f>CashFlow!J11</f>
        <v>-840.70129183964809</v>
      </c>
      <c r="K13" s="132"/>
      <c r="L13" s="132"/>
    </row>
    <row r="14" spans="1:12" x14ac:dyDescent="0.25">
      <c r="E14" s="63"/>
      <c r="F14" s="137"/>
      <c r="G14" s="137"/>
      <c r="H14" s="137"/>
      <c r="I14" s="137"/>
      <c r="J14" s="137"/>
      <c r="K14" s="137"/>
      <c r="L14" s="137"/>
    </row>
    <row r="15" spans="1:12" s="11" customFormat="1" x14ac:dyDescent="0.25">
      <c r="A15" s="24" t="s">
        <v>125</v>
      </c>
      <c r="B15" s="34" t="s">
        <v>93</v>
      </c>
      <c r="C15" s="34"/>
      <c r="D15" s="34"/>
      <c r="E15" s="34"/>
      <c r="F15" s="34">
        <f>SUM(F7:F13)</f>
        <v>1689.9579840177107</v>
      </c>
      <c r="G15" s="34">
        <f t="shared" ref="G15:J15" si="3">SUM(G7:G13)</f>
        <v>1454.599257158975</v>
      </c>
      <c r="H15" s="34">
        <f t="shared" si="3"/>
        <v>1634.9916016849888</v>
      </c>
      <c r="I15" s="34">
        <f t="shared" si="3"/>
        <v>1773.6142900999562</v>
      </c>
      <c r="J15" s="34">
        <f t="shared" si="3"/>
        <v>1836.840829107899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13" sqref="B13: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5" t="str">
        <f>CoName</f>
        <v>Darden Restaurants Inc</v>
      </c>
    </row>
    <row r="2" spans="1:13" x14ac:dyDescent="0.25">
      <c r="G2" s="147"/>
    </row>
    <row r="3" spans="1:13" x14ac:dyDescent="0.25">
      <c r="A3" s="27" t="s">
        <v>125</v>
      </c>
      <c r="B3" s="162" t="s">
        <v>102</v>
      </c>
      <c r="C3" s="163"/>
      <c r="D3" s="163"/>
      <c r="E3" s="164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7"/>
      <c r="B4" s="258" t="s">
        <v>166</v>
      </c>
      <c r="C4" s="67"/>
      <c r="D4" s="72"/>
      <c r="E4" s="259">
        <f>Assumptions!F16</f>
        <v>0.21</v>
      </c>
      <c r="G4" s="139"/>
      <c r="H4" s="140"/>
      <c r="I4" s="80"/>
      <c r="J4" s="81"/>
      <c r="K4" s="142"/>
      <c r="L4" s="153">
        <f>E4</f>
        <v>0.21</v>
      </c>
      <c r="M4" s="143">
        <f>H4/((1+K4*(1-L4)))</f>
        <v>0</v>
      </c>
    </row>
    <row r="5" spans="1:13" x14ac:dyDescent="0.25">
      <c r="A5" s="27"/>
      <c r="B5" s="67" t="s">
        <v>95</v>
      </c>
      <c r="C5" s="67"/>
      <c r="D5" s="72"/>
      <c r="E5" s="138">
        <v>4.1000000000000002E-2</v>
      </c>
      <c r="G5" s="139"/>
      <c r="H5" s="140"/>
      <c r="I5" s="80"/>
      <c r="J5" s="81"/>
      <c r="K5" s="142"/>
      <c r="L5" s="153">
        <f>L4</f>
        <v>0.21</v>
      </c>
      <c r="M5" s="143">
        <f t="shared" ref="M5:M7" si="0">H5/((1+K5*(1-L5)))</f>
        <v>0</v>
      </c>
    </row>
    <row r="6" spans="1:13" x14ac:dyDescent="0.25">
      <c r="A6" s="27"/>
      <c r="B6" s="67" t="s">
        <v>96</v>
      </c>
      <c r="C6" s="67"/>
      <c r="D6" s="72"/>
      <c r="E6" s="138">
        <v>0.05</v>
      </c>
      <c r="G6" s="139"/>
      <c r="H6" s="141"/>
      <c r="I6" s="82"/>
      <c r="J6" s="81"/>
      <c r="K6" s="142"/>
      <c r="L6" s="153">
        <f t="shared" ref="L6:L7" si="1">L5</f>
        <v>0.21</v>
      </c>
      <c r="M6" s="143">
        <f t="shared" si="0"/>
        <v>0</v>
      </c>
    </row>
    <row r="7" spans="1:13" x14ac:dyDescent="0.25">
      <c r="A7" s="27"/>
      <c r="B7" s="67" t="s">
        <v>97</v>
      </c>
      <c r="C7" s="67"/>
      <c r="D7" s="72"/>
      <c r="E7" s="220">
        <v>0.82</v>
      </c>
      <c r="G7" s="139"/>
      <c r="H7" s="141"/>
      <c r="I7" s="82"/>
      <c r="J7" s="83"/>
      <c r="K7" s="142"/>
      <c r="L7" s="153">
        <f t="shared" si="1"/>
        <v>0.21</v>
      </c>
      <c r="M7" s="143">
        <f t="shared" si="0"/>
        <v>0</v>
      </c>
    </row>
    <row r="8" spans="1:13" x14ac:dyDescent="0.25">
      <c r="A8" s="27"/>
      <c r="B8" s="67" t="s">
        <v>98</v>
      </c>
      <c r="C8" s="67"/>
      <c r="D8" s="72"/>
      <c r="E8" s="138">
        <f>E5+E6*E7</f>
        <v>8.2000000000000003E-2</v>
      </c>
      <c r="L8" s="66"/>
    </row>
    <row r="9" spans="1:13" x14ac:dyDescent="0.25">
      <c r="A9" s="27"/>
      <c r="B9" s="68" t="s">
        <v>99</v>
      </c>
      <c r="C9" s="68"/>
      <c r="D9" s="73"/>
      <c r="E9" s="144">
        <f>1-E10</f>
        <v>0.71081422047603882</v>
      </c>
      <c r="G9" s="4" t="s">
        <v>111</v>
      </c>
      <c r="L9" s="27"/>
      <c r="M9" s="219">
        <f>AVERAGE(M4:M7)</f>
        <v>0</v>
      </c>
    </row>
    <row r="10" spans="1:13" x14ac:dyDescent="0.25">
      <c r="A10" s="27"/>
      <c r="B10" s="69" t="s">
        <v>100</v>
      </c>
      <c r="C10" s="69"/>
      <c r="D10" s="74"/>
      <c r="E10" s="145">
        <f>MAIN!F8/MAIN!F6</f>
        <v>0.28918577952396113</v>
      </c>
      <c r="M10" s="66"/>
    </row>
    <row r="11" spans="1:13" x14ac:dyDescent="0.25">
      <c r="A11" s="27"/>
      <c r="B11" s="161" t="s">
        <v>178</v>
      </c>
      <c r="C11" s="70"/>
      <c r="D11" s="75"/>
      <c r="E11" s="146">
        <f>Assumptions!F24</f>
        <v>4.8599999999999997E-2</v>
      </c>
      <c r="G11" s="4" t="s">
        <v>112</v>
      </c>
      <c r="L11" s="27"/>
      <c r="M11" s="219">
        <f>M9*(1+E10*(1-E4))</f>
        <v>0</v>
      </c>
    </row>
    <row r="12" spans="1:13" x14ac:dyDescent="0.25">
      <c r="A12" s="27"/>
      <c r="B12" s="71" t="s">
        <v>101</v>
      </c>
      <c r="C12" s="71"/>
      <c r="D12" s="76"/>
      <c r="E12" s="146">
        <f>E11*(1-E4)</f>
        <v>3.8393999999999998E-2</v>
      </c>
      <c r="M12" s="66"/>
    </row>
    <row r="13" spans="1:13" s="11" customFormat="1" x14ac:dyDescent="0.25">
      <c r="A13" s="24" t="s">
        <v>125</v>
      </c>
      <c r="B13" s="162" t="s">
        <v>102</v>
      </c>
      <c r="C13" s="163"/>
      <c r="D13" s="164"/>
      <c r="E13" s="158">
        <f>WACC!E8*WACC!E9+WACC!E12*WACC!E10</f>
        <v>6.9389764898078146E-2</v>
      </c>
      <c r="F13" s="4"/>
    </row>
    <row r="14" spans="1:13" s="11" customFormat="1" x14ac:dyDescent="0.25">
      <c r="A14" s="24"/>
      <c r="B14" s="77" t="s">
        <v>103</v>
      </c>
      <c r="C14" s="77"/>
      <c r="D14" s="114"/>
      <c r="E14" s="148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K12" sqref="K12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55" t="str">
        <f>CoName</f>
        <v>Darden Restaurants Inc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114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59"/>
      <c r="J2" s="159"/>
      <c r="K2" s="159"/>
      <c r="L2" s="159"/>
      <c r="M2" s="159"/>
      <c r="N2" s="159"/>
    </row>
    <row r="3" spans="1:14" x14ac:dyDescent="0.25">
      <c r="B3" s="4" t="s">
        <v>183</v>
      </c>
      <c r="D3" s="8">
        <f>1/(1+$K$17)^D2</f>
        <v>0.96701227829629333</v>
      </c>
      <c r="E3" s="8">
        <f t="shared" ref="E3:H3" si="1">1/(1+$K$17)^E2</f>
        <v>0.90426550733675459</v>
      </c>
      <c r="F3" s="8">
        <f t="shared" si="1"/>
        <v>0.84559020201856783</v>
      </c>
      <c r="G3" s="8">
        <f t="shared" si="1"/>
        <v>0.79072217611804019</v>
      </c>
      <c r="H3" s="8">
        <f t="shared" si="1"/>
        <v>0.73941438572998008</v>
      </c>
      <c r="I3" s="8"/>
      <c r="J3" s="8"/>
      <c r="K3" s="8"/>
    </row>
    <row r="4" spans="1:14" x14ac:dyDescent="0.25">
      <c r="B4" s="4" t="s">
        <v>184</v>
      </c>
      <c r="D4" s="4">
        <f>D3*'Free Cash Flow'!F15</f>
        <v>1634.2101203499774</v>
      </c>
      <c r="E4" s="4">
        <f>E3*'Free Cash Flow'!G15</f>
        <v>1315.3439352465268</v>
      </c>
      <c r="F4" s="4">
        <f>F3*'Free Cash Flow'!H15</f>
        <v>1382.5328787674714</v>
      </c>
      <c r="G4" s="4">
        <f>G3*'Free Cash Flow'!I15</f>
        <v>1402.4361510618903</v>
      </c>
      <c r="H4" s="4">
        <f>H3*'Free Cash Flow'!J15</f>
        <v>1358.1865333385645</v>
      </c>
      <c r="I4" s="4">
        <f>(H4*(1+K18))/(K17-K18)</f>
        <v>31361.760979551869</v>
      </c>
    </row>
    <row r="5" spans="1:14" x14ac:dyDescent="0.25">
      <c r="G5" s="147"/>
    </row>
    <row r="6" spans="1:14" x14ac:dyDescent="0.25">
      <c r="A6" s="77" t="s">
        <v>115</v>
      </c>
      <c r="B6" s="19"/>
      <c r="C6" s="42"/>
      <c r="D6" s="86"/>
      <c r="E6" s="77" t="s">
        <v>171</v>
      </c>
      <c r="F6" s="19"/>
      <c r="G6" s="42"/>
      <c r="H6" s="86" t="s">
        <v>167</v>
      </c>
      <c r="I6" s="77" t="s">
        <v>200</v>
      </c>
      <c r="J6" s="19"/>
      <c r="K6" s="42"/>
    </row>
    <row r="7" spans="1:14" x14ac:dyDescent="0.25">
      <c r="B7" s="4" t="s">
        <v>116</v>
      </c>
      <c r="C7" s="4">
        <f>SUM(D4:H4)</f>
        <v>7092.7096187644311</v>
      </c>
      <c r="E7" s="4" t="s">
        <v>116</v>
      </c>
      <c r="G7" s="4">
        <f>C7</f>
        <v>7092.7096187644311</v>
      </c>
      <c r="I7" s="4" t="s">
        <v>201</v>
      </c>
      <c r="K7" s="4">
        <f>IncState!J36</f>
        <v>865.89241034195197</v>
      </c>
    </row>
    <row r="8" spans="1:14" x14ac:dyDescent="0.25">
      <c r="B8" s="4" t="s">
        <v>117</v>
      </c>
      <c r="C8" s="4">
        <f>I4*H3</f>
        <v>23189.337230105804</v>
      </c>
      <c r="E8" s="4" t="s">
        <v>172</v>
      </c>
      <c r="G8" s="4">
        <f>G10*H3*IncState!J23</f>
        <v>29780.802139375384</v>
      </c>
      <c r="I8" s="4" t="s">
        <v>202</v>
      </c>
      <c r="K8" s="4">
        <f>K7/(K17-K18)</f>
        <v>19506.577976479457</v>
      </c>
    </row>
    <row r="9" spans="1:14" x14ac:dyDescent="0.25">
      <c r="B9" s="4" t="s">
        <v>118</v>
      </c>
      <c r="C9" s="4">
        <f>SUM(C7:C8)</f>
        <v>30282.046848870235</v>
      </c>
      <c r="E9" s="4" t="s">
        <v>118</v>
      </c>
      <c r="G9" s="4">
        <f>SUM(G7:G8)</f>
        <v>36873.511758139815</v>
      </c>
    </row>
    <row r="10" spans="1:14" x14ac:dyDescent="0.25">
      <c r="C10" s="85"/>
      <c r="E10" s="4" t="s">
        <v>196</v>
      </c>
      <c r="G10" s="85">
        <v>15</v>
      </c>
      <c r="I10" s="4" t="s">
        <v>123</v>
      </c>
      <c r="K10" s="4">
        <f>G17</f>
        <v>116.313</v>
      </c>
    </row>
    <row r="11" spans="1:14" x14ac:dyDescent="0.25">
      <c r="I11" s="149" t="s">
        <v>124</v>
      </c>
      <c r="J11" s="156"/>
      <c r="K11" s="157">
        <f>K8/K10</f>
        <v>167.70763351026503</v>
      </c>
    </row>
    <row r="12" spans="1:14" x14ac:dyDescent="0.25">
      <c r="B12" s="27" t="s">
        <v>119</v>
      </c>
      <c r="C12" s="37">
        <f>MAIN!F7</f>
        <v>211</v>
      </c>
      <c r="E12" s="27" t="s">
        <v>119</v>
      </c>
      <c r="F12" s="156"/>
      <c r="G12" s="37">
        <f>C12</f>
        <v>211</v>
      </c>
      <c r="I12" s="159"/>
    </row>
    <row r="13" spans="1:14" x14ac:dyDescent="0.25">
      <c r="B13" s="27" t="s">
        <v>120</v>
      </c>
      <c r="C13" s="37">
        <f>MAIN!F8</f>
        <v>6155.4</v>
      </c>
      <c r="E13" s="27" t="s">
        <v>120</v>
      </c>
      <c r="F13" s="156"/>
      <c r="G13" s="37">
        <f t="shared" ref="G13:G14" si="2">C13</f>
        <v>6155.4</v>
      </c>
    </row>
    <row r="14" spans="1:14" x14ac:dyDescent="0.25">
      <c r="B14" s="27" t="s">
        <v>121</v>
      </c>
      <c r="C14" s="79">
        <v>0</v>
      </c>
      <c r="E14" s="4" t="s">
        <v>121</v>
      </c>
      <c r="F14" s="27"/>
      <c r="G14" s="37">
        <f t="shared" si="2"/>
        <v>0</v>
      </c>
    </row>
    <row r="15" spans="1:14" x14ac:dyDescent="0.25">
      <c r="B15" s="4" t="s">
        <v>122</v>
      </c>
      <c r="C15" s="66">
        <f>C9+C12-SUM(C13:C14)</f>
        <v>24337.646848870238</v>
      </c>
      <c r="E15" s="4" t="s">
        <v>122</v>
      </c>
      <c r="G15" s="66">
        <f>G9+G12-SUM(G13:G14)</f>
        <v>30929.111758139814</v>
      </c>
    </row>
    <row r="17" spans="1:17" x14ac:dyDescent="0.25">
      <c r="B17" s="4" t="s">
        <v>123</v>
      </c>
      <c r="C17" s="4">
        <f>MAIN!F5</f>
        <v>116.313</v>
      </c>
      <c r="E17" s="4" t="s">
        <v>123</v>
      </c>
      <c r="G17" s="4">
        <f>C17</f>
        <v>116.313</v>
      </c>
      <c r="I17" s="162" t="s">
        <v>102</v>
      </c>
      <c r="J17" s="163"/>
      <c r="K17" s="158">
        <f>WACC!E13</f>
        <v>6.9389764898078146E-2</v>
      </c>
    </row>
    <row r="18" spans="1:17" x14ac:dyDescent="0.25">
      <c r="A18" s="4" t="s">
        <v>125</v>
      </c>
      <c r="B18" s="149" t="s">
        <v>124</v>
      </c>
      <c r="C18" s="157">
        <f>C15/C17</f>
        <v>209.24270587870862</v>
      </c>
      <c r="E18" s="149" t="s">
        <v>124</v>
      </c>
      <c r="F18" s="156"/>
      <c r="G18" s="157">
        <f>G15/G17</f>
        <v>265.91276777436582</v>
      </c>
      <c r="I18" s="77" t="s">
        <v>103</v>
      </c>
      <c r="J18" s="77"/>
      <c r="K18" s="148">
        <v>2.5000000000000001E-2</v>
      </c>
    </row>
    <row r="19" spans="1:17" x14ac:dyDescent="0.25">
      <c r="C19" s="21"/>
    </row>
    <row r="20" spans="1:17" x14ac:dyDescent="0.25">
      <c r="A20" s="115" t="s">
        <v>147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6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148</v>
      </c>
      <c r="D22" s="116"/>
      <c r="E22" s="117">
        <v>5.0000000000000001E-3</v>
      </c>
      <c r="F22" s="116"/>
      <c r="G22" s="116"/>
      <c r="H22" s="116" t="s">
        <v>148</v>
      </c>
      <c r="I22" s="116"/>
      <c r="J22" s="117">
        <v>5.0000000000000001E-3</v>
      </c>
    </row>
    <row r="23" spans="1:17" x14ac:dyDescent="0.25">
      <c r="B23" s="116"/>
      <c r="C23" s="116" t="s">
        <v>149</v>
      </c>
      <c r="D23" s="116"/>
      <c r="E23" s="150">
        <v>2.5000000000000001E-3</v>
      </c>
      <c r="F23" s="116"/>
      <c r="G23" s="116"/>
      <c r="H23" s="116" t="s">
        <v>170</v>
      </c>
      <c r="I23" s="116"/>
      <c r="J23" s="155">
        <v>1</v>
      </c>
    </row>
    <row r="24" spans="1:17" x14ac:dyDescent="0.25">
      <c r="B24" s="116"/>
      <c r="C24" s="116"/>
      <c r="D24" s="116"/>
      <c r="E24" s="167"/>
      <c r="F24" s="116"/>
      <c r="G24" s="116"/>
      <c r="H24" s="116"/>
      <c r="I24" s="116"/>
      <c r="J24" s="166"/>
    </row>
    <row r="25" spans="1:17" x14ac:dyDescent="0.25">
      <c r="B25" s="116"/>
      <c r="C25" s="240"/>
      <c r="D25" s="240"/>
      <c r="E25" s="240" t="s">
        <v>197</v>
      </c>
      <c r="F25" s="240"/>
      <c r="H25" s="240"/>
      <c r="I25" s="169"/>
      <c r="J25" s="169" t="s">
        <v>196</v>
      </c>
      <c r="K25" s="169"/>
      <c r="P25" s="169"/>
    </row>
    <row r="26" spans="1:17" x14ac:dyDescent="0.25">
      <c r="B26" s="159"/>
      <c r="C26" s="282">
        <f>C18</f>
        <v>209.24270587870862</v>
      </c>
      <c r="D26" s="241">
        <f>E26-E23</f>
        <v>2.2500000000000003E-2</v>
      </c>
      <c r="E26" s="241">
        <v>2.5000000000000001E-2</v>
      </c>
      <c r="F26" s="241">
        <f>E26+E23</f>
        <v>2.75E-2</v>
      </c>
      <c r="G26" s="239"/>
      <c r="H26" s="282">
        <f>G18</f>
        <v>265.91276777436582</v>
      </c>
      <c r="I26" s="285">
        <f>J26-J23</f>
        <v>14</v>
      </c>
      <c r="J26" s="285">
        <v>15</v>
      </c>
      <c r="K26" s="225">
        <f>J26+J23</f>
        <v>16</v>
      </c>
    </row>
    <row r="27" spans="1:17" x14ac:dyDescent="0.25">
      <c r="B27" s="159"/>
      <c r="C27" s="228">
        <f>C28+$E$22</f>
        <v>7.9389764898078155E-2</v>
      </c>
      <c r="D27" s="280">
        <f t="dataTable" ref="D27:F31" dt2D="1" dtr="1" r1="K18" r2="K17"/>
        <v>151.2261132343576</v>
      </c>
      <c r="E27" s="283">
        <v>158.15088700702529</v>
      </c>
      <c r="F27" s="279">
        <v>165.74291893612028</v>
      </c>
      <c r="G27" s="241"/>
      <c r="H27" s="241">
        <f>C27</f>
        <v>7.9389764898078155E-2</v>
      </c>
      <c r="I27" s="280">
        <f t="dataTable" ref="I27:K31" dt2D="1" dtr="1" r1="G10" r2="K17" ca="1"/>
        <v>237.6800917363488</v>
      </c>
      <c r="J27" s="281">
        <v>254.04926134352192</v>
      </c>
      <c r="K27" s="280">
        <v>270.41843095069504</v>
      </c>
      <c r="N27" s="242"/>
      <c r="P27" s="169"/>
    </row>
    <row r="28" spans="1:17" x14ac:dyDescent="0.25">
      <c r="B28" s="159"/>
      <c r="C28" s="228">
        <f>C29+$E$22</f>
        <v>7.4389764898078151E-2</v>
      </c>
      <c r="D28" s="280">
        <v>172.32825605640267</v>
      </c>
      <c r="E28" s="283">
        <v>181.00525839413629</v>
      </c>
      <c r="F28" s="280">
        <v>190.60751620676879</v>
      </c>
      <c r="G28" s="169"/>
      <c r="H28" s="241">
        <f t="shared" ref="H28:H31" si="3">C28</f>
        <v>7.4389764898078151E-2</v>
      </c>
      <c r="I28" s="280">
        <v>243.19226234548242</v>
      </c>
      <c r="J28" s="281">
        <v>259.90703978156586</v>
      </c>
      <c r="K28" s="280">
        <v>276.62181721764921</v>
      </c>
      <c r="N28" s="243"/>
      <c r="O28" s="47"/>
      <c r="P28" s="47"/>
      <c r="Q28" s="47"/>
    </row>
    <row r="29" spans="1:17" x14ac:dyDescent="0.25">
      <c r="C29" s="228">
        <v>6.9389764898078146E-2</v>
      </c>
      <c r="D29" s="281">
        <v>198.15263836217454</v>
      </c>
      <c r="E29" s="284">
        <v>209.24270587870862</v>
      </c>
      <c r="F29" s="281">
        <v>221.65649382474589</v>
      </c>
      <c r="G29" s="244"/>
      <c r="H29" s="241">
        <f t="shared" si="3"/>
        <v>6.9389764898078146E-2</v>
      </c>
      <c r="I29" s="281">
        <v>248.84342204953975</v>
      </c>
      <c r="J29" s="281">
        <v>265.91276777436582</v>
      </c>
      <c r="K29" s="281">
        <v>282.98211349919188</v>
      </c>
      <c r="N29" s="246"/>
      <c r="O29" s="165"/>
      <c r="P29" s="165"/>
      <c r="Q29" s="165"/>
    </row>
    <row r="30" spans="1:17" x14ac:dyDescent="0.25">
      <c r="C30" s="228">
        <f>C29-$E$22</f>
        <v>6.4389764898078142E-2</v>
      </c>
      <c r="D30" s="280">
        <v>230.40646743120115</v>
      </c>
      <c r="E30" s="281">
        <v>244.93047430936937</v>
      </c>
      <c r="F30" s="280">
        <v>261.42304982958456</v>
      </c>
      <c r="G30" s="245"/>
      <c r="H30" s="241">
        <f t="shared" si="3"/>
        <v>6.4389764898078142E-2</v>
      </c>
      <c r="I30" s="280">
        <v>254.63779157168932</v>
      </c>
      <c r="J30" s="281">
        <v>272.07094189759243</v>
      </c>
      <c r="K30" s="279">
        <v>289.5040922234956</v>
      </c>
      <c r="M30" s="47"/>
      <c r="N30" s="165"/>
      <c r="O30" s="85"/>
      <c r="P30" s="85"/>
      <c r="Q30" s="85"/>
    </row>
    <row r="31" spans="1:17" x14ac:dyDescent="0.25">
      <c r="C31" s="228">
        <f>C30-$E$22</f>
        <v>5.9389764898078144E-2</v>
      </c>
      <c r="D31" s="280">
        <v>271.72369954424249</v>
      </c>
      <c r="E31" s="281">
        <v>291.33931771764497</v>
      </c>
      <c r="F31" s="280">
        <v>314.03047097826044</v>
      </c>
      <c r="G31" s="245"/>
      <c r="H31" s="241">
        <f t="shared" si="3"/>
        <v>5.9389764898078144E-2</v>
      </c>
      <c r="I31" s="280">
        <v>260.57974104382015</v>
      </c>
      <c r="J31" s="281">
        <v>278.38621798096972</v>
      </c>
      <c r="K31" s="279">
        <v>296.19269491811929</v>
      </c>
      <c r="M31" s="47"/>
      <c r="N31" s="165"/>
      <c r="O31" s="85"/>
      <c r="P31" s="85"/>
      <c r="Q31" s="85"/>
    </row>
    <row r="32" spans="1:17" x14ac:dyDescent="0.25">
      <c r="D32" s="47"/>
      <c r="E32" s="147"/>
      <c r="F32" s="226"/>
      <c r="G32" s="245"/>
      <c r="H32" s="227"/>
      <c r="I32" s="227"/>
      <c r="J32" s="227"/>
      <c r="K32" s="247"/>
      <c r="L32" s="147"/>
      <c r="M32" s="47"/>
      <c r="N32" s="165"/>
      <c r="O32" s="85"/>
      <c r="P32" s="85"/>
      <c r="Q32" s="85"/>
    </row>
    <row r="33" spans="2:17" x14ac:dyDescent="0.25">
      <c r="D33" s="47"/>
      <c r="E33" s="222"/>
      <c r="F33" s="226"/>
      <c r="G33" s="245"/>
      <c r="H33" s="227"/>
      <c r="I33" s="227"/>
      <c r="J33" s="227"/>
      <c r="K33" s="242"/>
      <c r="M33" s="47"/>
      <c r="N33" s="165"/>
      <c r="O33" s="85"/>
      <c r="P33" s="85"/>
      <c r="Q33" s="85"/>
    </row>
    <row r="34" spans="2:17" x14ac:dyDescent="0.25">
      <c r="D34" s="47"/>
      <c r="E34" s="222"/>
      <c r="F34" s="226"/>
      <c r="G34" s="245"/>
      <c r="H34" s="227"/>
      <c r="I34" s="227"/>
      <c r="J34" s="227"/>
      <c r="K34" s="242"/>
      <c r="M34" s="47"/>
      <c r="N34" s="165"/>
      <c r="O34" s="85"/>
      <c r="P34" s="85"/>
      <c r="Q34" s="85"/>
    </row>
    <row r="35" spans="2:17" x14ac:dyDescent="0.25">
      <c r="B35" s="248"/>
      <c r="C35" s="248"/>
      <c r="D35" s="248"/>
      <c r="E35" s="249"/>
      <c r="F35" s="250"/>
      <c r="G35" s="249"/>
    </row>
    <row r="36" spans="2:17" x14ac:dyDescent="0.25">
      <c r="B36" s="116"/>
      <c r="C36" s="116"/>
      <c r="D36" s="116"/>
      <c r="E36" s="116"/>
      <c r="F36" s="240"/>
      <c r="G36" s="240"/>
      <c r="H36" s="240"/>
      <c r="I36" s="169"/>
      <c r="J36" s="169"/>
      <c r="P36" s="169"/>
    </row>
    <row r="37" spans="2:17" x14ac:dyDescent="0.25">
      <c r="F37" s="228"/>
      <c r="G37" s="228"/>
      <c r="H37" s="226"/>
      <c r="I37" s="226"/>
      <c r="J37" s="226"/>
      <c r="M37" s="169"/>
      <c r="O37" s="85"/>
      <c r="P37" s="85"/>
      <c r="Q37" s="85"/>
    </row>
    <row r="38" spans="2:17" x14ac:dyDescent="0.25">
      <c r="E38" s="47"/>
      <c r="F38" s="225"/>
      <c r="G38" s="251"/>
      <c r="H38" s="245"/>
      <c r="I38" s="245"/>
      <c r="J38" s="245"/>
      <c r="L38" s="85"/>
      <c r="M38" s="85"/>
      <c r="N38" s="252"/>
      <c r="O38" s="168"/>
      <c r="P38" s="168"/>
      <c r="Q38" s="168"/>
    </row>
    <row r="39" spans="2:17" x14ac:dyDescent="0.25">
      <c r="E39" s="47"/>
      <c r="F39" s="226"/>
      <c r="G39" s="245"/>
      <c r="H39" s="225"/>
      <c r="I39" s="225"/>
      <c r="J39" s="225"/>
      <c r="K39" s="47"/>
      <c r="M39" s="47"/>
      <c r="N39" s="165"/>
      <c r="O39" s="253"/>
      <c r="P39" s="253"/>
      <c r="Q39" s="253"/>
    </row>
    <row r="40" spans="2:17" x14ac:dyDescent="0.25">
      <c r="D40" s="8"/>
      <c r="E40" s="47"/>
      <c r="F40" s="226"/>
      <c r="G40" s="245"/>
      <c r="H40" s="225"/>
      <c r="I40" s="225"/>
      <c r="J40" s="225"/>
      <c r="K40" s="8"/>
      <c r="L40" s="47"/>
      <c r="M40" s="47"/>
      <c r="N40" s="165"/>
      <c r="O40" s="253"/>
      <c r="P40" s="253"/>
      <c r="Q40" s="253"/>
    </row>
    <row r="41" spans="2:17" x14ac:dyDescent="0.25">
      <c r="D41" s="8"/>
      <c r="E41" s="147"/>
      <c r="F41" s="226"/>
      <c r="G41" s="245"/>
      <c r="H41" s="225"/>
      <c r="I41" s="225"/>
      <c r="J41" s="225"/>
      <c r="K41" s="8"/>
      <c r="L41" s="147"/>
      <c r="M41" s="47"/>
      <c r="N41" s="165"/>
      <c r="O41" s="253"/>
      <c r="P41" s="253"/>
      <c r="Q41" s="253"/>
    </row>
    <row r="42" spans="2:17" x14ac:dyDescent="0.25">
      <c r="D42" s="8"/>
      <c r="E42" s="47"/>
      <c r="F42" s="226"/>
      <c r="G42" s="245"/>
      <c r="H42" s="225"/>
      <c r="I42" s="225"/>
      <c r="J42" s="225"/>
      <c r="K42" s="8"/>
      <c r="L42" s="47"/>
      <c r="M42" s="47"/>
      <c r="N42" s="165"/>
      <c r="O42" s="253"/>
      <c r="P42" s="253"/>
      <c r="Q42" s="253"/>
    </row>
    <row r="43" spans="2:17" x14ac:dyDescent="0.25">
      <c r="D43" s="8"/>
      <c r="E43" s="8"/>
      <c r="F43" s="226"/>
      <c r="G43" s="245"/>
      <c r="H43" s="225"/>
      <c r="I43" s="225"/>
      <c r="J43" s="225"/>
      <c r="K43" s="8"/>
      <c r="L43" s="47"/>
      <c r="M43" s="47"/>
      <c r="N43" s="165"/>
      <c r="O43" s="253"/>
      <c r="P43" s="253"/>
      <c r="Q43" s="253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purl.org/dc/dcmitype/"/>
    <ds:schemaRef ds:uri="88a26cf8-717e-46a4-ac0d-03f11284d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2025-12-11T20:23:37Z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