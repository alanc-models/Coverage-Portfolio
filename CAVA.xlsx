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0" documentId="13_ncr:1_{53B018AB-556E-49FF-93D5-E23EE385B0FA}" xr6:coauthVersionLast="47" xr6:coauthVersionMax="47" xr10:uidLastSave="{00000000-0000-0000-0000-000000000000}"/>
  <bookViews>
    <workbookView xWindow="-105" yWindow="0" windowWidth="19410" windowHeight="21705" tabRatio="808" firstSheet="2" activeTab="10" xr2:uid="{00000000-000D-0000-FFFF-FFFF00000000}"/>
  </bookViews>
  <sheets>
    <sheet name="MAIN" sheetId="3" r:id="rId1"/>
    <sheet name="Quarterly Projections" sheetId="32" r:id="rId2"/>
    <sheet name="Assumptions" sheetId="13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</sheets>
  <externalReferences>
    <externalReference r:id="rId12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2" l="1"/>
  <c r="H31" i="12"/>
  <c r="H28" i="12"/>
  <c r="H27" i="12"/>
  <c r="H29" i="12"/>
  <c r="K26" i="12"/>
  <c r="I26" i="12"/>
  <c r="C31" i="12"/>
  <c r="C30" i="12"/>
  <c r="C27" i="12"/>
  <c r="C28" i="12"/>
  <c r="F26" i="12"/>
  <c r="D26" i="12"/>
  <c r="G17" i="12"/>
  <c r="G13" i="12"/>
  <c r="G12" i="12"/>
  <c r="C17" i="12"/>
  <c r="C13" i="12"/>
  <c r="C12" i="12"/>
  <c r="G3" i="10"/>
  <c r="H3" i="10"/>
  <c r="I3" i="10"/>
  <c r="J3" i="10"/>
  <c r="K3" i="10"/>
  <c r="L3" i="10"/>
  <c r="G4" i="10"/>
  <c r="H4" i="10"/>
  <c r="I4" i="10"/>
  <c r="J4" i="10"/>
  <c r="K4" i="10"/>
  <c r="L4" i="10"/>
  <c r="G5" i="10"/>
  <c r="H5" i="10"/>
  <c r="I5" i="10"/>
  <c r="J5" i="10"/>
  <c r="K5" i="10"/>
  <c r="L5" i="10"/>
  <c r="G7" i="10"/>
  <c r="H7" i="10"/>
  <c r="I7" i="10"/>
  <c r="J7" i="10"/>
  <c r="K7" i="10"/>
  <c r="L7" i="10"/>
  <c r="G8" i="10"/>
  <c r="H8" i="10"/>
  <c r="I8" i="10"/>
  <c r="J8" i="10"/>
  <c r="K8" i="10"/>
  <c r="L8" i="10"/>
  <c r="G9" i="10"/>
  <c r="H9" i="10"/>
  <c r="I9" i="10"/>
  <c r="J9" i="10"/>
  <c r="K9" i="10"/>
  <c r="L9" i="10"/>
  <c r="G10" i="10"/>
  <c r="H10" i="10"/>
  <c r="I10" i="10"/>
  <c r="J10" i="10"/>
  <c r="K10" i="10"/>
  <c r="L10" i="10"/>
  <c r="G12" i="10"/>
  <c r="H12" i="10"/>
  <c r="I12" i="10"/>
  <c r="J12" i="10"/>
  <c r="K12" i="10"/>
  <c r="L12" i="10"/>
  <c r="G13" i="10"/>
  <c r="H13" i="10"/>
  <c r="I13" i="10"/>
  <c r="J13" i="10"/>
  <c r="K13" i="10"/>
  <c r="L13" i="10"/>
  <c r="F13" i="10"/>
  <c r="F12" i="10"/>
  <c r="F10" i="10"/>
  <c r="F9" i="10"/>
  <c r="F8" i="10"/>
  <c r="G4" i="9"/>
  <c r="H4" i="9"/>
  <c r="I4" i="9"/>
  <c r="J4" i="9"/>
  <c r="K4" i="9"/>
  <c r="L4" i="9"/>
  <c r="G5" i="9"/>
  <c r="H5" i="9"/>
  <c r="I5" i="9"/>
  <c r="J5" i="9"/>
  <c r="K5" i="9"/>
  <c r="L5" i="9"/>
  <c r="G6" i="9"/>
  <c r="H6" i="9"/>
  <c r="I6" i="9"/>
  <c r="J6" i="9"/>
  <c r="K6" i="9"/>
  <c r="L6" i="9"/>
  <c r="G8" i="9"/>
  <c r="H8" i="9"/>
  <c r="I8" i="9"/>
  <c r="J8" i="9"/>
  <c r="K8" i="9"/>
  <c r="L8" i="9"/>
  <c r="G11" i="9"/>
  <c r="H11" i="9"/>
  <c r="I11" i="9"/>
  <c r="J11" i="9"/>
  <c r="K11" i="9"/>
  <c r="L11" i="9"/>
  <c r="G12" i="9"/>
  <c r="H12" i="9"/>
  <c r="I12" i="9"/>
  <c r="J12" i="9"/>
  <c r="K12" i="9"/>
  <c r="L12" i="9"/>
  <c r="G17" i="9"/>
  <c r="H17" i="9"/>
  <c r="I17" i="9"/>
  <c r="J17" i="9"/>
  <c r="K17" i="9"/>
  <c r="L17" i="9"/>
  <c r="G15" i="8"/>
  <c r="H15" i="8"/>
  <c r="I15" i="8"/>
  <c r="J15" i="8"/>
  <c r="K15" i="8"/>
  <c r="L15" i="8"/>
  <c r="G16" i="8"/>
  <c r="H16" i="8"/>
  <c r="I16" i="8"/>
  <c r="J16" i="8"/>
  <c r="K16" i="8"/>
  <c r="L16" i="8"/>
  <c r="G18" i="8"/>
  <c r="G19" i="5" s="1"/>
  <c r="H18" i="8"/>
  <c r="H19" i="5" s="1"/>
  <c r="I18" i="8"/>
  <c r="I19" i="5" s="1"/>
  <c r="J18" i="8"/>
  <c r="J19" i="5" s="1"/>
  <c r="K18" i="8"/>
  <c r="K19" i="5" s="1"/>
  <c r="L18" i="8"/>
  <c r="L19" i="5" s="1"/>
  <c r="G19" i="8"/>
  <c r="G20" i="5" s="1"/>
  <c r="H19" i="8"/>
  <c r="H20" i="5" s="1"/>
  <c r="I19" i="8"/>
  <c r="J19" i="8"/>
  <c r="J20" i="5" s="1"/>
  <c r="K19" i="8"/>
  <c r="K20" i="5" s="1"/>
  <c r="L19" i="8"/>
  <c r="L20" i="5" s="1"/>
  <c r="G20" i="8"/>
  <c r="G21" i="5" s="1"/>
  <c r="H20" i="8"/>
  <c r="H21" i="5" s="1"/>
  <c r="I20" i="8"/>
  <c r="I21" i="5" s="1"/>
  <c r="J20" i="8"/>
  <c r="J21" i="5" s="1"/>
  <c r="K20" i="8"/>
  <c r="K21" i="5" s="1"/>
  <c r="L20" i="8"/>
  <c r="L21" i="5" s="1"/>
  <c r="G23" i="8"/>
  <c r="H23" i="8"/>
  <c r="I23" i="8"/>
  <c r="J23" i="8"/>
  <c r="K23" i="8"/>
  <c r="L23" i="8"/>
  <c r="G24" i="8"/>
  <c r="H24" i="8" s="1"/>
  <c r="G31" i="8"/>
  <c r="G22" i="5" s="1"/>
  <c r="H31" i="8"/>
  <c r="I31" i="8"/>
  <c r="I22" i="5" s="1"/>
  <c r="J31" i="8"/>
  <c r="J22" i="5" s="1"/>
  <c r="K31" i="8"/>
  <c r="K22" i="5" s="1"/>
  <c r="L31" i="8"/>
  <c r="L22" i="5" s="1"/>
  <c r="G32" i="8"/>
  <c r="G23" i="5" s="1"/>
  <c r="H32" i="8"/>
  <c r="H23" i="5" s="1"/>
  <c r="I32" i="8"/>
  <c r="I23" i="5" s="1"/>
  <c r="J32" i="8"/>
  <c r="J23" i="5" s="1"/>
  <c r="K32" i="8"/>
  <c r="K23" i="5" s="1"/>
  <c r="L32" i="8"/>
  <c r="L23" i="5" s="1"/>
  <c r="G36" i="8"/>
  <c r="H36" i="8"/>
  <c r="I36" i="8"/>
  <c r="J36" i="8"/>
  <c r="K36" i="8"/>
  <c r="L36" i="8"/>
  <c r="G37" i="8"/>
  <c r="H37" i="8"/>
  <c r="I37" i="8"/>
  <c r="J37" i="8"/>
  <c r="K37" i="8"/>
  <c r="L37" i="8"/>
  <c r="D35" i="7"/>
  <c r="E35" i="7" s="1"/>
  <c r="F35" i="7" s="1"/>
  <c r="G35" i="7" s="1"/>
  <c r="H35" i="7" s="1"/>
  <c r="I35" i="7" s="1"/>
  <c r="J35" i="7" s="1"/>
  <c r="K35" i="7" s="1"/>
  <c r="L35" i="7" s="1"/>
  <c r="E14" i="7"/>
  <c r="F14" i="7"/>
  <c r="G14" i="7"/>
  <c r="H14" i="7"/>
  <c r="I14" i="7"/>
  <c r="J14" i="7"/>
  <c r="K14" i="7"/>
  <c r="L14" i="7"/>
  <c r="D14" i="7"/>
  <c r="G15" i="7"/>
  <c r="G7" i="5" s="1"/>
  <c r="H15" i="7"/>
  <c r="H7" i="5" s="1"/>
  <c r="I15" i="7"/>
  <c r="I7" i="5" s="1"/>
  <c r="J15" i="7"/>
  <c r="J7" i="5" s="1"/>
  <c r="K15" i="7"/>
  <c r="K7" i="5" s="1"/>
  <c r="L15" i="7"/>
  <c r="G16" i="7"/>
  <c r="H16" i="7"/>
  <c r="I16" i="7"/>
  <c r="J16" i="7"/>
  <c r="K16" i="7"/>
  <c r="L16" i="7"/>
  <c r="G17" i="7"/>
  <c r="H17" i="7"/>
  <c r="I17" i="7"/>
  <c r="J17" i="7"/>
  <c r="K17" i="7"/>
  <c r="L17" i="7"/>
  <c r="G18" i="7"/>
  <c r="H18" i="7"/>
  <c r="I18" i="7"/>
  <c r="J18" i="7"/>
  <c r="K18" i="7"/>
  <c r="G20" i="7"/>
  <c r="G21" i="7"/>
  <c r="H21" i="7"/>
  <c r="I21" i="7"/>
  <c r="J21" i="7"/>
  <c r="K21" i="7"/>
  <c r="L21" i="7"/>
  <c r="G24" i="7"/>
  <c r="H24" i="7"/>
  <c r="I24" i="7"/>
  <c r="J24" i="7"/>
  <c r="K24" i="7"/>
  <c r="L24" i="7"/>
  <c r="G25" i="7"/>
  <c r="H25" i="7"/>
  <c r="I25" i="7"/>
  <c r="J25" i="7"/>
  <c r="K25" i="7"/>
  <c r="L25" i="7"/>
  <c r="G27" i="7"/>
  <c r="H27" i="7"/>
  <c r="I27" i="7"/>
  <c r="J27" i="7"/>
  <c r="K27" i="7"/>
  <c r="L27" i="7"/>
  <c r="G28" i="7"/>
  <c r="H28" i="7"/>
  <c r="I28" i="7"/>
  <c r="J28" i="7"/>
  <c r="K28" i="7"/>
  <c r="L28" i="7"/>
  <c r="G36" i="7"/>
  <c r="H36" i="7"/>
  <c r="I36" i="7"/>
  <c r="J36" i="7"/>
  <c r="K36" i="7"/>
  <c r="L36" i="7"/>
  <c r="G37" i="7"/>
  <c r="H37" i="7"/>
  <c r="I37" i="7"/>
  <c r="J37" i="7"/>
  <c r="K37" i="7"/>
  <c r="L37" i="7"/>
  <c r="G24" i="6"/>
  <c r="H24" i="6"/>
  <c r="I24" i="6"/>
  <c r="J24" i="6"/>
  <c r="K24" i="6"/>
  <c r="L24" i="6"/>
  <c r="G30" i="6"/>
  <c r="H30" i="6"/>
  <c r="I30" i="6"/>
  <c r="J30" i="6"/>
  <c r="K30" i="6"/>
  <c r="L30" i="6"/>
  <c r="G32" i="6"/>
  <c r="H32" i="6"/>
  <c r="I32" i="6"/>
  <c r="J32" i="6"/>
  <c r="K32" i="6"/>
  <c r="L32" i="6"/>
  <c r="G6" i="5"/>
  <c r="G10" i="5"/>
  <c r="H10" i="5"/>
  <c r="I10" i="5"/>
  <c r="J10" i="5"/>
  <c r="K10" i="5"/>
  <c r="L10" i="5"/>
  <c r="G11" i="5"/>
  <c r="H11" i="5"/>
  <c r="I11" i="5"/>
  <c r="J11" i="5"/>
  <c r="K11" i="5"/>
  <c r="L11" i="5"/>
  <c r="G15" i="5"/>
  <c r="H15" i="5"/>
  <c r="I15" i="5"/>
  <c r="J15" i="5"/>
  <c r="K15" i="5"/>
  <c r="L15" i="5"/>
  <c r="G17" i="5"/>
  <c r="H17" i="5"/>
  <c r="I17" i="5"/>
  <c r="J17" i="5"/>
  <c r="K17" i="5"/>
  <c r="L17" i="5"/>
  <c r="F28" i="7"/>
  <c r="F27" i="7"/>
  <c r="F30" i="7" s="1"/>
  <c r="F32" i="6"/>
  <c r="F21" i="9"/>
  <c r="B22" i="9"/>
  <c r="F17" i="9"/>
  <c r="F12" i="9"/>
  <c r="F11" i="9"/>
  <c r="F8" i="9"/>
  <c r="F6" i="9"/>
  <c r="F5" i="9"/>
  <c r="F4" i="9"/>
  <c r="F25" i="5"/>
  <c r="F24" i="5"/>
  <c r="E24" i="5"/>
  <c r="F23" i="5"/>
  <c r="F22" i="5"/>
  <c r="F21" i="5"/>
  <c r="F20" i="5"/>
  <c r="F19" i="5"/>
  <c r="F18" i="5"/>
  <c r="E23" i="5"/>
  <c r="E22" i="5"/>
  <c r="E20" i="5"/>
  <c r="E21" i="5"/>
  <c r="E19" i="5"/>
  <c r="E18" i="5"/>
  <c r="F36" i="8"/>
  <c r="F32" i="8"/>
  <c r="F31" i="8"/>
  <c r="F20" i="7"/>
  <c r="F24" i="8"/>
  <c r="F23" i="8"/>
  <c r="F15" i="5"/>
  <c r="F13" i="5"/>
  <c r="E16" i="5"/>
  <c r="F9" i="5"/>
  <c r="G31" i="13"/>
  <c r="H31" i="13"/>
  <c r="I31" i="13"/>
  <c r="J31" i="13"/>
  <c r="K31" i="13"/>
  <c r="L31" i="13"/>
  <c r="F31" i="13"/>
  <c r="F8" i="5"/>
  <c r="F6" i="5"/>
  <c r="E9" i="5"/>
  <c r="F20" i="8"/>
  <c r="F19" i="8"/>
  <c r="F18" i="8"/>
  <c r="F16" i="8"/>
  <c r="F37" i="7"/>
  <c r="F36" i="7"/>
  <c r="F22" i="7"/>
  <c r="F24" i="7"/>
  <c r="F21" i="7"/>
  <c r="F18" i="7"/>
  <c r="F17" i="7"/>
  <c r="G6" i="13"/>
  <c r="H6" i="13" s="1"/>
  <c r="I6" i="13" s="1"/>
  <c r="J6" i="13" s="1"/>
  <c r="K6" i="13" s="1"/>
  <c r="E24" i="13"/>
  <c r="C31" i="13"/>
  <c r="D31" i="13"/>
  <c r="E31" i="13"/>
  <c r="C36" i="8"/>
  <c r="C31" i="8"/>
  <c r="C24" i="8"/>
  <c r="C23" i="8"/>
  <c r="C18" i="8"/>
  <c r="C17" i="8"/>
  <c r="D36" i="8"/>
  <c r="E36" i="8"/>
  <c r="D31" i="8"/>
  <c r="E31" i="8"/>
  <c r="D24" i="8"/>
  <c r="D23" i="8"/>
  <c r="E25" i="8"/>
  <c r="E24" i="8"/>
  <c r="E23" i="8"/>
  <c r="D18" i="8"/>
  <c r="E18" i="8"/>
  <c r="D16" i="8"/>
  <c r="D17" i="8" s="1"/>
  <c r="C16" i="8"/>
  <c r="E16" i="8"/>
  <c r="E17" i="8" s="1"/>
  <c r="K2" i="10"/>
  <c r="L2" i="10" s="1"/>
  <c r="K2" i="9"/>
  <c r="L2" i="9" s="1"/>
  <c r="K8" i="7"/>
  <c r="L8" i="7"/>
  <c r="K9" i="7"/>
  <c r="L9" i="7"/>
  <c r="K2" i="6"/>
  <c r="K8" i="6"/>
  <c r="L8" i="6"/>
  <c r="K9" i="6"/>
  <c r="L9" i="6"/>
  <c r="E2" i="6"/>
  <c r="F2" i="6" s="1"/>
  <c r="G2" i="6" s="1"/>
  <c r="H2" i="6" s="1"/>
  <c r="I2" i="6" s="1"/>
  <c r="J2" i="6" s="1"/>
  <c r="D2" i="6"/>
  <c r="C17" i="7"/>
  <c r="D17" i="7"/>
  <c r="E17" i="7"/>
  <c r="F7" i="3"/>
  <c r="F5" i="3"/>
  <c r="G18" i="5" l="1"/>
  <c r="G24" i="5" s="1"/>
  <c r="H18" i="5"/>
  <c r="I18" i="5"/>
  <c r="J18" i="5"/>
  <c r="J24" i="5" s="1"/>
  <c r="K25" i="5" s="1"/>
  <c r="K18" i="5"/>
  <c r="K24" i="5" s="1"/>
  <c r="L25" i="5" s="1"/>
  <c r="L18" i="5"/>
  <c r="L24" i="5" s="1"/>
  <c r="I20" i="5"/>
  <c r="I24" i="5" s="1"/>
  <c r="J25" i="5" s="1"/>
  <c r="I24" i="8"/>
  <c r="H22" i="5"/>
  <c r="L18" i="7"/>
  <c r="L7" i="5"/>
  <c r="G22" i="7"/>
  <c r="G30" i="7"/>
  <c r="H30" i="7"/>
  <c r="I30" i="7"/>
  <c r="J30" i="7"/>
  <c r="K30" i="7"/>
  <c r="G8" i="5"/>
  <c r="G9" i="5"/>
  <c r="H6" i="5" s="1"/>
  <c r="G25" i="5"/>
  <c r="F32" i="7"/>
  <c r="F33" i="7" s="1"/>
  <c r="K8" i="13"/>
  <c r="K10" i="13"/>
  <c r="K4" i="7" s="1"/>
  <c r="L6" i="13"/>
  <c r="K7" i="13"/>
  <c r="K11" i="6"/>
  <c r="L2" i="6"/>
  <c r="L11" i="6" s="1"/>
  <c r="E14" i="13"/>
  <c r="D39" i="13"/>
  <c r="D14" i="13"/>
  <c r="E46" i="13"/>
  <c r="F46" i="13" s="1"/>
  <c r="F11" i="8" s="1"/>
  <c r="E12" i="13"/>
  <c r="F12" i="13" s="1"/>
  <c r="G12" i="13" s="1"/>
  <c r="H12" i="13" s="1"/>
  <c r="I12" i="13" s="1"/>
  <c r="J12" i="13" s="1"/>
  <c r="K12" i="13" s="1"/>
  <c r="L12" i="13" s="1"/>
  <c r="D10" i="13"/>
  <c r="E10" i="13"/>
  <c r="D32" i="13"/>
  <c r="E32" i="13"/>
  <c r="F32" i="13" s="1"/>
  <c r="G32" i="13" s="1"/>
  <c r="H32" i="13" s="1"/>
  <c r="I32" i="13" s="1"/>
  <c r="J32" i="13" s="1"/>
  <c r="K32" i="13" s="1"/>
  <c r="L32" i="13" s="1"/>
  <c r="E48" i="13"/>
  <c r="D48" i="13"/>
  <c r="C48" i="13"/>
  <c r="E47" i="13"/>
  <c r="D47" i="13"/>
  <c r="C47" i="13"/>
  <c r="C46" i="13"/>
  <c r="E42" i="13"/>
  <c r="D42" i="13"/>
  <c r="C42" i="13"/>
  <c r="E40" i="13"/>
  <c r="F40" i="13" s="1"/>
  <c r="D40" i="13"/>
  <c r="C40" i="13"/>
  <c r="C39" i="13"/>
  <c r="E38" i="13"/>
  <c r="D38" i="13"/>
  <c r="C38" i="13"/>
  <c r="E37" i="13"/>
  <c r="D37" i="13"/>
  <c r="C37" i="13"/>
  <c r="E15" i="13"/>
  <c r="D15" i="13"/>
  <c r="C15" i="13"/>
  <c r="C14" i="13"/>
  <c r="E13" i="13"/>
  <c r="F13" i="13" s="1"/>
  <c r="F7" i="7" s="1"/>
  <c r="D13" i="13"/>
  <c r="C13" i="13"/>
  <c r="D12" i="13"/>
  <c r="C12" i="13"/>
  <c r="C11" i="13"/>
  <c r="E18" i="13"/>
  <c r="D18" i="13"/>
  <c r="C18" i="13"/>
  <c r="E17" i="13"/>
  <c r="D17" i="13"/>
  <c r="C17" i="13"/>
  <c r="F4" i="10"/>
  <c r="F6" i="3"/>
  <c r="G8" i="13"/>
  <c r="H8" i="13"/>
  <c r="I8" i="13"/>
  <c r="J8" i="13"/>
  <c r="F8" i="13"/>
  <c r="G7" i="13"/>
  <c r="H7" i="13"/>
  <c r="I7" i="13"/>
  <c r="J7" i="13"/>
  <c r="F7" i="13"/>
  <c r="D2" i="8"/>
  <c r="D2" i="7"/>
  <c r="E2" i="7" s="1"/>
  <c r="F2" i="7" s="1"/>
  <c r="G2" i="7" s="1"/>
  <c r="H2" i="7" s="1"/>
  <c r="I2" i="7" s="1"/>
  <c r="J2" i="7" s="1"/>
  <c r="K2" i="7" s="1"/>
  <c r="L2" i="7" s="1"/>
  <c r="D11" i="6"/>
  <c r="D16" i="6" s="1"/>
  <c r="D24" i="6" s="1"/>
  <c r="C20" i="13"/>
  <c r="C29" i="13" s="1"/>
  <c r="C35" i="13" s="1"/>
  <c r="C44" i="13" s="1"/>
  <c r="D2" i="13"/>
  <c r="E2" i="13" s="1"/>
  <c r="G8" i="7"/>
  <c r="H8" i="7"/>
  <c r="I8" i="7"/>
  <c r="J8" i="7"/>
  <c r="G9" i="7"/>
  <c r="H9" i="7"/>
  <c r="I9" i="7"/>
  <c r="J9" i="7"/>
  <c r="A1" i="10"/>
  <c r="C21" i="8"/>
  <c r="D21" i="8"/>
  <c r="E21" i="8"/>
  <c r="D26" i="8"/>
  <c r="C26" i="8"/>
  <c r="E26" i="8"/>
  <c r="E33" i="8"/>
  <c r="C33" i="8"/>
  <c r="D33" i="8"/>
  <c r="C37" i="8"/>
  <c r="D37" i="8"/>
  <c r="D40" i="8" s="1"/>
  <c r="E37" i="8"/>
  <c r="C10" i="5"/>
  <c r="C17" i="5" s="1"/>
  <c r="D2" i="5"/>
  <c r="E2" i="5" s="1"/>
  <c r="G10" i="13"/>
  <c r="G4" i="7" s="1"/>
  <c r="H10" i="13"/>
  <c r="H4" i="7" s="1"/>
  <c r="I10" i="13"/>
  <c r="I4" i="7" s="1"/>
  <c r="J10" i="13"/>
  <c r="J4" i="7" s="1"/>
  <c r="F3" i="5"/>
  <c r="F7" i="5" s="1"/>
  <c r="C11" i="6"/>
  <c r="C30" i="6" s="1"/>
  <c r="F23" i="13"/>
  <c r="F22" i="13"/>
  <c r="F4" i="6" s="1"/>
  <c r="F24" i="13"/>
  <c r="F6" i="6" s="1"/>
  <c r="D2" i="10"/>
  <c r="E2" i="10" s="1"/>
  <c r="F2" i="10" s="1"/>
  <c r="G2" i="10" s="1"/>
  <c r="H2" i="10" s="1"/>
  <c r="I2" i="10" s="1"/>
  <c r="J2" i="10" s="1"/>
  <c r="D2" i="9"/>
  <c r="E2" i="9"/>
  <c r="F2" i="9"/>
  <c r="G2" i="9"/>
  <c r="H2" i="9"/>
  <c r="I2" i="9"/>
  <c r="J2" i="9"/>
  <c r="C15" i="8"/>
  <c r="F9" i="7"/>
  <c r="A1" i="3"/>
  <c r="A1" i="13"/>
  <c r="A1" i="5"/>
  <c r="A1" i="6"/>
  <c r="A1" i="7"/>
  <c r="A1" i="8"/>
  <c r="A1" i="9"/>
  <c r="A1" i="11"/>
  <c r="A1" i="12"/>
  <c r="C18" i="7"/>
  <c r="C30" i="7" s="1"/>
  <c r="C16" i="13" s="1"/>
  <c r="F8" i="6"/>
  <c r="F11" i="5"/>
  <c r="B19" i="5"/>
  <c r="B20" i="5"/>
  <c r="F9" i="6"/>
  <c r="G9" i="6"/>
  <c r="H9" i="6"/>
  <c r="I9" i="6"/>
  <c r="J9" i="6"/>
  <c r="J8" i="6"/>
  <c r="I8" i="6"/>
  <c r="H8" i="6"/>
  <c r="G8" i="6"/>
  <c r="E2" i="12"/>
  <c r="F8" i="7"/>
  <c r="F2" i="12" l="1"/>
  <c r="J24" i="8"/>
  <c r="H24" i="5"/>
  <c r="L30" i="7"/>
  <c r="G32" i="7"/>
  <c r="G33" i="7" s="1"/>
  <c r="H32" i="7"/>
  <c r="H33" i="7" s="1"/>
  <c r="I32" i="7"/>
  <c r="I33" i="7" s="1"/>
  <c r="J32" i="7"/>
  <c r="J33" i="7" s="1"/>
  <c r="K32" i="7"/>
  <c r="K33" i="7" s="1"/>
  <c r="H8" i="5"/>
  <c r="F38" i="7"/>
  <c r="F39" i="7"/>
  <c r="F14" i="5"/>
  <c r="F16" i="5" s="1"/>
  <c r="L10" i="13"/>
  <c r="L4" i="7" s="1"/>
  <c r="L8" i="13"/>
  <c r="L7" i="13"/>
  <c r="C40" i="8"/>
  <c r="E2" i="8"/>
  <c r="D15" i="8"/>
  <c r="K16" i="6"/>
  <c r="L16" i="6"/>
  <c r="G23" i="13"/>
  <c r="E11" i="11"/>
  <c r="C22" i="7"/>
  <c r="C33" i="7"/>
  <c r="D11" i="13"/>
  <c r="D46" i="13"/>
  <c r="D18" i="7"/>
  <c r="D22" i="7" s="1"/>
  <c r="E39" i="13"/>
  <c r="F39" i="13" s="1"/>
  <c r="F6" i="8" s="1"/>
  <c r="E11" i="13"/>
  <c r="F11" i="13" s="1"/>
  <c r="G11" i="13" s="1"/>
  <c r="H11" i="13" s="1"/>
  <c r="I11" i="13" s="1"/>
  <c r="J11" i="13" s="1"/>
  <c r="K11" i="13" s="1"/>
  <c r="L11" i="13" s="1"/>
  <c r="E10" i="11"/>
  <c r="F9" i="3"/>
  <c r="D20" i="13"/>
  <c r="D29" i="13" s="1"/>
  <c r="D35" i="13" s="1"/>
  <c r="D44" i="13" s="1"/>
  <c r="F2" i="13"/>
  <c r="E20" i="13"/>
  <c r="E29" i="13" s="1"/>
  <c r="E35" i="13" s="1"/>
  <c r="E44" i="13" s="1"/>
  <c r="F11" i="6"/>
  <c r="F30" i="6" s="1"/>
  <c r="E11" i="6"/>
  <c r="E16" i="6" s="1"/>
  <c r="E24" i="6" s="1"/>
  <c r="E30" i="6"/>
  <c r="F5" i="6"/>
  <c r="G24" i="13"/>
  <c r="G6" i="6" s="1"/>
  <c r="G46" i="13"/>
  <c r="G13" i="13"/>
  <c r="G22" i="13"/>
  <c r="G4" i="6" s="1"/>
  <c r="D10" i="5"/>
  <c r="D17" i="5" s="1"/>
  <c r="E10" i="5"/>
  <c r="E17" i="5" s="1"/>
  <c r="F2" i="5"/>
  <c r="D30" i="6"/>
  <c r="D28" i="8"/>
  <c r="D42" i="8" s="1"/>
  <c r="C16" i="6"/>
  <c r="C24" i="6" s="1"/>
  <c r="E40" i="8"/>
  <c r="E28" i="8"/>
  <c r="C28" i="8"/>
  <c r="F4" i="5"/>
  <c r="G4" i="5" s="1"/>
  <c r="H4" i="5" s="1"/>
  <c r="I4" i="5" s="1"/>
  <c r="J4" i="5" s="1"/>
  <c r="K4" i="5" s="1"/>
  <c r="L4" i="5" s="1"/>
  <c r="F7" i="8"/>
  <c r="G40" i="13"/>
  <c r="F37" i="13"/>
  <c r="F47" i="13"/>
  <c r="F38" i="13"/>
  <c r="E18" i="7"/>
  <c r="E22" i="7" s="1"/>
  <c r="F48" i="13"/>
  <c r="F39" i="8" l="1"/>
  <c r="G13" i="5"/>
  <c r="G2" i="12"/>
  <c r="K24" i="8"/>
  <c r="H25" i="5"/>
  <c r="I25" i="5"/>
  <c r="L32" i="7"/>
  <c r="L33" i="7" s="1"/>
  <c r="G14" i="5"/>
  <c r="G39" i="7"/>
  <c r="G38" i="7"/>
  <c r="H14" i="5"/>
  <c r="H39" i="7"/>
  <c r="H38" i="7"/>
  <c r="I14" i="5"/>
  <c r="I39" i="7"/>
  <c r="I38" i="7"/>
  <c r="J14" i="5"/>
  <c r="J39" i="7"/>
  <c r="J38" i="7"/>
  <c r="K3" i="9"/>
  <c r="K14" i="5"/>
  <c r="K39" i="7"/>
  <c r="K38" i="7"/>
  <c r="H9" i="5"/>
  <c r="I6" i="5" s="1"/>
  <c r="H20" i="7"/>
  <c r="H22" i="7" s="1"/>
  <c r="I8" i="5"/>
  <c r="C42" i="8"/>
  <c r="E15" i="8"/>
  <c r="F2" i="8"/>
  <c r="G5" i="6"/>
  <c r="H23" i="13"/>
  <c r="C38" i="7"/>
  <c r="C39" i="7"/>
  <c r="D30" i="7"/>
  <c r="G39" i="13"/>
  <c r="H39" i="13" s="1"/>
  <c r="H6" i="8" s="1"/>
  <c r="G2" i="13"/>
  <c r="F20" i="13"/>
  <c r="F29" i="13" s="1"/>
  <c r="F35" i="13" s="1"/>
  <c r="F44" i="13" s="1"/>
  <c r="F15" i="8"/>
  <c r="G2" i="8"/>
  <c r="G11" i="6"/>
  <c r="F16" i="6"/>
  <c r="F24" i="6" s="1"/>
  <c r="E42" i="8"/>
  <c r="H24" i="13"/>
  <c r="I24" i="13" s="1"/>
  <c r="H22" i="13"/>
  <c r="H13" i="13"/>
  <c r="G7" i="7"/>
  <c r="G11" i="8"/>
  <c r="H46" i="13"/>
  <c r="G2" i="5"/>
  <c r="F10" i="5"/>
  <c r="F17" i="5" s="1"/>
  <c r="G3" i="5"/>
  <c r="F5" i="8"/>
  <c r="G38" i="13"/>
  <c r="G37" i="13"/>
  <c r="H37" i="13" s="1"/>
  <c r="I37" i="13" s="1"/>
  <c r="J37" i="13" s="1"/>
  <c r="K37" i="13" s="1"/>
  <c r="L37" i="13" s="1"/>
  <c r="F4" i="8"/>
  <c r="F13" i="8"/>
  <c r="G48" i="13"/>
  <c r="G42" i="13"/>
  <c r="F9" i="8"/>
  <c r="F25" i="8" s="1"/>
  <c r="E30" i="7"/>
  <c r="F12" i="8"/>
  <c r="G47" i="13"/>
  <c r="G7" i="8"/>
  <c r="H40" i="13"/>
  <c r="G16" i="5" l="1"/>
  <c r="H13" i="5" s="1"/>
  <c r="H16" i="5" s="1"/>
  <c r="F7" i="9"/>
  <c r="F11" i="10" s="1"/>
  <c r="H2" i="12"/>
  <c r="L24" i="8"/>
  <c r="G39" i="8"/>
  <c r="L3" i="9"/>
  <c r="L14" i="5"/>
  <c r="L39" i="7"/>
  <c r="L38" i="7"/>
  <c r="I9" i="5"/>
  <c r="J6" i="5" s="1"/>
  <c r="I20" i="7"/>
  <c r="I22" i="7" s="1"/>
  <c r="J8" i="5"/>
  <c r="H5" i="6"/>
  <c r="I23" i="13"/>
  <c r="I5" i="6" s="1"/>
  <c r="H4" i="6"/>
  <c r="I22" i="13"/>
  <c r="I39" i="13"/>
  <c r="G6" i="8"/>
  <c r="D33" i="7"/>
  <c r="D16" i="13"/>
  <c r="E33" i="7"/>
  <c r="E16" i="13"/>
  <c r="H2" i="13"/>
  <c r="G20" i="13"/>
  <c r="G29" i="13" s="1"/>
  <c r="G35" i="13" s="1"/>
  <c r="G44" i="13" s="1"/>
  <c r="H2" i="8"/>
  <c r="G16" i="6"/>
  <c r="H11" i="6"/>
  <c r="H6" i="6"/>
  <c r="J23" i="13"/>
  <c r="K23" i="13" s="1"/>
  <c r="H11" i="8"/>
  <c r="I46" i="13"/>
  <c r="G5" i="7"/>
  <c r="I13" i="13"/>
  <c r="H7" i="7"/>
  <c r="G6" i="7"/>
  <c r="H2" i="5"/>
  <c r="H3" i="5"/>
  <c r="J24" i="13"/>
  <c r="K24" i="13" s="1"/>
  <c r="I6" i="6"/>
  <c r="F26" i="8"/>
  <c r="H47" i="13"/>
  <c r="G12" i="8"/>
  <c r="F5" i="7"/>
  <c r="H42" i="13"/>
  <c r="G9" i="8"/>
  <c r="G25" i="8" s="1"/>
  <c r="H48" i="13"/>
  <c r="G13" i="8"/>
  <c r="F37" i="8"/>
  <c r="I40" i="13"/>
  <c r="H7" i="8"/>
  <c r="F6" i="7"/>
  <c r="G4" i="8"/>
  <c r="H38" i="13"/>
  <c r="G5" i="8"/>
  <c r="G7" i="9" l="1"/>
  <c r="G11" i="10" s="1"/>
  <c r="G15" i="10" s="1"/>
  <c r="G26" i="8"/>
  <c r="I2" i="12"/>
  <c r="H39" i="8"/>
  <c r="I13" i="5"/>
  <c r="I16" i="5" s="1"/>
  <c r="J9" i="5"/>
  <c r="K6" i="5" s="1"/>
  <c r="J20" i="7"/>
  <c r="J22" i="7" s="1"/>
  <c r="K8" i="5"/>
  <c r="L23" i="13"/>
  <c r="L5" i="6" s="1"/>
  <c r="K5" i="6"/>
  <c r="L24" i="13"/>
  <c r="L6" i="6" s="1"/>
  <c r="K6" i="6"/>
  <c r="I4" i="6"/>
  <c r="J22" i="13"/>
  <c r="J39" i="13"/>
  <c r="I6" i="8"/>
  <c r="D38" i="7"/>
  <c r="D39" i="7"/>
  <c r="E39" i="7"/>
  <c r="E38" i="7"/>
  <c r="G16" i="13"/>
  <c r="F5" i="10"/>
  <c r="E4" i="11"/>
  <c r="L4" i="11" s="1"/>
  <c r="L5" i="11" s="1"/>
  <c r="L6" i="11" s="1"/>
  <c r="L7" i="11" s="1"/>
  <c r="I2" i="13"/>
  <c r="H20" i="13"/>
  <c r="H29" i="13" s="1"/>
  <c r="H35" i="13" s="1"/>
  <c r="H44" i="13" s="1"/>
  <c r="I2" i="8"/>
  <c r="H16" i="6"/>
  <c r="J11" i="6"/>
  <c r="I11" i="6"/>
  <c r="J5" i="6"/>
  <c r="H6" i="7"/>
  <c r="J13" i="13"/>
  <c r="K13" i="13" s="1"/>
  <c r="I7" i="7"/>
  <c r="H5" i="7"/>
  <c r="J46" i="13"/>
  <c r="K46" i="13" s="1"/>
  <c r="I11" i="8"/>
  <c r="I2" i="5"/>
  <c r="I3" i="5"/>
  <c r="J6" i="6"/>
  <c r="F17" i="13"/>
  <c r="J40" i="13"/>
  <c r="K40" i="13" s="1"/>
  <c r="I7" i="8"/>
  <c r="H13" i="8"/>
  <c r="I48" i="13"/>
  <c r="I42" i="13"/>
  <c r="H9" i="8"/>
  <c r="H25" i="8" s="1"/>
  <c r="I38" i="13"/>
  <c r="H5" i="8"/>
  <c r="H4" i="8"/>
  <c r="I47" i="13"/>
  <c r="H12" i="8"/>
  <c r="H7" i="9" l="1"/>
  <c r="H11" i="10" s="1"/>
  <c r="H15" i="10" s="1"/>
  <c r="H26" i="8"/>
  <c r="J2" i="12"/>
  <c r="I39" i="8"/>
  <c r="J13" i="5"/>
  <c r="J16" i="5" s="1"/>
  <c r="K9" i="5"/>
  <c r="L6" i="5" s="1"/>
  <c r="K20" i="7"/>
  <c r="K22" i="7" s="1"/>
  <c r="L8" i="5"/>
  <c r="J4" i="6"/>
  <c r="K22" i="13"/>
  <c r="J6" i="8"/>
  <c r="K39" i="13"/>
  <c r="K7" i="7"/>
  <c r="L13" i="13"/>
  <c r="L7" i="7" s="1"/>
  <c r="K11" i="8"/>
  <c r="L46" i="13"/>
  <c r="L11" i="8" s="1"/>
  <c r="K3" i="5"/>
  <c r="L3" i="5"/>
  <c r="L40" i="13"/>
  <c r="L7" i="8" s="1"/>
  <c r="K7" i="8"/>
  <c r="G10" i="7"/>
  <c r="H16" i="13"/>
  <c r="J2" i="13"/>
  <c r="I20" i="13"/>
  <c r="I29" i="13" s="1"/>
  <c r="I35" i="13" s="1"/>
  <c r="I44" i="13" s="1"/>
  <c r="G17" i="13"/>
  <c r="J2" i="8"/>
  <c r="I16" i="6"/>
  <c r="J16" i="6"/>
  <c r="J11" i="8"/>
  <c r="I5" i="7"/>
  <c r="J7" i="7"/>
  <c r="I6" i="7"/>
  <c r="J2" i="5"/>
  <c r="K2" i="5" s="1"/>
  <c r="J3" i="5"/>
  <c r="I4" i="8"/>
  <c r="F18" i="13"/>
  <c r="I5" i="8"/>
  <c r="J38" i="13"/>
  <c r="K38" i="13" s="1"/>
  <c r="J42" i="13"/>
  <c r="K42" i="13" s="1"/>
  <c r="I9" i="8"/>
  <c r="I25" i="8" s="1"/>
  <c r="I13" i="8"/>
  <c r="J48" i="13"/>
  <c r="K48" i="13" s="1"/>
  <c r="J7" i="8"/>
  <c r="J47" i="13"/>
  <c r="K47" i="13" s="1"/>
  <c r="I12" i="8"/>
  <c r="F10" i="7"/>
  <c r="E12" i="11"/>
  <c r="F11" i="7"/>
  <c r="I7" i="9" l="1"/>
  <c r="I11" i="10" s="1"/>
  <c r="I15" i="10" s="1"/>
  <c r="I26" i="8"/>
  <c r="J39" i="8"/>
  <c r="K13" i="5"/>
  <c r="K16" i="5" s="1"/>
  <c r="L9" i="5"/>
  <c r="L20" i="7"/>
  <c r="L22" i="7" s="1"/>
  <c r="K2" i="8"/>
  <c r="L2" i="5"/>
  <c r="K4" i="6"/>
  <c r="L22" i="13"/>
  <c r="L4" i="6" s="1"/>
  <c r="K6" i="8"/>
  <c r="L39" i="13"/>
  <c r="L6" i="8" s="1"/>
  <c r="J20" i="13"/>
  <c r="J29" i="13" s="1"/>
  <c r="J35" i="13" s="1"/>
  <c r="J44" i="13" s="1"/>
  <c r="K2" i="13"/>
  <c r="K5" i="7"/>
  <c r="L5" i="7"/>
  <c r="K6" i="7"/>
  <c r="L6" i="7"/>
  <c r="K5" i="8"/>
  <c r="L38" i="13"/>
  <c r="L5" i="8" s="1"/>
  <c r="K9" i="8"/>
  <c r="K25" i="8" s="1"/>
  <c r="L42" i="13"/>
  <c r="L9" i="8" s="1"/>
  <c r="L25" i="8" s="1"/>
  <c r="L26" i="8" s="1"/>
  <c r="L48" i="13"/>
  <c r="L13" i="8" s="1"/>
  <c r="K13" i="8"/>
  <c r="K12" i="8"/>
  <c r="L47" i="13"/>
  <c r="L12" i="8" s="1"/>
  <c r="H10" i="7"/>
  <c r="I16" i="13"/>
  <c r="G11" i="7"/>
  <c r="G18" i="13"/>
  <c r="H17" i="13"/>
  <c r="J6" i="7"/>
  <c r="J5" i="7"/>
  <c r="J9" i="8"/>
  <c r="J25" i="8" s="1"/>
  <c r="M4" i="11"/>
  <c r="J13" i="8"/>
  <c r="J12" i="8"/>
  <c r="F7" i="10"/>
  <c r="F15" i="10" s="1"/>
  <c r="J5" i="8"/>
  <c r="F12" i="7"/>
  <c r="J4" i="8"/>
  <c r="K4" i="8" s="1"/>
  <c r="L4" i="8" s="1"/>
  <c r="K26" i="8" l="1"/>
  <c r="L7" i="9"/>
  <c r="J7" i="9"/>
  <c r="J11" i="10" s="1"/>
  <c r="J15" i="10" s="1"/>
  <c r="J26" i="8"/>
  <c r="K7" i="9"/>
  <c r="K39" i="8"/>
  <c r="L13" i="5"/>
  <c r="L16" i="5" s="1"/>
  <c r="L39" i="8" s="1"/>
  <c r="L2" i="8"/>
  <c r="L2" i="13"/>
  <c r="L20" i="13" s="1"/>
  <c r="L29" i="13" s="1"/>
  <c r="L35" i="13" s="1"/>
  <c r="L44" i="13" s="1"/>
  <c r="K20" i="13"/>
  <c r="K29" i="13" s="1"/>
  <c r="K35" i="13" s="1"/>
  <c r="K44" i="13" s="1"/>
  <c r="G12" i="7"/>
  <c r="I17" i="13"/>
  <c r="H18" i="13"/>
  <c r="I18" i="13" s="1"/>
  <c r="H11" i="7"/>
  <c r="J16" i="13"/>
  <c r="I10" i="7"/>
  <c r="F3" i="9"/>
  <c r="F9" i="9" s="1"/>
  <c r="F19" i="9" s="1"/>
  <c r="F22" i="9" s="1"/>
  <c r="F23" i="9" s="1"/>
  <c r="M5" i="11"/>
  <c r="L9" i="9" l="1"/>
  <c r="L19" i="9" s="1"/>
  <c r="L22" i="9" s="1"/>
  <c r="L11" i="10"/>
  <c r="L15" i="10" s="1"/>
  <c r="K9" i="9"/>
  <c r="K19" i="9" s="1"/>
  <c r="K22" i="9" s="1"/>
  <c r="K11" i="10"/>
  <c r="K15" i="10" s="1"/>
  <c r="F17" i="8"/>
  <c r="F30" i="8"/>
  <c r="H12" i="7"/>
  <c r="J10" i="7"/>
  <c r="K16" i="13"/>
  <c r="J17" i="13"/>
  <c r="K17" i="13" s="1"/>
  <c r="I11" i="7"/>
  <c r="J18" i="13"/>
  <c r="I12" i="7"/>
  <c r="G3" i="9"/>
  <c r="G9" i="9" s="1"/>
  <c r="G19" i="9" s="1"/>
  <c r="G22" i="9" s="1"/>
  <c r="M6" i="11"/>
  <c r="M7" i="11"/>
  <c r="F31" i="6" l="1"/>
  <c r="F33" i="6" s="1"/>
  <c r="G21" i="9"/>
  <c r="G23" i="9" s="1"/>
  <c r="G17" i="8"/>
  <c r="G30" i="8"/>
  <c r="G33" i="8" s="1"/>
  <c r="G40" i="8" s="1"/>
  <c r="K10" i="7"/>
  <c r="L16" i="13"/>
  <c r="L10" i="7" s="1"/>
  <c r="K11" i="7"/>
  <c r="L17" i="13"/>
  <c r="K18" i="13"/>
  <c r="J11" i="7"/>
  <c r="J12" i="7"/>
  <c r="M9" i="11"/>
  <c r="M11" i="11" s="1"/>
  <c r="E8" i="11" s="1"/>
  <c r="E13" i="11" s="1"/>
  <c r="K17" i="12" s="1"/>
  <c r="H3" i="9"/>
  <c r="H9" i="9" s="1"/>
  <c r="H19" i="9" s="1"/>
  <c r="H22" i="9" s="1"/>
  <c r="F21" i="8"/>
  <c r="F28" i="8" s="1"/>
  <c r="F33" i="8"/>
  <c r="I3" i="12" l="1"/>
  <c r="I4" i="12" s="1"/>
  <c r="J3" i="12"/>
  <c r="H3" i="12"/>
  <c r="H4" i="12" s="1"/>
  <c r="G3" i="12"/>
  <c r="G4" i="12" s="1"/>
  <c r="F3" i="12"/>
  <c r="F4" i="12" s="1"/>
  <c r="E3" i="12"/>
  <c r="E4" i="12" s="1"/>
  <c r="D3" i="12"/>
  <c r="D4" i="12" s="1"/>
  <c r="G31" i="6"/>
  <c r="G33" i="6" s="1"/>
  <c r="H21" i="9"/>
  <c r="H23" i="9" s="1"/>
  <c r="G21" i="8"/>
  <c r="G28" i="8" s="1"/>
  <c r="G42" i="8" s="1"/>
  <c r="L11" i="7"/>
  <c r="K12" i="7"/>
  <c r="L18" i="13"/>
  <c r="F40" i="8"/>
  <c r="F42" i="8" s="1"/>
  <c r="J3" i="9"/>
  <c r="J9" i="9" s="1"/>
  <c r="J19" i="9" s="1"/>
  <c r="J22" i="9" s="1"/>
  <c r="I3" i="9"/>
  <c r="I9" i="9" s="1"/>
  <c r="I19" i="9" s="1"/>
  <c r="I22" i="9" s="1"/>
  <c r="J4" i="12" l="1"/>
  <c r="G8" i="12"/>
  <c r="H17" i="8"/>
  <c r="H30" i="8"/>
  <c r="H33" i="8" s="1"/>
  <c r="H40" i="8" s="1"/>
  <c r="L12" i="7"/>
  <c r="K4" i="12" l="1"/>
  <c r="C8" i="12" s="1"/>
  <c r="C7" i="12"/>
  <c r="H31" i="6"/>
  <c r="H33" i="6" s="1"/>
  <c r="H21" i="8"/>
  <c r="H28" i="8" s="1"/>
  <c r="H42" i="8" s="1"/>
  <c r="I21" i="9"/>
  <c r="I23" i="9" s="1"/>
  <c r="G7" i="12" l="1"/>
  <c r="G9" i="12" s="1"/>
  <c r="G15" i="12" s="1"/>
  <c r="G18" i="12" s="1"/>
  <c r="C9" i="12"/>
  <c r="C15" i="12" s="1"/>
  <c r="C18" i="12" s="1"/>
  <c r="I17" i="8"/>
  <c r="I30" i="8"/>
  <c r="I33" i="8" s="1"/>
  <c r="I40" i="8" s="1"/>
  <c r="H26" i="12" l="1"/>
  <c r="I5" i="3"/>
  <c r="J5" i="3"/>
  <c r="J6" i="3" s="1"/>
  <c r="C26" i="12"/>
  <c r="I21" i="8"/>
  <c r="I28" i="8" s="1"/>
  <c r="I42" i="8" s="1"/>
  <c r="I31" i="6"/>
  <c r="I33" i="6" s="1"/>
  <c r="J21" i="9"/>
  <c r="J23" i="9" s="1"/>
  <c r="I6" i="3" l="1"/>
  <c r="K5" i="3"/>
  <c r="K6" i="3" s="1"/>
  <c r="J30" i="8"/>
  <c r="J33" i="8" s="1"/>
  <c r="J40" i="8" s="1"/>
  <c r="J17" i="8"/>
  <c r="J31" i="6" l="1"/>
  <c r="J33" i="6" s="1"/>
  <c r="K21" i="9"/>
  <c r="K23" i="9" s="1"/>
  <c r="J21" i="8"/>
  <c r="J28" i="8" s="1"/>
  <c r="J42" i="8" s="1"/>
  <c r="F10" i="13"/>
  <c r="K17" i="8" l="1"/>
  <c r="K30" i="8"/>
  <c r="K33" i="8" s="1"/>
  <c r="K40" i="8" s="1"/>
  <c r="F4" i="7"/>
  <c r="F15" i="7" s="1"/>
  <c r="K31" i="6" l="1"/>
  <c r="K33" i="6" s="1"/>
  <c r="L21" i="9"/>
  <c r="L23" i="9" s="1"/>
  <c r="K21" i="8"/>
  <c r="K28" i="8" s="1"/>
  <c r="K42" i="8" s="1"/>
  <c r="F16" i="7"/>
  <c r="F3" i="10"/>
  <c r="L30" i="8" l="1"/>
  <c r="L33" i="8" s="1"/>
  <c r="L40" i="8" s="1"/>
  <c r="L17" i="8"/>
  <c r="L31" i="6" l="1"/>
  <c r="L33" i="6" s="1"/>
  <c r="L21" i="8"/>
  <c r="L28" i="8" s="1"/>
  <c r="L42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<sst xmlns="http://schemas.openxmlformats.org/spreadsheetml/2006/main" count="346" uniqueCount="196">
  <si>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</si>
  <si>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</si>
  <si>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</si>
  <si>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</si>
  <si>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</si>
  <si>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</si>
  <si>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</si>
  <si>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</si>
  <si>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</si>
  <si>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</si>
  <si>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</si>
  <si>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</si>
  <si>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</si>
  <si>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</si>
  <si>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</si>
  <si>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</si>
  <si>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</si>
  <si>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</si>
  <si>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</si>
  <si>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</si>
  <si>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</si>
  <si>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</si>
  <si>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</si>
  <si>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</si>
  <si>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</si>
  <si>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</si>
  <si>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</si>
  <si>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</si>
  <si>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</si>
  <si>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</si>
  <si>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</si>
  <si>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</si>
  <si>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</si>
  <si>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</si>
  <si>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</si>
  <si>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</si>
  <si>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</si>
  <si>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</si>
  <si>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</si>
  <si>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</si>
  <si>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</si>
  <si>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</si>
  <si>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</si>
  <si>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</si>
  <si>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</si>
  <si>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</si>
  <si>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</si>
  <si>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</si>
  <si>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</si>
  <si>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</si>
  <si>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</si>
  <si>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</si>
  <si>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</si>
  <si>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</si>
  <si>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</si>
  <si>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</si>
  <si>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</si>
  <si>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</si>
  <si>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</si>
  <si>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</si>
  <si>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</si>
  <si>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</si>
  <si>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</si>
  <si>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Inventories % of COGS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</si>
  <si>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</si>
  <si>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</si>
  <si>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</si>
  <si>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</si>
  <si>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</si>
  <si>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Inventories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</si>
  <si>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</si>
  <si>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</si>
  <si>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</si>
  <si>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</si>
  <si>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</si>
  <si>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</si>
  <si>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</si>
  <si>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</si>
  <si>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</si>
  <si>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</si>
  <si>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</si>
  <si>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</si>
  <si>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</si>
  <si>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</si>
  <si>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</si>
  <si>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</si>
  <si>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</si>
  <si>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</si>
  <si>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</si>
  <si>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</si>
  <si>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</si>
  <si>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</si>
  <si>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</si>
  <si>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</si>
  <si>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</si>
  <si>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</si>
  <si>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</si>
  <si>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</si>
  <si>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</si>
  <si>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</si>
  <si>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</si>
  <si>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</si>
  <si>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</si>
  <si>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</si>
  <si>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</si>
  <si>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</si>
  <si>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</si>
  <si>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</si>
  <si>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</si>
  <si>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</si>
  <si>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</si>
  <si>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</si>
  <si>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</si>
  <si>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</si>
  <si>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</si>
  <si>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</si>
  <si>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</si>
  <si>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</si>
  <si>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</si>
  <si>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</si>
  <si>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</si>
  <si>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</si>
  <si>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</si>
  <si>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</si>
  <si>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</si>
  <si>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</si>
  <si>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</si>
  <si>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</si>
  <si>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</si>
  <si>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</si>
  <si>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</si>
  <si>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</si>
  <si>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</si>
  <si>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</si>
  <si>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</si>
  <si>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</si>
  <si>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</si>
  <si>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</si>
  <si>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</si>
  <si>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</si>
  <si>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</si>
  <si>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</si>
  <si>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</si>
  <si>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</si>
  <si>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</si>
  <si>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</si>
  <si>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</si>
  <si>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</si>
  <si>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</si>
  <si>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</si>
  <si>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</si>
  <si>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</si>
  <si>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</si>
  <si>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</si>
  <si>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</si>
  <si>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</si>
  <si>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</si>
  <si>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</si>
  <si>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</si>
  <si>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</si>
  <si>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</si>
  <si>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</si>
  <si>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</si>
  <si>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</si>
  <si>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</si>
  <si>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</si>
  <si>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</si>
  <si>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</si>
  <si>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</si>
  <si>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</si>
  <si>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</si>
  <si>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Diluted s/o</t>
  </si>
  <si>
    <t>Cash</t>
  </si>
  <si>
    <t>Implied Price</t>
  </si>
  <si>
    <t>Difference</t>
  </si>
  <si>
    <t>Cost of debt</t>
  </si>
  <si>
    <t>Perpetuity</t>
  </si>
  <si>
    <t>Terminal Mult</t>
  </si>
  <si>
    <t>Model Details</t>
  </si>
  <si>
    <t>Operating Case One</t>
  </si>
  <si>
    <t>Discount Factor</t>
  </si>
  <si>
    <t>PV FCF</t>
  </si>
  <si>
    <t>Cava Group Inc.</t>
  </si>
  <si>
    <t>(inc) / dec in LT assets</t>
  </si>
  <si>
    <t>inc / (dec) in LT liabilities</t>
  </si>
  <si>
    <t>CFFO</t>
  </si>
  <si>
    <t>CFFI</t>
  </si>
  <si>
    <t>Div payments</t>
  </si>
  <si>
    <t>Share activity</t>
  </si>
  <si>
    <t>Debt issuance</t>
  </si>
  <si>
    <t>CFFF</t>
  </si>
  <si>
    <t>Net changes in Cash</t>
  </si>
  <si>
    <t>Ending cash</t>
  </si>
  <si>
    <t>LTGR</t>
  </si>
  <si>
    <t>Exit Mult.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</si>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</sst>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4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[$$-409]#,##0.00_);\([$$-409]#,##0.00\)"/>
    <numFmt numFmtId="182" formatCode="&quot;$&quot;#,##0.00"/>
    <numFmt numFmtId="187" formatCode="&quot;$&quot;#,##0"/>
  </numFmts>
  <fonts count="70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5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167" fontId="28" fillId="33" borderId="1" applyNumberFormat="0" applyAlignment="0" applyProtection="0"/>
    <xf numFmtId="169" fontId="5" fillId="0" borderId="0" applyFont="0" applyFill="0" applyBorder="0" applyAlignment="0" applyProtection="0"/>
    <xf numFmtId="167" fontId="28" fillId="0" borderId="0" applyFill="0" applyBorder="0" applyAlignment="0" applyProtection="0"/>
    <xf numFmtId="0" fontId="9" fillId="0" borderId="0" applyNumberFormat="0" applyFill="0" applyBorder="0" applyAlignment="0" applyProtection="0"/>
    <xf numFmtId="0" fontId="10" fillId="0" borderId="2" applyNumberFormat="0" applyFill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2" fillId="0" borderId="0" applyNumberFormat="0" applyFill="0" applyBorder="0" applyAlignment="0" applyProtection="0"/>
    <xf numFmtId="0" fontId="13" fillId="2" borderId="0" applyNumberFormat="0" applyBorder="0" applyAlignment="0" applyProtection="0"/>
    <xf numFmtId="0" fontId="14" fillId="3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5" applyNumberFormat="0" applyAlignment="0" applyProtection="0"/>
    <xf numFmtId="0" fontId="17" fillId="5" borderId="6" applyNumberFormat="0" applyAlignment="0" applyProtection="0"/>
    <xf numFmtId="0" fontId="18" fillId="0" borderId="7" applyNumberFormat="0" applyFill="0" applyAlignment="0" applyProtection="0"/>
    <xf numFmtId="0" fontId="19" fillId="6" borderId="8" applyNumberFormat="0" applyAlignment="0" applyProtection="0"/>
    <xf numFmtId="0" fontId="20" fillId="0" borderId="0" applyNumberFormat="0" applyFill="0" applyBorder="0" applyAlignment="0" applyProtection="0"/>
    <xf numFmtId="0" fontId="5" fillId="7" borderId="9" applyNumberFormat="0" applyFont="0" applyAlignment="0" applyProtection="0"/>
    <xf numFmtId="0" fontId="21" fillId="0" borderId="0" applyNumberFormat="0" applyFill="0" applyBorder="0" applyAlignment="0" applyProtection="0"/>
    <xf numFmtId="0" fontId="22" fillId="0" borderId="10" applyNumberFormat="0" applyFill="0" applyAlignment="0" applyProtection="0"/>
    <xf numFmtId="0" fontId="23" fillId="8" borderId="0" applyNumberFormat="0" applyBorder="0" applyAlignment="0" applyProtection="0"/>
    <xf numFmtId="0" fontId="24" fillId="9" borderId="0" applyNumberFormat="0" applyBorder="0" applyAlignment="0" applyProtection="0"/>
    <xf numFmtId="0" fontId="24" fillId="10" borderId="0" applyNumberFormat="0" applyBorder="0" applyAlignment="0" applyProtection="0"/>
    <xf numFmtId="0" fontId="23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3" fillId="31" borderId="0" applyNumberFormat="0" applyBorder="0" applyAlignment="0" applyProtection="0"/>
    <xf numFmtId="166" fontId="25" fillId="0" borderId="0" applyNumberFormat="0" applyFill="0" applyBorder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165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70" fontId="5" fillId="0" borderId="0" applyFont="0" applyFill="0" applyBorder="0" applyAlignment="0" applyProtection="0"/>
    <xf numFmtId="167" fontId="29" fillId="0" borderId="11" applyNumberFormat="0" applyFill="0" applyAlignment="0" applyProtection="0"/>
    <xf numFmtId="167" fontId="26" fillId="32" borderId="0" applyNumberFormat="0" applyBorder="0" applyProtection="0">
      <alignment horizontal="left" vertical="center"/>
    </xf>
    <xf numFmtId="167" fontId="27" fillId="0" borderId="0" applyNumberFormat="0" applyFill="0" applyBorder="0" applyAlignment="0" applyProtection="0"/>
    <xf numFmtId="171" fontId="6" fillId="0" borderId="0" applyFont="0" applyFill="0" applyBorder="0" applyAlignment="0" applyProtection="0"/>
    <xf numFmtId="169" fontId="28" fillId="33" borderId="1" applyAlignment="0" applyProtection="0"/>
    <xf numFmtId="166" fontId="6" fillId="0" borderId="0" applyNumberFormat="0" applyFill="0" applyBorder="0" applyAlignment="0" applyProtection="0"/>
    <xf numFmtId="166" fontId="6" fillId="0" borderId="0" applyNumberFormat="0" applyFill="0" applyBorder="0" applyAlignment="0" applyProtection="0"/>
    <xf numFmtId="166" fontId="5" fillId="0" borderId="0">
      <protection locked="0"/>
    </xf>
    <xf numFmtId="166" fontId="31" fillId="0" borderId="0" applyNumberFormat="0" applyFill="0" applyBorder="0" applyProtection="0">
      <alignment vertical="center"/>
      <protection hidden="1"/>
    </xf>
    <xf numFmtId="0" fontId="32" fillId="0" borderId="0"/>
    <xf numFmtId="9" fontId="32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4" fillId="0" borderId="0"/>
    <xf numFmtId="167" fontId="42" fillId="32" borderId="0" applyNumberFormat="0" applyBorder="0" applyAlignment="0" applyProtection="0">
      <alignment horizontal="left" vertical="center"/>
    </xf>
    <xf numFmtId="0" fontId="63" fillId="41" borderId="0"/>
    <xf numFmtId="0" fontId="64" fillId="41" borderId="22">
      <alignment horizontal="right"/>
    </xf>
  </cellStyleXfs>
  <cellXfs count="254">
    <xf numFmtId="167" fontId="0" fillId="0" borderId="0" xfId="0"/>
    <xf numFmtId="166" fontId="43" fillId="0" borderId="0" xfId="52" applyNumberFormat="1" applyFont="1" applyFill="1" applyBorder="1" applyAlignment="1">
      <alignment horizontal="center"/>
    </xf>
    <xf numFmtId="167" fontId="43" fillId="0" borderId="0" xfId="0" applyFont="1"/>
    <xf numFmtId="166" fontId="43" fillId="0" borderId="0" xfId="52" applyNumberFormat="1" applyFont="1" applyFill="1" applyBorder="1"/>
    <xf numFmtId="167" fontId="39" fillId="0" borderId="0" xfId="0" applyFont="1"/>
    <xf numFmtId="169" fontId="39" fillId="0" borderId="0" xfId="4" applyFont="1"/>
    <xf numFmtId="167" fontId="44" fillId="0" borderId="0" xfId="0" applyFont="1"/>
    <xf numFmtId="167" fontId="41" fillId="0" borderId="0" xfId="0" applyFont="1"/>
    <xf numFmtId="173" fontId="39" fillId="0" borderId="0" xfId="0" applyNumberFormat="1" applyFont="1"/>
    <xf numFmtId="166" fontId="38" fillId="0" borderId="0" xfId="57" applyFont="1" applyFill="1"/>
    <xf numFmtId="166" fontId="38" fillId="0" borderId="0" xfId="57" applyFont="1"/>
    <xf numFmtId="167" fontId="45" fillId="0" borderId="0" xfId="0" applyFont="1"/>
    <xf numFmtId="167" fontId="38" fillId="0" borderId="0" xfId="0" applyFont="1"/>
    <xf numFmtId="172" fontId="39" fillId="0" borderId="0" xfId="0" applyNumberFormat="1" applyFont="1"/>
    <xf numFmtId="174" fontId="39" fillId="0" borderId="0" xfId="0" applyNumberFormat="1" applyFont="1"/>
    <xf numFmtId="167" fontId="39" fillId="35" borderId="0" xfId="0" applyFont="1" applyFill="1"/>
    <xf numFmtId="166" fontId="33" fillId="35" borderId="0" xfId="54" applyNumberFormat="1" applyFont="1" applyFill="1"/>
    <xf numFmtId="167" fontId="45" fillId="0" borderId="12" xfId="0" applyFont="1" applyBorder="1"/>
    <xf numFmtId="167" fontId="45" fillId="0" borderId="13" xfId="0" applyFont="1" applyBorder="1"/>
    <xf numFmtId="167" fontId="39" fillId="34" borderId="0" xfId="0" applyFont="1" applyFill="1"/>
    <xf numFmtId="166" fontId="33" fillId="34" borderId="0" xfId="54" applyNumberFormat="1" applyFont="1" applyFill="1"/>
    <xf numFmtId="167" fontId="39" fillId="0" borderId="13" xfId="0" applyFont="1" applyBorder="1"/>
    <xf numFmtId="166" fontId="38" fillId="0" borderId="18" xfId="57" applyFont="1" applyBorder="1"/>
    <xf numFmtId="169" fontId="39" fillId="0" borderId="18" xfId="4" applyFont="1" applyBorder="1"/>
    <xf numFmtId="167" fontId="45" fillId="0" borderId="18" xfId="0" applyFont="1" applyBorder="1"/>
    <xf numFmtId="166" fontId="38" fillId="0" borderId="18" xfId="58" applyFont="1" applyBorder="1"/>
    <xf numFmtId="173" fontId="39" fillId="0" borderId="18" xfId="0" applyNumberFormat="1" applyFont="1" applyBorder="1"/>
    <xf numFmtId="167" fontId="39" fillId="0" borderId="18" xfId="0" applyFont="1" applyBorder="1"/>
    <xf numFmtId="169" fontId="39" fillId="0" borderId="18" xfId="4" applyFont="1" applyFill="1" applyBorder="1"/>
    <xf numFmtId="173" fontId="30" fillId="0" borderId="0" xfId="0" applyNumberFormat="1" applyFont="1"/>
    <xf numFmtId="167" fontId="40" fillId="0" borderId="0" xfId="0" applyFont="1"/>
    <xf numFmtId="169" fontId="40" fillId="0" borderId="0" xfId="4" applyFont="1"/>
    <xf numFmtId="169" fontId="40" fillId="0" borderId="18" xfId="4" applyFont="1" applyBorder="1"/>
    <xf numFmtId="167" fontId="47" fillId="0" borderId="0" xfId="0" applyFont="1"/>
    <xf numFmtId="167" fontId="45" fillId="0" borderId="15" xfId="0" applyFont="1" applyBorder="1"/>
    <xf numFmtId="167" fontId="45" fillId="0" borderId="16" xfId="0" applyFont="1" applyBorder="1"/>
    <xf numFmtId="173" fontId="39" fillId="0" borderId="16" xfId="0" applyNumberFormat="1" applyFont="1" applyBorder="1"/>
    <xf numFmtId="167" fontId="39" fillId="0" borderId="16" xfId="0" applyFont="1" applyBorder="1"/>
    <xf numFmtId="174" fontId="39" fillId="0" borderId="15" xfId="0" applyNumberFormat="1" applyFont="1" applyBorder="1"/>
    <xf numFmtId="167" fontId="40" fillId="0" borderId="18" xfId="0" applyFont="1" applyBorder="1"/>
    <xf numFmtId="173" fontId="30" fillId="0" borderId="18" xfId="0" applyNumberFormat="1" applyFont="1" applyBorder="1"/>
    <xf numFmtId="166" fontId="34" fillId="0" borderId="0" xfId="52" applyNumberFormat="1" applyFont="1" applyFill="1" applyBorder="1" applyAlignment="1">
      <alignment horizontal="right"/>
    </xf>
    <xf numFmtId="167" fontId="35" fillId="34" borderId="0" xfId="0" applyFont="1" applyFill="1"/>
    <xf numFmtId="173" fontId="40" fillId="0" borderId="0" xfId="0" applyNumberFormat="1" applyFont="1"/>
    <xf numFmtId="173" fontId="40" fillId="0" borderId="18" xfId="0" applyNumberFormat="1" applyFont="1" applyBorder="1"/>
    <xf numFmtId="166" fontId="38" fillId="0" borderId="18" xfId="57" applyFont="1" applyFill="1" applyBorder="1"/>
    <xf numFmtId="167" fontId="45" fillId="0" borderId="0" xfId="0" applyFont="1" applyAlignment="1">
      <alignment horizontal="right"/>
    </xf>
    <xf numFmtId="10" fontId="39" fillId="0" borderId="0" xfId="0" applyNumberFormat="1" applyFont="1"/>
    <xf numFmtId="172" fontId="39" fillId="0" borderId="0" xfId="4" applyNumberFormat="1" applyFont="1"/>
    <xf numFmtId="167" fontId="48" fillId="0" borderId="0" xfId="0" applyFont="1"/>
    <xf numFmtId="37" fontId="43" fillId="0" borderId="0" xfId="0" applyNumberFormat="1" applyFont="1" applyAlignment="1">
      <alignment horizontal="center"/>
    </xf>
    <xf numFmtId="167" fontId="37" fillId="33" borderId="1" xfId="3" applyFont="1" applyAlignment="1">
      <alignment horizontal="center"/>
    </xf>
    <xf numFmtId="168" fontId="37" fillId="33" borderId="1" xfId="3" applyNumberFormat="1" applyFont="1" applyAlignment="1">
      <alignment horizontal="center"/>
    </xf>
    <xf numFmtId="166" fontId="34" fillId="0" borderId="0" xfId="52" applyNumberFormat="1" applyFont="1" applyFill="1" applyBorder="1" applyAlignment="1">
      <alignment horizontal="center"/>
    </xf>
    <xf numFmtId="167" fontId="49" fillId="34" borderId="0" xfId="0" applyFont="1" applyFill="1"/>
    <xf numFmtId="169" fontId="46" fillId="0" borderId="0" xfId="57" applyNumberFormat="1" applyFont="1" applyFill="1" applyBorder="1"/>
    <xf numFmtId="169" fontId="40" fillId="0" borderId="0" xfId="57" applyNumberFormat="1" applyFont="1" applyFill="1" applyBorder="1"/>
    <xf numFmtId="166" fontId="40" fillId="0" borderId="0" xfId="0" applyNumberFormat="1" applyFont="1"/>
    <xf numFmtId="167" fontId="39" fillId="0" borderId="17" xfId="0" applyFont="1" applyBorder="1"/>
    <xf numFmtId="169" fontId="46" fillId="0" borderId="18" xfId="57" applyNumberFormat="1" applyFont="1" applyFill="1" applyBorder="1"/>
    <xf numFmtId="169" fontId="40" fillId="0" borderId="18" xfId="57" applyNumberFormat="1" applyFont="1" applyFill="1" applyBorder="1"/>
    <xf numFmtId="166" fontId="40" fillId="0" borderId="18" xfId="0" applyNumberFormat="1" applyFont="1" applyBorder="1"/>
    <xf numFmtId="167" fontId="39" fillId="0" borderId="18" xfId="0" applyFont="1" applyBorder="1" applyAlignment="1">
      <alignment horizontal="right"/>
    </xf>
    <xf numFmtId="167" fontId="35" fillId="35" borderId="0" xfId="0" applyFont="1" applyFill="1"/>
    <xf numFmtId="167" fontId="33" fillId="35" borderId="0" xfId="53" applyFont="1" applyFill="1">
      <alignment horizontal="left" vertical="center"/>
    </xf>
    <xf numFmtId="167" fontId="39" fillId="0" borderId="15" xfId="0" applyFont="1" applyBorder="1"/>
    <xf numFmtId="167" fontId="39" fillId="36" borderId="0" xfId="0" applyFont="1" applyFill="1"/>
    <xf numFmtId="167" fontId="39" fillId="37" borderId="15" xfId="0" applyFont="1" applyFill="1" applyBorder="1"/>
    <xf numFmtId="167" fontId="39" fillId="37" borderId="0" xfId="0" applyFont="1" applyFill="1"/>
    <xf numFmtId="167" fontId="39" fillId="38" borderId="15" xfId="0" applyFont="1" applyFill="1" applyBorder="1"/>
    <xf numFmtId="167" fontId="39" fillId="38" borderId="0" xfId="0" applyFont="1" applyFill="1"/>
    <xf numFmtId="167" fontId="39" fillId="36" borderId="18" xfId="0" applyFont="1" applyFill="1" applyBorder="1"/>
    <xf numFmtId="167" fontId="39" fillId="37" borderId="16" xfId="0" applyFont="1" applyFill="1" applyBorder="1"/>
    <xf numFmtId="167" fontId="39" fillId="37" borderId="18" xfId="0" applyFont="1" applyFill="1" applyBorder="1"/>
    <xf numFmtId="167" fontId="39" fillId="38" borderId="16" xfId="0" applyFont="1" applyFill="1" applyBorder="1"/>
    <xf numFmtId="167" fontId="39" fillId="38" borderId="18" xfId="0" applyFont="1" applyFill="1" applyBorder="1"/>
    <xf numFmtId="167" fontId="33" fillId="34" borderId="0" xfId="0" applyFont="1" applyFill="1"/>
    <xf numFmtId="167" fontId="39" fillId="0" borderId="20" xfId="0" applyFont="1" applyBorder="1"/>
    <xf numFmtId="167" fontId="39" fillId="0" borderId="1" xfId="0" applyFont="1" applyBorder="1"/>
    <xf numFmtId="167" fontId="39" fillId="39" borderId="19" xfId="0" applyFont="1" applyFill="1" applyBorder="1"/>
    <xf numFmtId="167" fontId="39" fillId="39" borderId="16" xfId="0" applyFont="1" applyFill="1" applyBorder="1"/>
    <xf numFmtId="167" fontId="39" fillId="39" borderId="1" xfId="0" applyFont="1" applyFill="1" applyBorder="1"/>
    <xf numFmtId="167" fontId="39" fillId="39" borderId="14" xfId="0" applyFont="1" applyFill="1" applyBorder="1"/>
    <xf numFmtId="167" fontId="44" fillId="0" borderId="15" xfId="0" applyFont="1" applyBorder="1"/>
    <xf numFmtId="176" fontId="39" fillId="0" borderId="0" xfId="0" applyNumberFormat="1" applyFont="1"/>
    <xf numFmtId="167" fontId="35" fillId="0" borderId="0" xfId="0" applyFont="1"/>
    <xf numFmtId="166" fontId="33" fillId="0" borderId="0" xfId="54" applyNumberFormat="1" applyFont="1" applyFill="1"/>
    <xf numFmtId="166" fontId="51" fillId="0" borderId="0" xfId="54" applyNumberFormat="1" applyFont="1" applyProtection="1"/>
    <xf numFmtId="173" fontId="5" fillId="0" borderId="0" xfId="0" applyNumberFormat="1" applyFont="1"/>
    <xf numFmtId="167" fontId="52" fillId="0" borderId="0" xfId="0" applyFont="1"/>
    <xf numFmtId="167" fontId="5" fillId="0" borderId="0" xfId="0" applyFont="1"/>
    <xf numFmtId="167" fontId="5" fillId="0" borderId="0" xfId="0" applyFont="1" applyProtection="1">
      <protection locked="0"/>
    </xf>
    <xf numFmtId="169" fontId="5" fillId="0" borderId="0" xfId="4" applyFont="1"/>
    <xf numFmtId="166" fontId="54" fillId="0" borderId="0" xfId="54" applyNumberFormat="1" applyFont="1" applyProtection="1"/>
    <xf numFmtId="169" fontId="28" fillId="0" borderId="0" xfId="3" applyNumberFormat="1" applyFill="1" applyBorder="1"/>
    <xf numFmtId="167" fontId="55" fillId="0" borderId="0" xfId="0" applyFont="1"/>
    <xf numFmtId="167" fontId="55" fillId="0" borderId="18" xfId="0" applyFont="1" applyBorder="1"/>
    <xf numFmtId="167" fontId="37" fillId="0" borderId="0" xfId="0" applyFont="1"/>
    <xf numFmtId="167" fontId="37" fillId="0" borderId="18" xfId="0" applyFont="1" applyBorder="1"/>
    <xf numFmtId="169" fontId="39" fillId="0" borderId="0" xfId="4" applyFont="1" applyFill="1"/>
    <xf numFmtId="169" fontId="56" fillId="33" borderId="1" xfId="3" applyNumberFormat="1" applyFont="1"/>
    <xf numFmtId="167" fontId="56" fillId="33" borderId="1" xfId="3" applyNumberFormat="1" applyFont="1"/>
    <xf numFmtId="169" fontId="56" fillId="33" borderId="14" xfId="3" applyNumberFormat="1" applyFont="1" applyBorder="1"/>
    <xf numFmtId="169" fontId="56" fillId="0" borderId="15" xfId="3" applyNumberFormat="1" applyFont="1" applyFill="1" applyBorder="1"/>
    <xf numFmtId="173" fontId="30" fillId="36" borderId="14" xfId="0" applyNumberFormat="1" applyFont="1" applyFill="1" applyBorder="1"/>
    <xf numFmtId="177" fontId="56" fillId="33" borderId="1" xfId="3" applyNumberFormat="1" applyFont="1"/>
    <xf numFmtId="167" fontId="33" fillId="35" borderId="0" xfId="0" applyFont="1" applyFill="1"/>
    <xf numFmtId="166" fontId="34" fillId="0" borderId="15" xfId="52" applyNumberFormat="1" applyFont="1" applyFill="1" applyBorder="1" applyAlignment="1">
      <alignment horizontal="center"/>
    </xf>
    <xf numFmtId="167" fontId="40" fillId="0" borderId="13" xfId="0" applyFont="1" applyBorder="1"/>
    <xf numFmtId="167" fontId="50" fillId="0" borderId="13" xfId="0" applyFont="1" applyBorder="1"/>
    <xf numFmtId="173" fontId="30" fillId="40" borderId="1" xfId="0" applyNumberFormat="1" applyFont="1" applyFill="1" applyBorder="1"/>
    <xf numFmtId="167" fontId="30" fillId="40" borderId="19" xfId="0" applyFont="1" applyFill="1" applyBorder="1"/>
    <xf numFmtId="167" fontId="53" fillId="0" borderId="0" xfId="0" applyFont="1" applyAlignment="1">
      <alignment horizontal="right"/>
    </xf>
    <xf numFmtId="167" fontId="33" fillId="34" borderId="17" xfId="0" applyFont="1" applyFill="1" applyBorder="1"/>
    <xf numFmtId="166" fontId="33" fillId="34" borderId="15" xfId="54" applyNumberFormat="1" applyFont="1" applyFill="1" applyBorder="1" applyProtection="1"/>
    <xf numFmtId="166" fontId="39" fillId="0" borderId="0" xfId="59" applyFont="1" applyProtection="1"/>
    <xf numFmtId="172" fontId="37" fillId="33" borderId="1" xfId="3" applyNumberFormat="1" applyFont="1" applyProtection="1"/>
    <xf numFmtId="166" fontId="3" fillId="0" borderId="0" xfId="54" applyNumberFormat="1" applyFont="1" applyProtection="1"/>
    <xf numFmtId="169" fontId="39" fillId="0" borderId="15" xfId="4" applyFont="1" applyBorder="1"/>
    <xf numFmtId="169" fontId="39" fillId="0" borderId="16" xfId="4" applyFont="1" applyBorder="1"/>
    <xf numFmtId="166" fontId="60" fillId="34" borderId="15" xfId="59" applyFont="1" applyFill="1" applyBorder="1" applyProtection="1"/>
    <xf numFmtId="10" fontId="40" fillId="0" borderId="0" xfId="0" applyNumberFormat="1" applyFont="1"/>
    <xf numFmtId="10" fontId="28" fillId="0" borderId="0" xfId="3" applyNumberFormat="1" applyFill="1" applyBorder="1"/>
    <xf numFmtId="166" fontId="38" fillId="0" borderId="0" xfId="57" applyFont="1" applyBorder="1"/>
    <xf numFmtId="166" fontId="38" fillId="0" borderId="0" xfId="58" applyFont="1" applyBorder="1"/>
    <xf numFmtId="167" fontId="37" fillId="0" borderId="17" xfId="0" applyFont="1" applyBorder="1"/>
    <xf numFmtId="169" fontId="56" fillId="33" borderId="19" xfId="3" applyNumberFormat="1" applyFont="1" applyBorder="1"/>
    <xf numFmtId="167" fontId="2" fillId="0" borderId="18" xfId="0" applyFont="1" applyBorder="1"/>
    <xf numFmtId="179" fontId="45" fillId="0" borderId="0" xfId="0" applyNumberFormat="1" applyFont="1"/>
    <xf numFmtId="179" fontId="45" fillId="0" borderId="12" xfId="0" applyNumberFormat="1" applyFont="1" applyBorder="1"/>
    <xf numFmtId="179" fontId="45" fillId="0" borderId="13" xfId="0" applyNumberFormat="1" applyFont="1" applyBorder="1"/>
    <xf numFmtId="179" fontId="39" fillId="0" borderId="0" xfId="0" applyNumberFormat="1" applyFont="1"/>
    <xf numFmtId="167" fontId="39" fillId="0" borderId="24" xfId="0" applyFont="1" applyBorder="1"/>
    <xf numFmtId="167" fontId="39" fillId="0" borderId="15" xfId="4" applyNumberFormat="1" applyFont="1" applyBorder="1"/>
    <xf numFmtId="179" fontId="39" fillId="0" borderId="15" xfId="4" applyNumberFormat="1" applyFont="1" applyBorder="1"/>
    <xf numFmtId="179" fontId="39" fillId="0" borderId="0" xfId="4" applyNumberFormat="1" applyFont="1"/>
    <xf numFmtId="179" fontId="39" fillId="0" borderId="0" xfId="0" applyNumberFormat="1" applyFont="1" applyAlignment="1">
      <alignment horizontal="right"/>
    </xf>
    <xf numFmtId="173" fontId="39" fillId="36" borderId="19" xfId="0" applyNumberFormat="1" applyFont="1" applyFill="1" applyBorder="1"/>
    <xf numFmtId="37" fontId="33" fillId="34" borderId="18" xfId="0" applyNumberFormat="1" applyFont="1" applyFill="1" applyBorder="1" applyAlignment="1">
      <alignment horizontal="right"/>
    </xf>
    <xf numFmtId="39" fontId="39" fillId="39" borderId="19" xfId="0" applyNumberFormat="1" applyFont="1" applyFill="1" applyBorder="1"/>
    <xf numFmtId="39" fontId="39" fillId="39" borderId="1" xfId="0" applyNumberFormat="1" applyFont="1" applyFill="1" applyBorder="1"/>
    <xf numFmtId="10" fontId="39" fillId="0" borderId="21" xfId="0" applyNumberFormat="1" applyFont="1" applyBorder="1"/>
    <xf numFmtId="39" fontId="39" fillId="0" borderId="0" xfId="0" applyNumberFormat="1" applyFont="1"/>
    <xf numFmtId="173" fontId="39" fillId="37" borderId="16" xfId="0" applyNumberFormat="1" applyFont="1" applyFill="1" applyBorder="1"/>
    <xf numFmtId="173" fontId="39" fillId="37" borderId="1" xfId="0" applyNumberFormat="1" applyFont="1" applyFill="1" applyBorder="1"/>
    <xf numFmtId="173" fontId="39" fillId="38" borderId="19" xfId="0" applyNumberFormat="1" applyFont="1" applyFill="1" applyBorder="1"/>
    <xf numFmtId="167" fontId="39" fillId="0" borderId="0" xfId="0" applyFont="1" applyAlignment="1">
      <alignment horizontal="right"/>
    </xf>
    <xf numFmtId="10" fontId="35" fillId="34" borderId="1" xfId="0" applyNumberFormat="1" applyFont="1" applyFill="1" applyBorder="1"/>
    <xf numFmtId="7" fontId="45" fillId="0" borderId="18" xfId="0" applyNumberFormat="1" applyFont="1" applyBorder="1"/>
    <xf numFmtId="172" fontId="37" fillId="33" borderId="19" xfId="3" applyNumberFormat="1" applyFont="1" applyBorder="1" applyProtection="1"/>
    <xf numFmtId="167" fontId="45" fillId="0" borderId="18" xfId="0" applyFont="1" applyBorder="1" applyAlignment="1">
      <alignment horizontal="right"/>
    </xf>
    <xf numFmtId="173" fontId="39" fillId="39" borderId="19" xfId="0" applyNumberFormat="1" applyFont="1" applyFill="1" applyBorder="1"/>
    <xf numFmtId="167" fontId="66" fillId="0" borderId="0" xfId="0" applyFont="1"/>
    <xf numFmtId="167" fontId="37" fillId="33" borderId="19" xfId="3" applyNumberFormat="1" applyFont="1" applyBorder="1" applyProtection="1"/>
    <xf numFmtId="167" fontId="39" fillId="0" borderId="21" xfId="0" applyFont="1" applyBorder="1"/>
    <xf numFmtId="180" fontId="45" fillId="0" borderId="14" xfId="0" applyNumberFormat="1" applyFont="1" applyBorder="1"/>
    <xf numFmtId="173" fontId="35" fillId="34" borderId="1" xfId="0" applyNumberFormat="1" applyFont="1" applyFill="1" applyBorder="1"/>
    <xf numFmtId="167" fontId="33" fillId="0" borderId="0" xfId="0" applyFont="1"/>
    <xf numFmtId="167" fontId="37" fillId="33" borderId="1" xfId="3" applyNumberFormat="1" applyFont="1" applyAlignment="1">
      <alignment horizontal="center"/>
    </xf>
    <xf numFmtId="167" fontId="39" fillId="38" borderId="20" xfId="0" applyFont="1" applyFill="1" applyBorder="1"/>
    <xf numFmtId="167" fontId="33" fillId="34" borderId="20" xfId="0" applyFont="1" applyFill="1" applyBorder="1"/>
    <xf numFmtId="167" fontId="33" fillId="34" borderId="15" xfId="0" applyFont="1" applyFill="1" applyBorder="1"/>
    <xf numFmtId="167" fontId="33" fillId="34" borderId="16" xfId="0" applyFont="1" applyFill="1" applyBorder="1"/>
    <xf numFmtId="176" fontId="37" fillId="0" borderId="15" xfId="3" applyNumberFormat="1" applyFont="1" applyFill="1" applyBorder="1" applyProtection="1"/>
    <xf numFmtId="172" fontId="37" fillId="0" borderId="15" xfId="3" applyNumberFormat="1" applyFont="1" applyFill="1" applyBorder="1" applyProtection="1"/>
    <xf numFmtId="167" fontId="39" fillId="0" borderId="0" xfId="0" applyFont="1" applyAlignment="1">
      <alignment horizontal="center"/>
    </xf>
    <xf numFmtId="167" fontId="45" fillId="0" borderId="0" xfId="0" applyFont="1" applyAlignment="1">
      <alignment horizontal="center"/>
    </xf>
    <xf numFmtId="169" fontId="56" fillId="0" borderId="0" xfId="3" applyNumberFormat="1" applyFont="1" applyFill="1" applyBorder="1"/>
    <xf numFmtId="167" fontId="1" fillId="0" borderId="0" xfId="0" applyFont="1"/>
    <xf numFmtId="166" fontId="1" fillId="0" borderId="0" xfId="57" applyFont="1" applyBorder="1"/>
    <xf numFmtId="166" fontId="1" fillId="0" borderId="0" xfId="57" applyFont="1"/>
    <xf numFmtId="169" fontId="67" fillId="33" borderId="1" xfId="3" applyNumberFormat="1" applyFont="1"/>
    <xf numFmtId="177" fontId="67" fillId="33" borderId="1" xfId="3" applyNumberFormat="1" applyFont="1"/>
    <xf numFmtId="167" fontId="67" fillId="33" borderId="1" xfId="3" applyNumberFormat="1" applyFont="1"/>
    <xf numFmtId="37" fontId="33" fillId="34" borderId="0" xfId="52" applyNumberFormat="1" applyFont="1" applyFill="1" applyBorder="1"/>
    <xf numFmtId="166" fontId="33" fillId="34" borderId="0" xfId="52" applyNumberFormat="1" applyFont="1" applyFill="1" applyBorder="1"/>
    <xf numFmtId="174" fontId="45" fillId="0" borderId="13" xfId="0" applyNumberFormat="1" applyFont="1" applyBorder="1"/>
    <xf numFmtId="39" fontId="38" fillId="0" borderId="0" xfId="57" applyNumberFormat="1" applyFont="1" applyBorder="1"/>
    <xf numFmtId="39" fontId="38" fillId="0" borderId="18" xfId="57" applyNumberFormat="1" applyFont="1" applyBorder="1"/>
    <xf numFmtId="0" fontId="33" fillId="34" borderId="0" xfId="52" applyNumberFormat="1" applyFont="1" applyFill="1" applyBorder="1" applyAlignment="1">
      <alignment horizontal="right" vertical="center"/>
    </xf>
    <xf numFmtId="166" fontId="37" fillId="0" borderId="0" xfId="0" applyNumberFormat="1" applyFont="1"/>
    <xf numFmtId="166" fontId="37" fillId="0" borderId="18" xfId="0" applyNumberFormat="1" applyFont="1" applyBorder="1"/>
    <xf numFmtId="166" fontId="37" fillId="0" borderId="0" xfId="57" applyFont="1" applyFill="1"/>
    <xf numFmtId="166" fontId="37" fillId="0" borderId="18" xfId="57" applyFont="1" applyFill="1" applyBorder="1"/>
    <xf numFmtId="166" fontId="1" fillId="0" borderId="0" xfId="57" applyFont="1" applyFill="1"/>
    <xf numFmtId="9" fontId="39" fillId="0" borderId="0" xfId="0" applyNumberFormat="1" applyFont="1"/>
    <xf numFmtId="9" fontId="30" fillId="0" borderId="18" xfId="0" applyNumberFormat="1" applyFont="1" applyBorder="1"/>
    <xf numFmtId="178" fontId="33" fillId="34" borderId="0" xfId="0" applyNumberFormat="1" applyFont="1" applyFill="1"/>
    <xf numFmtId="175" fontId="33" fillId="0" borderId="0" xfId="52" applyNumberFormat="1" applyFont="1" applyFill="1" applyBorder="1" applyAlignment="1">
      <alignment horizontal="right" vertical="center"/>
    </xf>
    <xf numFmtId="167" fontId="45" fillId="35" borderId="0" xfId="0" applyFont="1" applyFill="1"/>
    <xf numFmtId="175" fontId="33" fillId="0" borderId="0" xfId="0" applyNumberFormat="1" applyFont="1"/>
    <xf numFmtId="175" fontId="59" fillId="0" borderId="0" xfId="3" applyNumberFormat="1" applyFont="1" applyFill="1" applyBorder="1"/>
    <xf numFmtId="173" fontId="56" fillId="40" borderId="1" xfId="0" applyNumberFormat="1" applyFont="1" applyFill="1" applyBorder="1"/>
    <xf numFmtId="166" fontId="60" fillId="0" borderId="0" xfId="59" applyFont="1" applyProtection="1"/>
    <xf numFmtId="179" fontId="37" fillId="0" borderId="18" xfId="0" applyNumberFormat="1" applyFont="1" applyBorder="1"/>
    <xf numFmtId="166" fontId="1" fillId="0" borderId="17" xfId="57" applyFont="1" applyFill="1" applyBorder="1"/>
    <xf numFmtId="39" fontId="39" fillId="0" borderId="1" xfId="0" applyNumberFormat="1" applyFont="1" applyBorder="1"/>
    <xf numFmtId="2" fontId="39" fillId="36" borderId="19" xfId="0" applyNumberFormat="1" applyFont="1" applyFill="1" applyBorder="1"/>
    <xf numFmtId="169" fontId="56" fillId="36" borderId="1" xfId="3" applyNumberFormat="1" applyFont="1" applyFill="1"/>
    <xf numFmtId="10" fontId="39" fillId="0" borderId="0" xfId="4" applyNumberFormat="1" applyFont="1" applyFill="1" applyBorder="1" applyAlignment="1" applyProtection="1">
      <alignment horizontal="right"/>
    </xf>
    <xf numFmtId="181" fontId="37" fillId="33" borderId="1" xfId="3" applyNumberFormat="1" applyFont="1" applyAlignment="1">
      <alignment horizontal="center"/>
    </xf>
    <xf numFmtId="176" fontId="39" fillId="0" borderId="0" xfId="0" applyNumberFormat="1" applyFont="1" applyAlignment="1">
      <alignment horizontal="center"/>
    </xf>
    <xf numFmtId="10" fontId="39" fillId="0" borderId="0" xfId="0" applyNumberFormat="1" applyFont="1" applyAlignment="1">
      <alignment horizontal="center"/>
    </xf>
    <xf numFmtId="5" fontId="39" fillId="0" borderId="0" xfId="0" applyNumberFormat="1" applyFont="1" applyAlignment="1">
      <alignment horizontal="center"/>
    </xf>
    <xf numFmtId="173" fontId="39" fillId="0" borderId="0" xfId="0" applyNumberFormat="1" applyFont="1" applyAlignment="1">
      <alignment horizontal="center"/>
    </xf>
    <xf numFmtId="182" fontId="65" fillId="33" borderId="14" xfId="3" applyNumberFormat="1" applyFont="1" applyBorder="1" applyAlignment="1">
      <alignment horizontal="center"/>
    </xf>
    <xf numFmtId="182" fontId="65" fillId="33" borderId="1" xfId="3" applyNumberFormat="1" applyFont="1" applyAlignment="1">
      <alignment horizontal="center"/>
    </xf>
    <xf numFmtId="1" fontId="28" fillId="0" borderId="0" xfId="0" applyNumberFormat="1" applyFont="1"/>
    <xf numFmtId="166" fontId="5" fillId="0" borderId="0" xfId="0" applyNumberFormat="1" applyFont="1" applyAlignment="1">
      <alignment horizontal="right"/>
    </xf>
    <xf numFmtId="173" fontId="28" fillId="0" borderId="0" xfId="0" applyNumberFormat="1" applyFont="1"/>
    <xf numFmtId="175" fontId="5" fillId="0" borderId="0" xfId="0" applyNumberFormat="1" applyFont="1"/>
    <xf numFmtId="169" fontId="37" fillId="0" borderId="0" xfId="0" applyNumberFormat="1" applyFont="1"/>
    <xf numFmtId="1" fontId="33" fillId="34" borderId="0" xfId="0" applyNumberFormat="1" applyFont="1" applyFill="1"/>
    <xf numFmtId="169" fontId="39" fillId="0" borderId="0" xfId="4" applyFont="1" applyBorder="1"/>
    <xf numFmtId="167" fontId="39" fillId="0" borderId="0" xfId="4" applyNumberFormat="1" applyFont="1" applyBorder="1"/>
    <xf numFmtId="166" fontId="39" fillId="0" borderId="0" xfId="59" applyFont="1" applyAlignment="1" applyProtection="1">
      <alignment horizontal="centerContinuous"/>
    </xf>
    <xf numFmtId="166" fontId="39" fillId="0" borderId="0" xfId="59" applyFont="1" applyAlignment="1" applyProtection="1">
      <alignment horizontal="center"/>
    </xf>
    <xf numFmtId="10" fontId="39" fillId="0" borderId="0" xfId="59" applyNumberFormat="1" applyFont="1" applyAlignment="1" applyProtection="1">
      <alignment horizontal="center"/>
    </xf>
    <xf numFmtId="10" fontId="39" fillId="0" borderId="0" xfId="59" applyNumberFormat="1" applyFont="1" applyProtection="1"/>
    <xf numFmtId="176" fontId="39" fillId="0" borderId="0" xfId="59" applyNumberFormat="1" applyFont="1" applyAlignment="1" applyProtection="1">
      <alignment horizontal="right"/>
    </xf>
    <xf numFmtId="10" fontId="39" fillId="0" borderId="0" xfId="59" applyNumberFormat="1" applyFont="1" applyAlignment="1" applyProtection="1">
      <alignment horizontal="right"/>
    </xf>
    <xf numFmtId="172" fontId="39" fillId="0" borderId="0" xfId="59" applyNumberFormat="1" applyFont="1" applyProtection="1"/>
    <xf numFmtId="40" fontId="39" fillId="0" borderId="0" xfId="59" applyNumberFormat="1" applyFont="1" applyProtection="1"/>
    <xf numFmtId="40" fontId="45" fillId="0" borderId="0" xfId="59" applyNumberFormat="1" applyFont="1" applyProtection="1"/>
    <xf numFmtId="5" fontId="39" fillId="0" borderId="0" xfId="0" applyNumberFormat="1" applyFont="1"/>
    <xf numFmtId="1" fontId="33" fillId="34" borderId="0" xfId="52" applyNumberFormat="1" applyFont="1" applyFill="1" applyBorder="1" applyAlignment="1">
      <alignment horizontal="right" vertical="center"/>
    </xf>
    <xf numFmtId="167" fontId="68" fillId="0" borderId="0" xfId="0" applyFont="1"/>
    <xf numFmtId="167" fontId="57" fillId="40" borderId="1" xfId="0" applyFont="1" applyFill="1" applyBorder="1"/>
    <xf numFmtId="169" fontId="56" fillId="33" borderId="16" xfId="3" applyNumberFormat="1" applyFont="1" applyBorder="1"/>
    <xf numFmtId="167" fontId="39" fillId="36" borderId="23" xfId="0" applyFont="1" applyFill="1" applyBorder="1"/>
    <xf numFmtId="173" fontId="39" fillId="36" borderId="1" xfId="0" applyNumberFormat="1" applyFont="1" applyFill="1" applyBorder="1"/>
    <xf numFmtId="178" fontId="28" fillId="33" borderId="1" xfId="3" applyNumberFormat="1"/>
    <xf numFmtId="175" fontId="58" fillId="0" borderId="0" xfId="0" applyNumberFormat="1" applyFont="1"/>
    <xf numFmtId="166" fontId="33" fillId="34" borderId="0" xfId="54" applyNumberFormat="1" applyFont="1" applyFill="1" applyBorder="1"/>
    <xf numFmtId="1" fontId="33" fillId="35" borderId="0" xfId="0" applyNumberFormat="1" applyFont="1" applyFill="1"/>
    <xf numFmtId="1" fontId="33" fillId="35" borderId="0" xfId="4" applyNumberFormat="1" applyFont="1" applyFill="1"/>
    <xf numFmtId="1" fontId="33" fillId="35" borderId="0" xfId="0" applyNumberFormat="1" applyFont="1" applyFill="1" applyAlignment="1">
      <alignment horizontal="right"/>
    </xf>
    <xf numFmtId="2" fontId="39" fillId="0" borderId="0" xfId="0" applyNumberFormat="1" applyFont="1"/>
    <xf numFmtId="2" fontId="45" fillId="0" borderId="0" xfId="0" applyNumberFormat="1" applyFont="1"/>
    <xf numFmtId="2" fontId="38" fillId="0" borderId="0" xfId="57" applyNumberFormat="1" applyFont="1" applyBorder="1"/>
    <xf numFmtId="9" fontId="30" fillId="0" borderId="0" xfId="0" applyNumberFormat="1" applyFont="1"/>
    <xf numFmtId="2" fontId="38" fillId="0" borderId="15" xfId="57" applyNumberFormat="1" applyFont="1" applyBorder="1"/>
    <xf numFmtId="2" fontId="39" fillId="0" borderId="15" xfId="0" applyNumberFormat="1" applyFont="1" applyBorder="1"/>
    <xf numFmtId="166" fontId="37" fillId="0" borderId="0" xfId="0" applyNumberFormat="1" applyFont="1" applyBorder="1"/>
    <xf numFmtId="166" fontId="39" fillId="0" borderId="0" xfId="57" applyFont="1" applyFill="1"/>
    <xf numFmtId="180" fontId="39" fillId="0" borderId="0" xfId="0" applyNumberFormat="1" applyFont="1"/>
    <xf numFmtId="187" fontId="39" fillId="0" borderId="0" xfId="59" applyNumberFormat="1" applyFont="1" applyAlignment="1" applyProtection="1">
      <alignment horizontal="center"/>
    </xf>
    <xf numFmtId="187" fontId="39" fillId="0" borderId="0" xfId="0" applyNumberFormat="1" applyFont="1" applyAlignment="1">
      <alignment horizontal="center"/>
    </xf>
    <xf numFmtId="180" fontId="45" fillId="0" borderId="0" xfId="0" applyNumberFormat="1" applyFont="1" applyAlignment="1">
      <alignment horizontal="center"/>
    </xf>
    <xf numFmtId="187" fontId="45" fillId="0" borderId="0" xfId="59" applyNumberFormat="1" applyFont="1" applyAlignment="1" applyProtection="1">
      <alignment horizontal="center"/>
    </xf>
    <xf numFmtId="187" fontId="45" fillId="0" borderId="0" xfId="4" applyNumberFormat="1" applyFont="1" applyFill="1" applyBorder="1" applyAlignment="1" applyProtection="1">
      <alignment horizontal="center"/>
    </xf>
    <xf numFmtId="187" fontId="45" fillId="0" borderId="0" xfId="0" applyNumberFormat="1" applyFont="1" applyAlignment="1">
      <alignment horizontal="center"/>
    </xf>
    <xf numFmtId="176" fontId="39" fillId="0" borderId="0" xfId="59" applyNumberFormat="1" applyFont="1" applyAlignment="1" applyProtection="1">
      <alignment horizontal="center"/>
    </xf>
    <xf numFmtId="10" fontId="69" fillId="33" borderId="1" xfId="3" applyNumberFormat="1" applyFont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5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44546A"/>
      <color rgb="FFEA4335"/>
      <color rgb="FF5F6368"/>
      <color rgb="FF4472C4"/>
      <color rgb="FFFBBC05"/>
      <color rgb="FF0000FF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9"/>
  <sheetViews>
    <sheetView showGridLines="0" topLeftCell="C1" zoomScaleNormal="100" workbookViewId="0">
      <selection activeCell="J6" sqref="J6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8.8554687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49" customFormat="1" ht="19.5" x14ac:dyDescent="0.3">
      <c r="A1" s="226" t="str">
        <f>CoName</f>
        <v>Cava Group Inc.</v>
      </c>
      <c r="B1" s="2"/>
      <c r="C1" s="2"/>
      <c r="D1" s="152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</row>
    <row r="2" spans="1:15" s="15" customFormat="1" x14ac:dyDescent="0.25">
      <c r="A2" s="64" t="s">
        <v>178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</row>
    <row r="4" spans="1:15" x14ac:dyDescent="0.25">
      <c r="B4" s="4" t="s">
        <v>3</v>
      </c>
      <c r="C4" s="51" t="s">
        <v>182</v>
      </c>
      <c r="E4" s="4" t="s">
        <v>166</v>
      </c>
      <c r="F4" s="200">
        <v>53.34</v>
      </c>
      <c r="H4" s="166" t="s">
        <v>179</v>
      </c>
      <c r="I4" s="165" t="s">
        <v>177</v>
      </c>
      <c r="J4" s="165" t="s">
        <v>176</v>
      </c>
      <c r="K4" s="165" t="s">
        <v>195</v>
      </c>
    </row>
    <row r="5" spans="1:15" x14ac:dyDescent="0.25">
      <c r="B5" s="4" t="s">
        <v>4</v>
      </c>
      <c r="C5" s="52">
        <v>247.43</v>
      </c>
      <c r="E5" s="4" t="s">
        <v>171</v>
      </c>
      <c r="F5" s="158">
        <f>115986.12</f>
        <v>115986.12</v>
      </c>
      <c r="H5" s="165" t="s">
        <v>173</v>
      </c>
      <c r="I5" s="206">
        <f>'DCF Model'!G18</f>
        <v>80.84952669915269</v>
      </c>
      <c r="J5" s="205">
        <f>'DCF Model'!C18</f>
        <v>53.758969222100994</v>
      </c>
      <c r="K5" s="205">
        <f>AVERAGE(I5:J5)</f>
        <v>67.304247960626839</v>
      </c>
    </row>
    <row r="6" spans="1:15" x14ac:dyDescent="0.25">
      <c r="B6" s="4" t="s">
        <v>5</v>
      </c>
      <c r="C6" s="51" t="s">
        <v>9</v>
      </c>
      <c r="E6" s="4" t="s">
        <v>102</v>
      </c>
      <c r="F6" s="158">
        <f>F5*F4</f>
        <v>6186699.6408000002</v>
      </c>
      <c r="H6" s="165" t="s">
        <v>174</v>
      </c>
      <c r="I6" s="253">
        <f>I5/$F$4-1</f>
        <v>0.51573915821433602</v>
      </c>
      <c r="J6" s="253">
        <f>J5/$F$4-1</f>
        <v>7.8546910780088464E-3</v>
      </c>
      <c r="K6" s="253">
        <f>K5/$F$4-1</f>
        <v>0.26179692464617244</v>
      </c>
    </row>
    <row r="7" spans="1:15" x14ac:dyDescent="0.25">
      <c r="B7" s="4" t="s">
        <v>6</v>
      </c>
      <c r="C7" s="51" t="s">
        <v>8</v>
      </c>
      <c r="E7" s="4" t="s">
        <v>172</v>
      </c>
      <c r="F7" s="51">
        <f>284570+103115</f>
        <v>387685</v>
      </c>
    </row>
    <row r="8" spans="1:15" x14ac:dyDescent="0.25">
      <c r="B8" s="4" t="s">
        <v>2</v>
      </c>
      <c r="C8" s="51" t="s">
        <v>85</v>
      </c>
      <c r="E8" s="4" t="s">
        <v>143</v>
      </c>
      <c r="F8" s="51">
        <v>0</v>
      </c>
    </row>
    <row r="9" spans="1:15" x14ac:dyDescent="0.25">
      <c r="B9" s="4" t="s">
        <v>7</v>
      </c>
      <c r="C9" s="51">
        <v>0</v>
      </c>
      <c r="E9" s="4" t="s">
        <v>116</v>
      </c>
      <c r="F9" s="51">
        <f>F6-F7+F8</f>
        <v>5799014.6408000002</v>
      </c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M2"/>
  <sheetViews>
    <sheetView showGridLines="0" workbookViewId="0">
      <selection activeCell="G52" sqref="G52"/>
    </sheetView>
  </sheetViews>
  <sheetFormatPr defaultColWidth="11.7109375" defaultRowHeight="15" x14ac:dyDescent="0.25"/>
  <cols>
    <col min="1" max="2" width="11.7109375" style="4" customWidth="1"/>
    <col min="3" max="16384" width="11.7109375" style="4"/>
  </cols>
  <sheetData>
    <row r="1" spans="1:13" ht="19.5" x14ac:dyDescent="0.3">
      <c r="A1" s="226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</row>
    <row r="2" spans="1:13" x14ac:dyDescent="0.25">
      <c r="A2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T51"/>
  <sheetViews>
    <sheetView showGridLines="0" zoomScaleNormal="100" workbookViewId="0">
      <selection activeCell="F43" sqref="F43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2" width="11.7109375" style="4" customWidth="1"/>
    <col min="13" max="20" width="11.42578125" style="4" customWidth="1"/>
    <col min="21" max="16384" width="9" style="4"/>
  </cols>
  <sheetData>
    <row r="1" spans="1:20" ht="19.5" x14ac:dyDescent="0.3">
      <c r="A1" s="226" t="str">
        <f>CoName</f>
        <v>Cava Group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20" x14ac:dyDescent="0.25">
      <c r="A2" s="63" t="s">
        <v>124</v>
      </c>
      <c r="B2" s="234" t="s">
        <v>125</v>
      </c>
      <c r="C2" s="234">
        <v>2022</v>
      </c>
      <c r="D2" s="234">
        <f>C2+1</f>
        <v>2023</v>
      </c>
      <c r="E2" s="234">
        <f t="shared" ref="E2:J2" si="0">D2+1</f>
        <v>2024</v>
      </c>
      <c r="F2" s="234">
        <f t="shared" si="0"/>
        <v>2025</v>
      </c>
      <c r="G2" s="234">
        <f t="shared" si="0"/>
        <v>2026</v>
      </c>
      <c r="H2" s="234">
        <f t="shared" si="0"/>
        <v>2027</v>
      </c>
      <c r="I2" s="234">
        <f t="shared" si="0"/>
        <v>2028</v>
      </c>
      <c r="J2" s="234">
        <f t="shared" si="0"/>
        <v>2029</v>
      </c>
      <c r="K2" s="234">
        <f t="shared" ref="K2" si="1">J2+1</f>
        <v>2030</v>
      </c>
      <c r="L2" s="234">
        <f t="shared" ref="L2" si="2">K2+1</f>
        <v>2031</v>
      </c>
    </row>
    <row r="3" spans="1:20" x14ac:dyDescent="0.25">
      <c r="A3" s="85"/>
      <c r="B3" s="157"/>
      <c r="C3" s="190"/>
      <c r="D3" s="190"/>
      <c r="E3" s="190"/>
      <c r="F3" s="190"/>
      <c r="G3" s="190"/>
      <c r="H3" s="190"/>
      <c r="I3" s="190"/>
      <c r="J3" s="190"/>
      <c r="K3" s="190"/>
      <c r="L3" s="190"/>
    </row>
    <row r="4" spans="1:20" x14ac:dyDescent="0.25">
      <c r="B4" s="93" t="s">
        <v>131</v>
      </c>
      <c r="C4"/>
      <c r="D4" s="231">
        <v>1</v>
      </c>
      <c r="E4"/>
      <c r="F4"/>
      <c r="G4" s="88"/>
      <c r="H4" s="88"/>
      <c r="I4" s="88"/>
      <c r="J4" s="88"/>
      <c r="K4" s="88"/>
      <c r="L4" s="88"/>
      <c r="M4" s="207"/>
      <c r="N4" s="208"/>
      <c r="O4" s="208"/>
    </row>
    <row r="5" spans="1:20" x14ac:dyDescent="0.25">
      <c r="B5" s="87"/>
      <c r="C5" s="89"/>
      <c r="D5" s="112" t="s">
        <v>126</v>
      </c>
      <c r="E5" s="90"/>
      <c r="M5" s="209"/>
      <c r="N5" s="210"/>
      <c r="O5" s="210"/>
    </row>
    <row r="6" spans="1:20" x14ac:dyDescent="0.25">
      <c r="B6" s="91" t="s">
        <v>132</v>
      </c>
      <c r="D6" s="100">
        <v>0</v>
      </c>
      <c r="E6" s="92"/>
      <c r="F6" s="100">
        <v>0.22500000000000001</v>
      </c>
      <c r="G6" s="100">
        <f>F6-0.0033</f>
        <v>0.22170000000000001</v>
      </c>
      <c r="H6" s="100">
        <f t="shared" ref="H6:L6" si="3">G6-0.0033</f>
        <v>0.21840000000000001</v>
      </c>
      <c r="I6" s="100">
        <f t="shared" si="3"/>
        <v>0.21510000000000001</v>
      </c>
      <c r="J6" s="100">
        <f t="shared" si="3"/>
        <v>0.21180000000000002</v>
      </c>
      <c r="K6" s="100">
        <f t="shared" si="3"/>
        <v>0.20850000000000002</v>
      </c>
      <c r="L6" s="100">
        <f t="shared" si="3"/>
        <v>0.20520000000000002</v>
      </c>
      <c r="M6" s="167"/>
      <c r="N6" s="211"/>
      <c r="O6" s="211"/>
      <c r="P6" s="211"/>
      <c r="Q6" s="211"/>
      <c r="R6" s="211"/>
      <c r="S6" s="211"/>
      <c r="T6" s="211"/>
    </row>
    <row r="7" spans="1:20" x14ac:dyDescent="0.25">
      <c r="B7" s="4" t="s">
        <v>128</v>
      </c>
      <c r="D7" s="100">
        <v>2.5000000000000001E-2</v>
      </c>
      <c r="E7" s="92"/>
      <c r="F7" s="100">
        <f>F6+$D$7</f>
        <v>0.25</v>
      </c>
      <c r="G7" s="100">
        <f t="shared" ref="G7:J7" si="4">G6+$D$7</f>
        <v>0.2467</v>
      </c>
      <c r="H7" s="100">
        <f t="shared" si="4"/>
        <v>0.24340000000000001</v>
      </c>
      <c r="I7" s="100">
        <f t="shared" si="4"/>
        <v>0.24010000000000001</v>
      </c>
      <c r="J7" s="100">
        <f t="shared" si="4"/>
        <v>0.23680000000000001</v>
      </c>
      <c r="K7" s="100">
        <f t="shared" ref="K7:L7" si="5">K6+$D$7</f>
        <v>0.23350000000000001</v>
      </c>
      <c r="L7" s="100">
        <f t="shared" si="5"/>
        <v>0.23020000000000002</v>
      </c>
      <c r="M7" s="167"/>
      <c r="N7" s="167"/>
      <c r="O7" s="167"/>
      <c r="P7" s="167"/>
      <c r="Q7" s="167"/>
      <c r="R7" s="167"/>
      <c r="S7" s="167"/>
      <c r="T7" s="167"/>
    </row>
    <row r="8" spans="1:20" x14ac:dyDescent="0.25">
      <c r="B8" s="4" t="s">
        <v>127</v>
      </c>
      <c r="D8" s="100">
        <v>-2.5000000000000001E-2</v>
      </c>
      <c r="E8" s="92"/>
      <c r="F8" s="100">
        <f>F6+$D$8</f>
        <v>0.2</v>
      </c>
      <c r="G8" s="100">
        <f t="shared" ref="G8:J8" si="6">G6+$D$8</f>
        <v>0.19670000000000001</v>
      </c>
      <c r="H8" s="100">
        <f t="shared" si="6"/>
        <v>0.19340000000000002</v>
      </c>
      <c r="I8" s="100">
        <f t="shared" si="6"/>
        <v>0.19010000000000002</v>
      </c>
      <c r="J8" s="100">
        <f t="shared" si="6"/>
        <v>0.18680000000000002</v>
      </c>
      <c r="K8" s="100">
        <f t="shared" ref="K8:L8" si="7">K6+$D$8</f>
        <v>0.18350000000000002</v>
      </c>
      <c r="L8" s="100">
        <f t="shared" si="7"/>
        <v>0.18020000000000003</v>
      </c>
    </row>
    <row r="9" spans="1:20" x14ac:dyDescent="0.25">
      <c r="M9" s="167"/>
      <c r="N9" s="167"/>
    </row>
    <row r="10" spans="1:20" x14ac:dyDescent="0.25">
      <c r="B10" s="117" t="s">
        <v>148</v>
      </c>
      <c r="C10" s="185"/>
      <c r="D10" s="240">
        <f>IncState!D15/IncState!C15-1</f>
        <v>0.29174872677573349</v>
      </c>
      <c r="E10" s="186">
        <f>IncState!E15/IncState!D15-1</f>
        <v>0.3225099492246466</v>
      </c>
      <c r="F10" s="104">
        <f t="shared" ref="F10" si="8">CHOOSE(ScenarioREV,F6,F7,F8)</f>
        <v>0.22500000000000001</v>
      </c>
      <c r="G10" s="104">
        <f t="shared" ref="G10:J10" si="9">CHOOSE(ScenarioREV,G6,G7,G8)</f>
        <v>0.22170000000000001</v>
      </c>
      <c r="H10" s="104">
        <f t="shared" si="9"/>
        <v>0.21840000000000001</v>
      </c>
      <c r="I10" s="104">
        <f t="shared" si="9"/>
        <v>0.21510000000000001</v>
      </c>
      <c r="J10" s="104">
        <f t="shared" si="9"/>
        <v>0.21180000000000002</v>
      </c>
      <c r="K10" s="104">
        <f t="shared" ref="K10:L10" si="10">CHOOSE(ScenarioREV,K6,K7,K8)</f>
        <v>0.20850000000000002</v>
      </c>
      <c r="L10" s="104">
        <f t="shared" si="10"/>
        <v>0.20520000000000002</v>
      </c>
      <c r="M10" s="167"/>
      <c r="N10" s="167"/>
    </row>
    <row r="11" spans="1:20" x14ac:dyDescent="0.25">
      <c r="B11" s="4" t="s">
        <v>133</v>
      </c>
      <c r="C11" s="8">
        <f>IncState!C16/IncState!C15</f>
        <v>0.31906034010554513</v>
      </c>
      <c r="D11" s="8">
        <f>IncState!D16/IncState!D15</f>
        <v>0.29292987512007684</v>
      </c>
      <c r="E11" s="8">
        <f>IncState!E16/IncState!E15</f>
        <v>0.29546452107629556</v>
      </c>
      <c r="F11" s="100">
        <f>E11-0.005</f>
        <v>0.29046452107629556</v>
      </c>
      <c r="G11" s="100">
        <f t="shared" ref="G11:L11" si="11">F11-0.005</f>
        <v>0.28546452107629555</v>
      </c>
      <c r="H11" s="100">
        <f t="shared" si="11"/>
        <v>0.28046452107629555</v>
      </c>
      <c r="I11" s="100">
        <f t="shared" si="11"/>
        <v>0.27546452107629554</v>
      </c>
      <c r="J11" s="100">
        <f t="shared" si="11"/>
        <v>0.27046452107629554</v>
      </c>
      <c r="K11" s="100">
        <f t="shared" si="11"/>
        <v>0.26546452107629553</v>
      </c>
      <c r="L11" s="100">
        <f t="shared" si="11"/>
        <v>0.26046452107629553</v>
      </c>
      <c r="M11" s="167"/>
      <c r="N11" s="167"/>
    </row>
    <row r="12" spans="1:20" x14ac:dyDescent="0.25">
      <c r="B12" s="4" t="s">
        <v>44</v>
      </c>
      <c r="C12" s="8">
        <f>IncState!C17/IncState!C15</f>
        <v>0.78688539120292</v>
      </c>
      <c r="D12" s="8">
        <f>IncState!D17/IncState!D15</f>
        <v>0.70058597502401532</v>
      </c>
      <c r="E12" s="8">
        <f>IncState!E17/IncState!E15</f>
        <v>0.65979394280247339</v>
      </c>
      <c r="F12" s="100">
        <f>E12-0.015</f>
        <v>0.64479394280247337</v>
      </c>
      <c r="G12" s="100">
        <f t="shared" ref="G12:L12" si="12">F12-0.015</f>
        <v>0.62979394280247336</v>
      </c>
      <c r="H12" s="100">
        <f t="shared" si="12"/>
        <v>0.61479394280247335</v>
      </c>
      <c r="I12" s="100">
        <f t="shared" si="12"/>
        <v>0.59979394280247333</v>
      </c>
      <c r="J12" s="100">
        <f t="shared" si="12"/>
        <v>0.58479394280247332</v>
      </c>
      <c r="K12" s="100">
        <f t="shared" si="12"/>
        <v>0.56979394280247331</v>
      </c>
      <c r="L12" s="100">
        <f t="shared" si="12"/>
        <v>0.55479394280247329</v>
      </c>
    </row>
    <row r="13" spans="1:20" x14ac:dyDescent="0.25">
      <c r="B13" s="4" t="s">
        <v>135</v>
      </c>
      <c r="C13" s="4">
        <f>IncState!C21</f>
        <v>5638</v>
      </c>
      <c r="D13" s="4">
        <f>IncState!D21</f>
        <v>27</v>
      </c>
      <c r="E13" s="4">
        <f>IncState!E21</f>
        <v>0</v>
      </c>
      <c r="F13" s="101">
        <f>E13</f>
        <v>0</v>
      </c>
      <c r="G13" s="101">
        <f t="shared" ref="G13:J13" si="13">F13</f>
        <v>0</v>
      </c>
      <c r="H13" s="101">
        <f t="shared" si="13"/>
        <v>0</v>
      </c>
      <c r="I13" s="101">
        <f t="shared" si="13"/>
        <v>0</v>
      </c>
      <c r="J13" s="101">
        <f t="shared" si="13"/>
        <v>0</v>
      </c>
      <c r="K13" s="101">
        <f t="shared" ref="K13" si="14">J13</f>
        <v>0</v>
      </c>
      <c r="L13" s="101">
        <f t="shared" ref="L13" si="15">K13</f>
        <v>0</v>
      </c>
    </row>
    <row r="14" spans="1:20" x14ac:dyDescent="0.25">
      <c r="B14" s="4" t="s">
        <v>136</v>
      </c>
      <c r="C14" s="4">
        <f>IncState!C24</f>
        <v>0</v>
      </c>
      <c r="D14" s="4">
        <f>IncState!D24</f>
        <v>0</v>
      </c>
      <c r="E14" s="4">
        <f>IncState!E24</f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</row>
    <row r="15" spans="1:20" x14ac:dyDescent="0.25">
      <c r="B15" s="4" t="s">
        <v>138</v>
      </c>
      <c r="C15" s="4">
        <f>IncState!C25</f>
        <v>-919</v>
      </c>
      <c r="D15" s="4">
        <f>IncState!D25</f>
        <v>-471</v>
      </c>
      <c r="E15" s="4">
        <f>IncState!E25</f>
        <v>-318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</row>
    <row r="16" spans="1:20" x14ac:dyDescent="0.25">
      <c r="B16" s="4" t="s">
        <v>47</v>
      </c>
      <c r="C16" s="8">
        <f>IncState!C32/IncState!C30</f>
        <v>-1.5313179213594151E-3</v>
      </c>
      <c r="D16" s="8">
        <f>IncState!D32/IncState!D30</f>
        <v>5.8599114909201895E-2</v>
      </c>
      <c r="E16" s="8">
        <f>IncState!E32/IncState!E30</f>
        <v>-1.1878563957215642</v>
      </c>
      <c r="F16" s="100">
        <v>0.2</v>
      </c>
      <c r="G16" s="100">
        <f t="shared" ref="G16:J16" si="16">F16</f>
        <v>0.2</v>
      </c>
      <c r="H16" s="100">
        <f t="shared" si="16"/>
        <v>0.2</v>
      </c>
      <c r="I16" s="100">
        <f t="shared" si="16"/>
        <v>0.2</v>
      </c>
      <c r="J16" s="100">
        <f t="shared" si="16"/>
        <v>0.2</v>
      </c>
      <c r="K16" s="100">
        <f t="shared" ref="K16:K18" si="17">J16</f>
        <v>0.2</v>
      </c>
      <c r="L16" s="100">
        <f t="shared" ref="L16:L18" si="18">K16</f>
        <v>0.2</v>
      </c>
    </row>
    <row r="17" spans="1:12" x14ac:dyDescent="0.25">
      <c r="B17" s="4" t="s">
        <v>48</v>
      </c>
      <c r="C17" s="4">
        <f>IncState!C36</f>
        <v>1328</v>
      </c>
      <c r="D17" s="4">
        <f>IncState!D36</f>
        <v>60512</v>
      </c>
      <c r="E17" s="4">
        <f>IncState!E36</f>
        <v>114292</v>
      </c>
      <c r="F17" s="101">
        <f>E17</f>
        <v>114292</v>
      </c>
      <c r="G17" s="101">
        <f t="shared" ref="G17:J17" si="19">F17</f>
        <v>114292</v>
      </c>
      <c r="H17" s="101">
        <f t="shared" si="19"/>
        <v>114292</v>
      </c>
      <c r="I17" s="101">
        <f t="shared" si="19"/>
        <v>114292</v>
      </c>
      <c r="J17" s="101">
        <f t="shared" si="19"/>
        <v>114292</v>
      </c>
      <c r="K17" s="101">
        <f t="shared" si="17"/>
        <v>114292</v>
      </c>
      <c r="L17" s="101">
        <f t="shared" si="18"/>
        <v>114292</v>
      </c>
    </row>
    <row r="18" spans="1:12" x14ac:dyDescent="0.25">
      <c r="B18" s="4" t="s">
        <v>49</v>
      </c>
      <c r="C18" s="4">
        <f>IncState!C37</f>
        <v>1328</v>
      </c>
      <c r="D18" s="4">
        <f>IncState!D37</f>
        <v>63448</v>
      </c>
      <c r="E18" s="4">
        <f>IncState!E37</f>
        <v>118273</v>
      </c>
      <c r="F18" s="101">
        <f>E18</f>
        <v>118273</v>
      </c>
      <c r="G18" s="101">
        <f t="shared" ref="G18:J18" si="20">F18</f>
        <v>118273</v>
      </c>
      <c r="H18" s="101">
        <f t="shared" si="20"/>
        <v>118273</v>
      </c>
      <c r="I18" s="101">
        <f t="shared" si="20"/>
        <v>118273</v>
      </c>
      <c r="J18" s="101">
        <f t="shared" si="20"/>
        <v>118273</v>
      </c>
      <c r="K18" s="101">
        <f t="shared" si="17"/>
        <v>118273</v>
      </c>
      <c r="L18" s="101">
        <f t="shared" si="18"/>
        <v>118273</v>
      </c>
    </row>
    <row r="19" spans="1:12" x14ac:dyDescent="0.25">
      <c r="F19" s="103"/>
      <c r="G19" s="103"/>
      <c r="H19" s="103"/>
      <c r="I19" s="103"/>
      <c r="J19" s="103"/>
      <c r="K19" s="103"/>
      <c r="L19" s="103"/>
    </row>
    <row r="20" spans="1:12" x14ac:dyDescent="0.25">
      <c r="A20" s="63" t="s">
        <v>124</v>
      </c>
      <c r="B20" s="106" t="s">
        <v>143</v>
      </c>
      <c r="C20" s="234">
        <f>C2</f>
        <v>2022</v>
      </c>
      <c r="D20" s="234">
        <f>D2</f>
        <v>2023</v>
      </c>
      <c r="E20" s="234">
        <f>E2</f>
        <v>2024</v>
      </c>
      <c r="F20" s="234">
        <f>F2</f>
        <v>2025</v>
      </c>
      <c r="G20" s="234">
        <f>G2</f>
        <v>2026</v>
      </c>
      <c r="H20" s="234">
        <f>H2</f>
        <v>2027</v>
      </c>
      <c r="I20" s="234">
        <f>I2</f>
        <v>2028</v>
      </c>
      <c r="J20" s="234">
        <f>J2</f>
        <v>2029</v>
      </c>
      <c r="K20" s="234">
        <f t="shared" ref="K20:L20" si="21">K2</f>
        <v>2030</v>
      </c>
      <c r="L20" s="234">
        <f t="shared" si="21"/>
        <v>2031</v>
      </c>
    </row>
    <row r="21" spans="1:12" x14ac:dyDescent="0.25">
      <c r="A21" s="85"/>
      <c r="B21" s="157"/>
      <c r="C21" s="190"/>
      <c r="D21" s="190"/>
      <c r="E21" s="190"/>
      <c r="F21" s="191"/>
      <c r="G21" s="191"/>
      <c r="H21" s="191"/>
      <c r="I21" s="191"/>
      <c r="J21" s="191"/>
      <c r="K21" s="191"/>
      <c r="L21" s="191"/>
    </row>
    <row r="22" spans="1:12" x14ac:dyDescent="0.25">
      <c r="B22" s="4" t="s">
        <v>137</v>
      </c>
      <c r="E22" s="8">
        <v>0.05</v>
      </c>
      <c r="F22" s="100">
        <f>E22</f>
        <v>0.05</v>
      </c>
      <c r="G22" s="100">
        <f t="shared" ref="G22:J22" si="22">F22</f>
        <v>0.05</v>
      </c>
      <c r="H22" s="100">
        <f t="shared" si="22"/>
        <v>0.05</v>
      </c>
      <c r="I22" s="100">
        <f t="shared" si="22"/>
        <v>0.05</v>
      </c>
      <c r="J22" s="100">
        <f t="shared" si="22"/>
        <v>0.05</v>
      </c>
      <c r="K22" s="100">
        <f t="shared" ref="K22:K24" si="23">J22</f>
        <v>0.05</v>
      </c>
      <c r="L22" s="100">
        <f t="shared" ref="L22:L24" si="24">K22</f>
        <v>0.05</v>
      </c>
    </row>
    <row r="23" spans="1:12" x14ac:dyDescent="0.25">
      <c r="B23" s="4" t="s">
        <v>25</v>
      </c>
      <c r="E23" s="8">
        <v>0.05</v>
      </c>
      <c r="F23" s="100">
        <f>E23</f>
        <v>0.05</v>
      </c>
      <c r="G23" s="100">
        <f t="shared" ref="G23:J23" si="25">F23</f>
        <v>0.05</v>
      </c>
      <c r="H23" s="100">
        <f t="shared" si="25"/>
        <v>0.05</v>
      </c>
      <c r="I23" s="100">
        <f t="shared" si="25"/>
        <v>0.05</v>
      </c>
      <c r="J23" s="100">
        <f t="shared" si="25"/>
        <v>0.05</v>
      </c>
      <c r="K23" s="100">
        <f t="shared" si="23"/>
        <v>0.05</v>
      </c>
      <c r="L23" s="100">
        <f t="shared" si="24"/>
        <v>0.05</v>
      </c>
    </row>
    <row r="24" spans="1:12" x14ac:dyDescent="0.25">
      <c r="B24" s="4" t="s">
        <v>26</v>
      </c>
      <c r="C24" s="8"/>
      <c r="D24" s="8"/>
      <c r="E24" s="8">
        <f>IncState!E27/SUM(BalSheet!E16:E17)</f>
        <v>4.4996176117120069E-2</v>
      </c>
      <c r="F24" s="126">
        <f>E24</f>
        <v>4.4996176117120069E-2</v>
      </c>
      <c r="G24" s="126">
        <f t="shared" ref="G24:J24" si="26">F24</f>
        <v>4.4996176117120069E-2</v>
      </c>
      <c r="H24" s="126">
        <f t="shared" si="26"/>
        <v>4.4996176117120069E-2</v>
      </c>
      <c r="I24" s="126">
        <f t="shared" si="26"/>
        <v>4.4996176117120069E-2</v>
      </c>
      <c r="J24" s="126">
        <f t="shared" si="26"/>
        <v>4.4996176117120069E-2</v>
      </c>
      <c r="K24" s="126">
        <f t="shared" si="23"/>
        <v>4.4996176117120069E-2</v>
      </c>
      <c r="L24" s="126">
        <f t="shared" si="24"/>
        <v>4.4996176117120069E-2</v>
      </c>
    </row>
    <row r="25" spans="1:12" x14ac:dyDescent="0.25">
      <c r="F25" s="103"/>
      <c r="G25" s="103"/>
      <c r="H25" s="103"/>
      <c r="I25" s="103"/>
      <c r="J25" s="103"/>
      <c r="K25" s="103"/>
      <c r="L25" s="103"/>
    </row>
    <row r="26" spans="1:12" x14ac:dyDescent="0.25">
      <c r="B26" s="4" t="s">
        <v>27</v>
      </c>
      <c r="F26" s="101">
        <v>0</v>
      </c>
      <c r="G26" s="101">
        <v>0</v>
      </c>
      <c r="H26" s="101">
        <v>0</v>
      </c>
      <c r="I26" s="101">
        <v>0</v>
      </c>
      <c r="J26" s="101">
        <v>0</v>
      </c>
      <c r="K26" s="101">
        <v>0</v>
      </c>
      <c r="L26" s="101">
        <v>0</v>
      </c>
    </row>
    <row r="27" spans="1:12" x14ac:dyDescent="0.25">
      <c r="B27" s="4" t="s">
        <v>28</v>
      </c>
      <c r="F27" s="101">
        <v>0</v>
      </c>
      <c r="G27" s="101">
        <v>0</v>
      </c>
      <c r="H27" s="101">
        <v>0</v>
      </c>
      <c r="I27" s="101">
        <v>0</v>
      </c>
      <c r="J27" s="101">
        <v>0</v>
      </c>
      <c r="K27" s="101">
        <v>0</v>
      </c>
      <c r="L27" s="101">
        <v>0</v>
      </c>
    </row>
    <row r="28" spans="1:12" x14ac:dyDescent="0.25">
      <c r="F28" s="103"/>
      <c r="G28" s="103"/>
      <c r="H28" s="103"/>
      <c r="I28" s="103"/>
      <c r="J28" s="103"/>
      <c r="K28" s="103"/>
      <c r="L28" s="103"/>
    </row>
    <row r="29" spans="1:12" x14ac:dyDescent="0.25">
      <c r="A29" s="63" t="s">
        <v>124</v>
      </c>
      <c r="B29" s="106" t="s">
        <v>140</v>
      </c>
      <c r="C29" s="234">
        <f>C20</f>
        <v>2022</v>
      </c>
      <c r="D29" s="234">
        <f t="shared" ref="D29:J29" si="27">D20</f>
        <v>2023</v>
      </c>
      <c r="E29" s="234">
        <f t="shared" si="27"/>
        <v>2024</v>
      </c>
      <c r="F29" s="234">
        <f t="shared" si="27"/>
        <v>2025</v>
      </c>
      <c r="G29" s="234">
        <f t="shared" si="27"/>
        <v>2026</v>
      </c>
      <c r="H29" s="234">
        <f t="shared" si="27"/>
        <v>2027</v>
      </c>
      <c r="I29" s="234">
        <f t="shared" si="27"/>
        <v>2028</v>
      </c>
      <c r="J29" s="234">
        <f t="shared" si="27"/>
        <v>2029</v>
      </c>
      <c r="K29" s="234">
        <f t="shared" ref="K29:L29" si="28">K20</f>
        <v>2030</v>
      </c>
      <c r="L29" s="234">
        <f t="shared" si="28"/>
        <v>2031</v>
      </c>
    </row>
    <row r="30" spans="1:12" x14ac:dyDescent="0.25">
      <c r="A30" s="85"/>
      <c r="B30" s="157"/>
      <c r="C30" s="190"/>
      <c r="D30" s="190"/>
      <c r="E30" s="190"/>
      <c r="F30" s="191"/>
      <c r="G30" s="191"/>
      <c r="H30" s="191"/>
      <c r="I30" s="191"/>
      <c r="J30" s="191"/>
      <c r="K30" s="191"/>
      <c r="L30" s="191"/>
    </row>
    <row r="31" spans="1:12" x14ac:dyDescent="0.25">
      <c r="B31" s="4" t="s">
        <v>141</v>
      </c>
      <c r="C31" s="8">
        <f>106161/IncState!E15</f>
        <v>0.1101583147679859</v>
      </c>
      <c r="D31" s="8">
        <f>138806/IncState!D15</f>
        <v>0.19048442431727736</v>
      </c>
      <c r="E31" s="8">
        <f>108131/IncState!E15</f>
        <v>0.11220249182069765</v>
      </c>
      <c r="F31" s="198">
        <f>E31-0.005</f>
        <v>0.10720249182069765</v>
      </c>
      <c r="G31" s="198">
        <f t="shared" ref="G31:L31" si="29">F31-0.005</f>
        <v>0.10220249182069764</v>
      </c>
      <c r="H31" s="198">
        <f t="shared" si="29"/>
        <v>9.7202491820697637E-2</v>
      </c>
      <c r="I31" s="198">
        <f t="shared" si="29"/>
        <v>9.2202491820697632E-2</v>
      </c>
      <c r="J31" s="198">
        <f t="shared" si="29"/>
        <v>8.7202491820697628E-2</v>
      </c>
      <c r="K31" s="198">
        <f t="shared" si="29"/>
        <v>8.2202491820697624E-2</v>
      </c>
      <c r="L31" s="198">
        <f t="shared" si="29"/>
        <v>7.7202491820697619E-2</v>
      </c>
    </row>
    <row r="32" spans="1:12" x14ac:dyDescent="0.25">
      <c r="B32" s="4" t="s">
        <v>154</v>
      </c>
      <c r="D32" s="8">
        <f>IncState!D20/BalSheet!C23</f>
        <v>9.1719405098876092E-2</v>
      </c>
      <c r="E32" s="8">
        <f>IncState!E20/BalSheet!D23</f>
        <v>9.7318363510007569E-2</v>
      </c>
      <c r="F32" s="100">
        <f>E32</f>
        <v>9.7318363510007569E-2</v>
      </c>
      <c r="G32" s="100">
        <f t="shared" ref="G32:J32" si="30">F32</f>
        <v>9.7318363510007569E-2</v>
      </c>
      <c r="H32" s="100">
        <f t="shared" si="30"/>
        <v>9.7318363510007569E-2</v>
      </c>
      <c r="I32" s="100">
        <f t="shared" si="30"/>
        <v>9.7318363510007569E-2</v>
      </c>
      <c r="J32" s="100">
        <f t="shared" si="30"/>
        <v>9.7318363510007569E-2</v>
      </c>
      <c r="K32" s="100">
        <f t="shared" ref="K31:K32" si="31">J32</f>
        <v>9.7318363510007569E-2</v>
      </c>
      <c r="L32" s="100">
        <f t="shared" ref="L31:L32" si="32">K32</f>
        <v>9.7318363510007569E-2</v>
      </c>
    </row>
    <row r="33" spans="1:12" x14ac:dyDescent="0.25">
      <c r="B33" s="4" t="s">
        <v>142</v>
      </c>
      <c r="F33" s="105">
        <v>0</v>
      </c>
      <c r="G33" s="105">
        <v>0</v>
      </c>
      <c r="H33" s="105">
        <v>0</v>
      </c>
      <c r="I33" s="105">
        <v>0</v>
      </c>
      <c r="J33" s="105">
        <v>0</v>
      </c>
      <c r="K33" s="105">
        <v>0</v>
      </c>
      <c r="L33" s="105">
        <v>0</v>
      </c>
    </row>
    <row r="34" spans="1:12" x14ac:dyDescent="0.25">
      <c r="F34" s="30"/>
      <c r="G34" s="30"/>
      <c r="H34" s="30"/>
      <c r="I34" s="30"/>
      <c r="J34" s="30"/>
      <c r="K34" s="30"/>
      <c r="L34" s="30"/>
    </row>
    <row r="35" spans="1:12" x14ac:dyDescent="0.25">
      <c r="A35" s="63" t="s">
        <v>124</v>
      </c>
      <c r="B35" s="106" t="s">
        <v>129</v>
      </c>
      <c r="C35" s="234">
        <f>C29</f>
        <v>2022</v>
      </c>
      <c r="D35" s="234">
        <f t="shared" ref="D35:L35" si="33">D29</f>
        <v>2023</v>
      </c>
      <c r="E35" s="234">
        <f t="shared" si="33"/>
        <v>2024</v>
      </c>
      <c r="F35" s="234">
        <f t="shared" si="33"/>
        <v>2025</v>
      </c>
      <c r="G35" s="234">
        <f t="shared" si="33"/>
        <v>2026</v>
      </c>
      <c r="H35" s="234">
        <f t="shared" si="33"/>
        <v>2027</v>
      </c>
      <c r="I35" s="234">
        <f t="shared" si="33"/>
        <v>2028</v>
      </c>
      <c r="J35" s="234">
        <f t="shared" si="33"/>
        <v>2029</v>
      </c>
      <c r="K35" s="234">
        <f t="shared" si="33"/>
        <v>2030</v>
      </c>
      <c r="L35" s="234">
        <f t="shared" si="33"/>
        <v>2031</v>
      </c>
    </row>
    <row r="36" spans="1:12" x14ac:dyDescent="0.25">
      <c r="A36" s="85"/>
      <c r="B36" s="157"/>
      <c r="C36" s="190"/>
      <c r="D36" s="190"/>
      <c r="E36" s="190"/>
      <c r="F36" s="232"/>
      <c r="G36" s="232"/>
      <c r="H36" s="232"/>
      <c r="I36" s="232"/>
      <c r="J36" s="232"/>
      <c r="K36" s="232"/>
      <c r="L36" s="232"/>
    </row>
    <row r="37" spans="1:12" x14ac:dyDescent="0.25">
      <c r="B37" s="4" t="s">
        <v>139</v>
      </c>
      <c r="C37" s="8">
        <f>BalSheet!C16/IncState!C15</f>
        <v>0.02</v>
      </c>
      <c r="D37" s="8">
        <f>BalSheet!D16/IncState!D15</f>
        <v>0.02</v>
      </c>
      <c r="E37" s="8">
        <f>BalSheet!E16/IncState!E15</f>
        <v>0.02</v>
      </c>
      <c r="F37" s="100">
        <f>E37</f>
        <v>0.02</v>
      </c>
      <c r="G37" s="100">
        <f t="shared" ref="G37:J37" si="34">F37</f>
        <v>0.02</v>
      </c>
      <c r="H37" s="100">
        <f t="shared" si="34"/>
        <v>0.02</v>
      </c>
      <c r="I37" s="100">
        <f t="shared" si="34"/>
        <v>0.02</v>
      </c>
      <c r="J37" s="100">
        <f t="shared" si="34"/>
        <v>0.02</v>
      </c>
      <c r="K37" s="100">
        <f t="shared" ref="K37:K40" si="35">J37</f>
        <v>0.02</v>
      </c>
      <c r="L37" s="100">
        <f t="shared" ref="L37:L40" si="36">K37</f>
        <v>0.02</v>
      </c>
    </row>
    <row r="38" spans="1:12" x14ac:dyDescent="0.25">
      <c r="B38" s="4" t="s">
        <v>152</v>
      </c>
      <c r="C38" s="8">
        <f>BalSheet!C18/IncState!C15</f>
        <v>1.3711645947043088E-2</v>
      </c>
      <c r="D38" s="8">
        <f>BalSheet!D18/IncState!D15</f>
        <v>1.6309866886235761E-2</v>
      </c>
      <c r="E38" s="8">
        <f>BalSheet!E18/IncState!E15</f>
        <v>1.348534262794006E-2</v>
      </c>
      <c r="F38" s="100">
        <f>E38</f>
        <v>1.348534262794006E-2</v>
      </c>
      <c r="G38" s="100">
        <f t="shared" ref="G38:J38" si="37">F38</f>
        <v>1.348534262794006E-2</v>
      </c>
      <c r="H38" s="100">
        <f t="shared" si="37"/>
        <v>1.348534262794006E-2</v>
      </c>
      <c r="I38" s="100">
        <f t="shared" si="37"/>
        <v>1.348534262794006E-2</v>
      </c>
      <c r="J38" s="100">
        <f t="shared" si="37"/>
        <v>1.348534262794006E-2</v>
      </c>
      <c r="K38" s="100">
        <f t="shared" si="35"/>
        <v>1.348534262794006E-2</v>
      </c>
      <c r="L38" s="100">
        <f t="shared" si="36"/>
        <v>1.348534262794006E-2</v>
      </c>
    </row>
    <row r="39" spans="1:12" x14ac:dyDescent="0.25">
      <c r="B39" s="4" t="s">
        <v>63</v>
      </c>
      <c r="C39" s="8">
        <f>BalSheet!C19/IncState!C16</f>
        <v>2.8551903460230683E-2</v>
      </c>
      <c r="D39" s="8">
        <f>BalSheet!D19/IncState!D16</f>
        <v>2.640800532189002E-2</v>
      </c>
      <c r="E39" s="8">
        <f>BalSheet!E19/IncState!E16</f>
        <v>2.6690735154156556E-2</v>
      </c>
      <c r="F39" s="100">
        <f t="shared" ref="F39:J39" si="38">E39</f>
        <v>2.6690735154156556E-2</v>
      </c>
      <c r="G39" s="100">
        <f t="shared" si="38"/>
        <v>2.6690735154156556E-2</v>
      </c>
      <c r="H39" s="100">
        <f t="shared" si="38"/>
        <v>2.6690735154156556E-2</v>
      </c>
      <c r="I39" s="100">
        <f t="shared" si="38"/>
        <v>2.6690735154156556E-2</v>
      </c>
      <c r="J39" s="100">
        <f t="shared" si="38"/>
        <v>2.6690735154156556E-2</v>
      </c>
      <c r="K39" s="100">
        <f t="shared" si="35"/>
        <v>2.6690735154156556E-2</v>
      </c>
      <c r="L39" s="100">
        <f t="shared" si="36"/>
        <v>2.6690735154156556E-2</v>
      </c>
    </row>
    <row r="40" spans="1:12" x14ac:dyDescent="0.25">
      <c r="B40" s="4" t="s">
        <v>64</v>
      </c>
      <c r="C40" s="8">
        <f>BalSheet!C20/IncState!C15</f>
        <v>1.090372775956846E-2</v>
      </c>
      <c r="D40" s="8">
        <f>BalSheet!D20/IncState!D15</f>
        <v>6.8093865788390285E-3</v>
      </c>
      <c r="E40" s="8">
        <f>BalSheet!E20/IncState!E15</f>
        <v>7.7180654406446732E-3</v>
      </c>
      <c r="F40" s="100">
        <f t="shared" ref="F40:J40" si="39">E40</f>
        <v>7.7180654406446732E-3</v>
      </c>
      <c r="G40" s="100">
        <f t="shared" si="39"/>
        <v>7.7180654406446732E-3</v>
      </c>
      <c r="H40" s="100">
        <f t="shared" si="39"/>
        <v>7.7180654406446732E-3</v>
      </c>
      <c r="I40" s="100">
        <f t="shared" si="39"/>
        <v>7.7180654406446732E-3</v>
      </c>
      <c r="J40" s="100">
        <f t="shared" si="39"/>
        <v>7.7180654406446732E-3</v>
      </c>
      <c r="K40" s="100">
        <f t="shared" si="35"/>
        <v>7.7180654406446732E-3</v>
      </c>
      <c r="L40" s="100">
        <f t="shared" si="36"/>
        <v>7.7180654406446732E-3</v>
      </c>
    </row>
    <row r="41" spans="1:12" x14ac:dyDescent="0.25">
      <c r="E41" s="8"/>
      <c r="F41" s="103"/>
      <c r="G41" s="103"/>
      <c r="H41" s="103"/>
      <c r="I41" s="103"/>
      <c r="J41" s="103"/>
      <c r="K41" s="103"/>
      <c r="L41" s="103"/>
    </row>
    <row r="42" spans="1:12" x14ac:dyDescent="0.25">
      <c r="B42" s="4" t="s">
        <v>65</v>
      </c>
      <c r="C42" s="8">
        <f>BalSheet!C25/IncState!C15</f>
        <v>9.8348043586548237E-3</v>
      </c>
      <c r="D42" s="8">
        <f>BalSheet!D25/IncState!D15</f>
        <v>7.3624262385069304E-3</v>
      </c>
      <c r="E42" s="8">
        <f>BalSheet!E25/IncState!E15</f>
        <v>8.0399455024473057E-2</v>
      </c>
      <c r="F42" s="100">
        <v>0.01</v>
      </c>
      <c r="G42" s="100">
        <f t="shared" ref="G42:J42" si="40">F42</f>
        <v>0.01</v>
      </c>
      <c r="H42" s="100">
        <f t="shared" si="40"/>
        <v>0.01</v>
      </c>
      <c r="I42" s="100">
        <f t="shared" si="40"/>
        <v>0.01</v>
      </c>
      <c r="J42" s="100">
        <f t="shared" si="40"/>
        <v>0.01</v>
      </c>
      <c r="K42" s="100">
        <f t="shared" ref="K42" si="41">J42</f>
        <v>0.01</v>
      </c>
      <c r="L42" s="100">
        <f t="shared" ref="L42" si="42">K42</f>
        <v>0.01</v>
      </c>
    </row>
    <row r="43" spans="1:12" x14ac:dyDescent="0.25">
      <c r="F43" s="30"/>
      <c r="G43" s="30"/>
      <c r="H43" s="30"/>
      <c r="I43" s="30"/>
      <c r="J43" s="30"/>
      <c r="K43" s="30"/>
      <c r="L43" s="30"/>
    </row>
    <row r="44" spans="1:12" x14ac:dyDescent="0.25">
      <c r="A44" s="63" t="s">
        <v>124</v>
      </c>
      <c r="B44" s="106" t="s">
        <v>130</v>
      </c>
      <c r="C44" s="234">
        <f>C35</f>
        <v>2022</v>
      </c>
      <c r="D44" s="234">
        <f>D35</f>
        <v>2023</v>
      </c>
      <c r="E44" s="234">
        <f>E35</f>
        <v>2024</v>
      </c>
      <c r="F44" s="234">
        <f>F35</f>
        <v>2025</v>
      </c>
      <c r="G44" s="234">
        <f>G35</f>
        <v>2026</v>
      </c>
      <c r="H44" s="234">
        <f>H35</f>
        <v>2027</v>
      </c>
      <c r="I44" s="234">
        <f>I35</f>
        <v>2028</v>
      </c>
      <c r="J44" s="234">
        <f>J35</f>
        <v>2029</v>
      </c>
      <c r="K44" s="234">
        <f>K35</f>
        <v>2030</v>
      </c>
      <c r="L44" s="234">
        <f>L35</f>
        <v>2031</v>
      </c>
    </row>
    <row r="45" spans="1:12" x14ac:dyDescent="0.25">
      <c r="A45" s="85"/>
      <c r="B45" s="157"/>
      <c r="C45" s="190"/>
      <c r="D45" s="190"/>
      <c r="E45" s="190"/>
      <c r="F45" s="232"/>
      <c r="G45" s="232"/>
      <c r="H45" s="232"/>
      <c r="I45" s="232"/>
      <c r="J45" s="232"/>
      <c r="K45" s="232"/>
      <c r="L45" s="232"/>
    </row>
    <row r="46" spans="1:12" x14ac:dyDescent="0.25">
      <c r="B46" s="4" t="s">
        <v>153</v>
      </c>
      <c r="C46" s="8">
        <f>BalSheet!C31/IncState!C16</f>
        <v>0.30434806764895439</v>
      </c>
      <c r="D46" s="8">
        <f>BalSheet!D31/IncState!D16</f>
        <v>0.35816413533341451</v>
      </c>
      <c r="E46" s="8">
        <f>BalSheet!E31/IncState!E16</f>
        <v>0.33502140526720586</v>
      </c>
      <c r="F46" s="100">
        <f t="shared" ref="F46:J46" si="43">E46</f>
        <v>0.33502140526720586</v>
      </c>
      <c r="G46" s="100">
        <f t="shared" si="43"/>
        <v>0.33502140526720586</v>
      </c>
      <c r="H46" s="100">
        <f t="shared" si="43"/>
        <v>0.33502140526720586</v>
      </c>
      <c r="I46" s="100">
        <f t="shared" si="43"/>
        <v>0.33502140526720586</v>
      </c>
      <c r="J46" s="100">
        <f t="shared" si="43"/>
        <v>0.33502140526720586</v>
      </c>
      <c r="K46" s="100">
        <f t="shared" ref="K46:K48" si="44">J46</f>
        <v>0.33502140526720586</v>
      </c>
      <c r="L46" s="100">
        <f t="shared" ref="L46:L48" si="45">K46</f>
        <v>0.33502140526720586</v>
      </c>
    </row>
    <row r="47" spans="1:12" x14ac:dyDescent="0.25">
      <c r="B47" s="4" t="s">
        <v>66</v>
      </c>
      <c r="C47" s="8">
        <f>BalSheet!C32/IncState!C15</f>
        <v>5.2363065239780966E-2</v>
      </c>
      <c r="D47" s="8">
        <f>BalSheet!D32/IncState!D15</f>
        <v>4.471387402223137E-2</v>
      </c>
      <c r="E47" s="8">
        <f>BalSheet!E32/IncState!E15</f>
        <v>3.8643247522862099E-2</v>
      </c>
      <c r="F47" s="100">
        <f t="shared" ref="F47:J47" si="46">E47</f>
        <v>3.8643247522862099E-2</v>
      </c>
      <c r="G47" s="100">
        <f t="shared" si="46"/>
        <v>3.8643247522862099E-2</v>
      </c>
      <c r="H47" s="100">
        <f t="shared" si="46"/>
        <v>3.8643247522862099E-2</v>
      </c>
      <c r="I47" s="100">
        <f t="shared" si="46"/>
        <v>3.8643247522862099E-2</v>
      </c>
      <c r="J47" s="100">
        <f t="shared" si="46"/>
        <v>3.8643247522862099E-2</v>
      </c>
      <c r="K47" s="100">
        <f t="shared" si="44"/>
        <v>3.8643247522862099E-2</v>
      </c>
      <c r="L47" s="100">
        <f t="shared" si="45"/>
        <v>3.8643247522862099E-2</v>
      </c>
    </row>
    <row r="48" spans="1:12" x14ac:dyDescent="0.25">
      <c r="B48" s="4" t="s">
        <v>67</v>
      </c>
      <c r="C48" s="8">
        <f>BalSheet!C36/IncState!C15</f>
        <v>0.50655978614441277</v>
      </c>
      <c r="D48" s="8">
        <f>BalSheet!D36/IncState!D15</f>
        <v>0.41707012487992318</v>
      </c>
      <c r="E48" s="8">
        <f>BalSheet!E36/IncState!E15</f>
        <v>0.354324368354479</v>
      </c>
      <c r="F48" s="100">
        <f t="shared" ref="F48:J48" si="47">E48</f>
        <v>0.354324368354479</v>
      </c>
      <c r="G48" s="100">
        <f t="shared" si="47"/>
        <v>0.354324368354479</v>
      </c>
      <c r="H48" s="100">
        <f t="shared" si="47"/>
        <v>0.354324368354479</v>
      </c>
      <c r="I48" s="100">
        <f t="shared" si="47"/>
        <v>0.354324368354479</v>
      </c>
      <c r="J48" s="100">
        <f t="shared" si="47"/>
        <v>0.354324368354479</v>
      </c>
      <c r="K48" s="100">
        <f t="shared" si="44"/>
        <v>0.354324368354479</v>
      </c>
      <c r="L48" s="100">
        <f t="shared" si="45"/>
        <v>0.354324368354479</v>
      </c>
    </row>
    <row r="49" spans="6:12" x14ac:dyDescent="0.25">
      <c r="F49" s="121"/>
      <c r="G49" s="30"/>
      <c r="H49" s="30"/>
      <c r="I49" s="30"/>
      <c r="J49" s="30"/>
      <c r="K49" s="30"/>
      <c r="L49" s="30"/>
    </row>
    <row r="50" spans="6:12" x14ac:dyDescent="0.25">
      <c r="F50" s="122"/>
      <c r="G50" s="94"/>
      <c r="H50" s="94"/>
      <c r="I50" s="94"/>
      <c r="J50" s="94"/>
      <c r="K50" s="94"/>
      <c r="L50" s="94"/>
    </row>
    <row r="51" spans="6:12" x14ac:dyDescent="0.25">
      <c r="F51" s="94"/>
      <c r="G51" s="94"/>
      <c r="H51" s="94"/>
      <c r="I51" s="94"/>
      <c r="J51" s="94"/>
      <c r="K51" s="94"/>
      <c r="L51" s="94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M6:M7 N7:T7 D7:D8 M9:N11 F21:L28 F46:L48 F50:L51 F6:L8 F11:L19 F37:L42 F30:L33">
    <cfRule type="expression" dxfId="4" priority="14">
      <formula>$E$10&gt;1</formula>
    </cfRule>
  </conditionalFormatting>
  <conditionalFormatting sqref="E7">
    <cfRule type="expression" dxfId="3" priority="32">
      <formula>$E$10&lt;&gt;2</formula>
    </cfRule>
  </conditionalFormatting>
  <conditionalFormatting sqref="E8">
    <cfRule type="expression" dxfId="2" priority="33">
      <formula>$E$10&lt;&gt;3</formula>
    </cfRule>
  </conditionalFormatting>
  <dataValidations count="1">
    <dataValidation type="list" allowBlank="1" showInputMessage="1" showErrorMessage="1" sqref="D4 M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M39"/>
  <sheetViews>
    <sheetView showGridLines="0" zoomScaleNormal="100" workbookViewId="0">
      <selection activeCell="F25" sqref="F6:L25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3" width="10.7109375" style="4" customWidth="1"/>
    <col min="264" max="509" width="8.85546875" style="4"/>
    <col min="510" max="510" width="1.7109375" style="4" customWidth="1"/>
    <col min="511" max="511" width="40.7109375" style="4" customWidth="1"/>
    <col min="512" max="519" width="10.7109375" style="4" customWidth="1"/>
    <col min="520" max="765" width="8.85546875" style="4"/>
    <col min="766" max="766" width="1.7109375" style="4" customWidth="1"/>
    <col min="767" max="767" width="40.7109375" style="4" customWidth="1"/>
    <col min="768" max="775" width="10.7109375" style="4" customWidth="1"/>
    <col min="776" max="1021" width="8.85546875" style="4"/>
    <col min="1022" max="1022" width="1.7109375" style="4" customWidth="1"/>
    <col min="1023" max="1023" width="40.7109375" style="4" customWidth="1"/>
    <col min="1024" max="1031" width="10.7109375" style="4" customWidth="1"/>
    <col min="1032" max="1277" width="8.85546875" style="4"/>
    <col min="1278" max="1278" width="1.7109375" style="4" customWidth="1"/>
    <col min="1279" max="1279" width="40.7109375" style="4" customWidth="1"/>
    <col min="1280" max="1287" width="10.7109375" style="4" customWidth="1"/>
    <col min="1288" max="1533" width="8.85546875" style="4"/>
    <col min="1534" max="1534" width="1.7109375" style="4" customWidth="1"/>
    <col min="1535" max="1535" width="40.7109375" style="4" customWidth="1"/>
    <col min="1536" max="1543" width="10.7109375" style="4" customWidth="1"/>
    <col min="1544" max="1789" width="8.85546875" style="4"/>
    <col min="1790" max="1790" width="1.7109375" style="4" customWidth="1"/>
    <col min="1791" max="1791" width="40.7109375" style="4" customWidth="1"/>
    <col min="1792" max="1799" width="10.7109375" style="4" customWidth="1"/>
    <col min="1800" max="2045" width="8.85546875" style="4"/>
    <col min="2046" max="2046" width="1.7109375" style="4" customWidth="1"/>
    <col min="2047" max="2047" width="40.7109375" style="4" customWidth="1"/>
    <col min="2048" max="2055" width="10.7109375" style="4" customWidth="1"/>
    <col min="2056" max="2301" width="8.85546875" style="4"/>
    <col min="2302" max="2302" width="1.7109375" style="4" customWidth="1"/>
    <col min="2303" max="2303" width="40.7109375" style="4" customWidth="1"/>
    <col min="2304" max="2311" width="10.7109375" style="4" customWidth="1"/>
    <col min="2312" max="2557" width="8.85546875" style="4"/>
    <col min="2558" max="2558" width="1.7109375" style="4" customWidth="1"/>
    <col min="2559" max="2559" width="40.7109375" style="4" customWidth="1"/>
    <col min="2560" max="2567" width="10.7109375" style="4" customWidth="1"/>
    <col min="2568" max="2813" width="8.85546875" style="4"/>
    <col min="2814" max="2814" width="1.7109375" style="4" customWidth="1"/>
    <col min="2815" max="2815" width="40.7109375" style="4" customWidth="1"/>
    <col min="2816" max="2823" width="10.7109375" style="4" customWidth="1"/>
    <col min="2824" max="3069" width="8.85546875" style="4"/>
    <col min="3070" max="3070" width="1.7109375" style="4" customWidth="1"/>
    <col min="3071" max="3071" width="40.7109375" style="4" customWidth="1"/>
    <col min="3072" max="3079" width="10.7109375" style="4" customWidth="1"/>
    <col min="3080" max="3325" width="8.85546875" style="4"/>
    <col min="3326" max="3326" width="1.7109375" style="4" customWidth="1"/>
    <col min="3327" max="3327" width="40.7109375" style="4" customWidth="1"/>
    <col min="3328" max="3335" width="10.7109375" style="4" customWidth="1"/>
    <col min="3336" max="3581" width="8.85546875" style="4"/>
    <col min="3582" max="3582" width="1.7109375" style="4" customWidth="1"/>
    <col min="3583" max="3583" width="40.7109375" style="4" customWidth="1"/>
    <col min="3584" max="3591" width="10.7109375" style="4" customWidth="1"/>
    <col min="3592" max="3837" width="8.85546875" style="4"/>
    <col min="3838" max="3838" width="1.7109375" style="4" customWidth="1"/>
    <col min="3839" max="3839" width="40.7109375" style="4" customWidth="1"/>
    <col min="3840" max="3847" width="10.7109375" style="4" customWidth="1"/>
    <col min="3848" max="4093" width="8.85546875" style="4"/>
    <col min="4094" max="4094" width="1.7109375" style="4" customWidth="1"/>
    <col min="4095" max="4095" width="40.7109375" style="4" customWidth="1"/>
    <col min="4096" max="4103" width="10.7109375" style="4" customWidth="1"/>
    <col min="4104" max="4349" width="8.85546875" style="4"/>
    <col min="4350" max="4350" width="1.7109375" style="4" customWidth="1"/>
    <col min="4351" max="4351" width="40.7109375" style="4" customWidth="1"/>
    <col min="4352" max="4359" width="10.7109375" style="4" customWidth="1"/>
    <col min="4360" max="4605" width="8.85546875" style="4"/>
    <col min="4606" max="4606" width="1.7109375" style="4" customWidth="1"/>
    <col min="4607" max="4607" width="40.7109375" style="4" customWidth="1"/>
    <col min="4608" max="4615" width="10.7109375" style="4" customWidth="1"/>
    <col min="4616" max="4861" width="8.85546875" style="4"/>
    <col min="4862" max="4862" width="1.7109375" style="4" customWidth="1"/>
    <col min="4863" max="4863" width="40.7109375" style="4" customWidth="1"/>
    <col min="4864" max="4871" width="10.7109375" style="4" customWidth="1"/>
    <col min="4872" max="5117" width="8.85546875" style="4"/>
    <col min="5118" max="5118" width="1.7109375" style="4" customWidth="1"/>
    <col min="5119" max="5119" width="40.7109375" style="4" customWidth="1"/>
    <col min="5120" max="5127" width="10.7109375" style="4" customWidth="1"/>
    <col min="5128" max="5373" width="8.85546875" style="4"/>
    <col min="5374" max="5374" width="1.7109375" style="4" customWidth="1"/>
    <col min="5375" max="5375" width="40.7109375" style="4" customWidth="1"/>
    <col min="5376" max="5383" width="10.7109375" style="4" customWidth="1"/>
    <col min="5384" max="5629" width="8.85546875" style="4"/>
    <col min="5630" max="5630" width="1.7109375" style="4" customWidth="1"/>
    <col min="5631" max="5631" width="40.7109375" style="4" customWidth="1"/>
    <col min="5632" max="5639" width="10.7109375" style="4" customWidth="1"/>
    <col min="5640" max="5885" width="8.85546875" style="4"/>
    <col min="5886" max="5886" width="1.7109375" style="4" customWidth="1"/>
    <col min="5887" max="5887" width="40.7109375" style="4" customWidth="1"/>
    <col min="5888" max="5895" width="10.7109375" style="4" customWidth="1"/>
    <col min="5896" max="6141" width="8.85546875" style="4"/>
    <col min="6142" max="6142" width="1.7109375" style="4" customWidth="1"/>
    <col min="6143" max="6143" width="40.7109375" style="4" customWidth="1"/>
    <col min="6144" max="6151" width="10.7109375" style="4" customWidth="1"/>
    <col min="6152" max="6397" width="8.85546875" style="4"/>
    <col min="6398" max="6398" width="1.7109375" style="4" customWidth="1"/>
    <col min="6399" max="6399" width="40.7109375" style="4" customWidth="1"/>
    <col min="6400" max="6407" width="10.7109375" style="4" customWidth="1"/>
    <col min="6408" max="6653" width="8.85546875" style="4"/>
    <col min="6654" max="6654" width="1.7109375" style="4" customWidth="1"/>
    <col min="6655" max="6655" width="40.7109375" style="4" customWidth="1"/>
    <col min="6656" max="6663" width="10.7109375" style="4" customWidth="1"/>
    <col min="6664" max="6909" width="8.85546875" style="4"/>
    <col min="6910" max="6910" width="1.7109375" style="4" customWidth="1"/>
    <col min="6911" max="6911" width="40.7109375" style="4" customWidth="1"/>
    <col min="6912" max="6919" width="10.7109375" style="4" customWidth="1"/>
    <col min="6920" max="7165" width="8.85546875" style="4"/>
    <col min="7166" max="7166" width="1.7109375" style="4" customWidth="1"/>
    <col min="7167" max="7167" width="40.7109375" style="4" customWidth="1"/>
    <col min="7168" max="7175" width="10.7109375" style="4" customWidth="1"/>
    <col min="7176" max="7421" width="8.85546875" style="4"/>
    <col min="7422" max="7422" width="1.7109375" style="4" customWidth="1"/>
    <col min="7423" max="7423" width="40.7109375" style="4" customWidth="1"/>
    <col min="7424" max="7431" width="10.7109375" style="4" customWidth="1"/>
    <col min="7432" max="7677" width="8.85546875" style="4"/>
    <col min="7678" max="7678" width="1.7109375" style="4" customWidth="1"/>
    <col min="7679" max="7679" width="40.7109375" style="4" customWidth="1"/>
    <col min="7680" max="7687" width="10.7109375" style="4" customWidth="1"/>
    <col min="7688" max="7933" width="8.85546875" style="4"/>
    <col min="7934" max="7934" width="1.7109375" style="4" customWidth="1"/>
    <col min="7935" max="7935" width="40.7109375" style="4" customWidth="1"/>
    <col min="7936" max="7943" width="10.7109375" style="4" customWidth="1"/>
    <col min="7944" max="8189" width="8.85546875" style="4"/>
    <col min="8190" max="8190" width="1.7109375" style="4" customWidth="1"/>
    <col min="8191" max="8191" width="40.7109375" style="4" customWidth="1"/>
    <col min="8192" max="8199" width="10.7109375" style="4" customWidth="1"/>
    <col min="8200" max="8445" width="8.85546875" style="4"/>
    <col min="8446" max="8446" width="1.7109375" style="4" customWidth="1"/>
    <col min="8447" max="8447" width="40.7109375" style="4" customWidth="1"/>
    <col min="8448" max="8455" width="10.7109375" style="4" customWidth="1"/>
    <col min="8456" max="8701" width="8.85546875" style="4"/>
    <col min="8702" max="8702" width="1.7109375" style="4" customWidth="1"/>
    <col min="8703" max="8703" width="40.7109375" style="4" customWidth="1"/>
    <col min="8704" max="8711" width="10.7109375" style="4" customWidth="1"/>
    <col min="8712" max="8957" width="8.85546875" style="4"/>
    <col min="8958" max="8958" width="1.7109375" style="4" customWidth="1"/>
    <col min="8959" max="8959" width="40.7109375" style="4" customWidth="1"/>
    <col min="8960" max="8967" width="10.7109375" style="4" customWidth="1"/>
    <col min="8968" max="9213" width="8.85546875" style="4"/>
    <col min="9214" max="9214" width="1.7109375" style="4" customWidth="1"/>
    <col min="9215" max="9215" width="40.7109375" style="4" customWidth="1"/>
    <col min="9216" max="9223" width="10.7109375" style="4" customWidth="1"/>
    <col min="9224" max="9469" width="8.85546875" style="4"/>
    <col min="9470" max="9470" width="1.7109375" style="4" customWidth="1"/>
    <col min="9471" max="9471" width="40.7109375" style="4" customWidth="1"/>
    <col min="9472" max="9479" width="10.7109375" style="4" customWidth="1"/>
    <col min="9480" max="9725" width="8.85546875" style="4"/>
    <col min="9726" max="9726" width="1.7109375" style="4" customWidth="1"/>
    <col min="9727" max="9727" width="40.7109375" style="4" customWidth="1"/>
    <col min="9728" max="9735" width="10.7109375" style="4" customWidth="1"/>
    <col min="9736" max="9981" width="8.85546875" style="4"/>
    <col min="9982" max="9982" width="1.7109375" style="4" customWidth="1"/>
    <col min="9983" max="9983" width="40.7109375" style="4" customWidth="1"/>
    <col min="9984" max="9991" width="10.7109375" style="4" customWidth="1"/>
    <col min="9992" max="10237" width="8.85546875" style="4"/>
    <col min="10238" max="10238" width="1.7109375" style="4" customWidth="1"/>
    <col min="10239" max="10239" width="40.7109375" style="4" customWidth="1"/>
    <col min="10240" max="10247" width="10.7109375" style="4" customWidth="1"/>
    <col min="10248" max="10493" width="8.85546875" style="4"/>
    <col min="10494" max="10494" width="1.7109375" style="4" customWidth="1"/>
    <col min="10495" max="10495" width="40.7109375" style="4" customWidth="1"/>
    <col min="10496" max="10503" width="10.7109375" style="4" customWidth="1"/>
    <col min="10504" max="10749" width="8.85546875" style="4"/>
    <col min="10750" max="10750" width="1.7109375" style="4" customWidth="1"/>
    <col min="10751" max="10751" width="40.7109375" style="4" customWidth="1"/>
    <col min="10752" max="10759" width="10.7109375" style="4" customWidth="1"/>
    <col min="10760" max="11005" width="8.85546875" style="4"/>
    <col min="11006" max="11006" width="1.7109375" style="4" customWidth="1"/>
    <col min="11007" max="11007" width="40.7109375" style="4" customWidth="1"/>
    <col min="11008" max="11015" width="10.7109375" style="4" customWidth="1"/>
    <col min="11016" max="11261" width="8.85546875" style="4"/>
    <col min="11262" max="11262" width="1.7109375" style="4" customWidth="1"/>
    <col min="11263" max="11263" width="40.7109375" style="4" customWidth="1"/>
    <col min="11264" max="11271" width="10.7109375" style="4" customWidth="1"/>
    <col min="11272" max="11517" width="8.85546875" style="4"/>
    <col min="11518" max="11518" width="1.7109375" style="4" customWidth="1"/>
    <col min="11519" max="11519" width="40.7109375" style="4" customWidth="1"/>
    <col min="11520" max="11527" width="10.7109375" style="4" customWidth="1"/>
    <col min="11528" max="11773" width="8.85546875" style="4"/>
    <col min="11774" max="11774" width="1.7109375" style="4" customWidth="1"/>
    <col min="11775" max="11775" width="40.7109375" style="4" customWidth="1"/>
    <col min="11776" max="11783" width="10.7109375" style="4" customWidth="1"/>
    <col min="11784" max="12029" width="8.85546875" style="4"/>
    <col min="12030" max="12030" width="1.7109375" style="4" customWidth="1"/>
    <col min="12031" max="12031" width="40.7109375" style="4" customWidth="1"/>
    <col min="12032" max="12039" width="10.7109375" style="4" customWidth="1"/>
    <col min="12040" max="12285" width="8.85546875" style="4"/>
    <col min="12286" max="12286" width="1.7109375" style="4" customWidth="1"/>
    <col min="12287" max="12287" width="40.7109375" style="4" customWidth="1"/>
    <col min="12288" max="12295" width="10.7109375" style="4" customWidth="1"/>
    <col min="12296" max="12541" width="8.85546875" style="4"/>
    <col min="12542" max="12542" width="1.7109375" style="4" customWidth="1"/>
    <col min="12543" max="12543" width="40.7109375" style="4" customWidth="1"/>
    <col min="12544" max="12551" width="10.7109375" style="4" customWidth="1"/>
    <col min="12552" max="12797" width="8.85546875" style="4"/>
    <col min="12798" max="12798" width="1.7109375" style="4" customWidth="1"/>
    <col min="12799" max="12799" width="40.7109375" style="4" customWidth="1"/>
    <col min="12800" max="12807" width="10.7109375" style="4" customWidth="1"/>
    <col min="12808" max="13053" width="8.85546875" style="4"/>
    <col min="13054" max="13054" width="1.7109375" style="4" customWidth="1"/>
    <col min="13055" max="13055" width="40.7109375" style="4" customWidth="1"/>
    <col min="13056" max="13063" width="10.7109375" style="4" customWidth="1"/>
    <col min="13064" max="13309" width="8.85546875" style="4"/>
    <col min="13310" max="13310" width="1.7109375" style="4" customWidth="1"/>
    <col min="13311" max="13311" width="40.7109375" style="4" customWidth="1"/>
    <col min="13312" max="13319" width="10.7109375" style="4" customWidth="1"/>
    <col min="13320" max="13565" width="8.85546875" style="4"/>
    <col min="13566" max="13566" width="1.7109375" style="4" customWidth="1"/>
    <col min="13567" max="13567" width="40.7109375" style="4" customWidth="1"/>
    <col min="13568" max="13575" width="10.7109375" style="4" customWidth="1"/>
    <col min="13576" max="13821" width="8.85546875" style="4"/>
    <col min="13822" max="13822" width="1.7109375" style="4" customWidth="1"/>
    <col min="13823" max="13823" width="40.7109375" style="4" customWidth="1"/>
    <col min="13824" max="13831" width="10.7109375" style="4" customWidth="1"/>
    <col min="13832" max="14077" width="8.85546875" style="4"/>
    <col min="14078" max="14078" width="1.7109375" style="4" customWidth="1"/>
    <col min="14079" max="14079" width="40.7109375" style="4" customWidth="1"/>
    <col min="14080" max="14087" width="10.7109375" style="4" customWidth="1"/>
    <col min="14088" max="14333" width="8.85546875" style="4"/>
    <col min="14334" max="14334" width="1.7109375" style="4" customWidth="1"/>
    <col min="14335" max="14335" width="40.7109375" style="4" customWidth="1"/>
    <col min="14336" max="14343" width="10.7109375" style="4" customWidth="1"/>
    <col min="14344" max="14589" width="8.85546875" style="4"/>
    <col min="14590" max="14590" width="1.7109375" style="4" customWidth="1"/>
    <col min="14591" max="14591" width="40.7109375" style="4" customWidth="1"/>
    <col min="14592" max="14599" width="10.7109375" style="4" customWidth="1"/>
    <col min="14600" max="14845" width="8.85546875" style="4"/>
    <col min="14846" max="14846" width="1.7109375" style="4" customWidth="1"/>
    <col min="14847" max="14847" width="40.7109375" style="4" customWidth="1"/>
    <col min="14848" max="14855" width="10.7109375" style="4" customWidth="1"/>
    <col min="14856" max="15101" width="8.85546875" style="4"/>
    <col min="15102" max="15102" width="1.7109375" style="4" customWidth="1"/>
    <col min="15103" max="15103" width="40.7109375" style="4" customWidth="1"/>
    <col min="15104" max="15111" width="10.7109375" style="4" customWidth="1"/>
    <col min="15112" max="15357" width="8.85546875" style="4"/>
    <col min="15358" max="15358" width="1.7109375" style="4" customWidth="1"/>
    <col min="15359" max="15359" width="40.7109375" style="4" customWidth="1"/>
    <col min="15360" max="15367" width="10.7109375" style="4" customWidth="1"/>
    <col min="15368" max="15613" width="8.85546875" style="4"/>
    <col min="15614" max="15614" width="1.7109375" style="4" customWidth="1"/>
    <col min="15615" max="15615" width="40.7109375" style="4" customWidth="1"/>
    <col min="15616" max="15623" width="10.7109375" style="4" customWidth="1"/>
    <col min="15624" max="15869" width="8.85546875" style="4"/>
    <col min="15870" max="15870" width="1.7109375" style="4" customWidth="1"/>
    <col min="15871" max="15871" width="40.7109375" style="4" customWidth="1"/>
    <col min="15872" max="15879" width="10.7109375" style="4" customWidth="1"/>
    <col min="15880" max="16125" width="8.85546875" style="4"/>
    <col min="16126" max="16126" width="1.7109375" style="4" customWidth="1"/>
    <col min="16127" max="16127" width="40.7109375" style="4" customWidth="1"/>
    <col min="16128" max="16135" width="10.7109375" style="4" customWidth="1"/>
    <col min="16136" max="16384" width="8.85546875" style="4"/>
  </cols>
  <sheetData>
    <row r="1" spans="1:13" s="2" customFormat="1" ht="19.5" x14ac:dyDescent="0.3">
      <c r="A1" s="226" t="str">
        <f>CoName</f>
        <v>Cava Group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3" x14ac:dyDescent="0.25">
      <c r="A2" s="20" t="s">
        <v>11</v>
      </c>
      <c r="B2" s="19"/>
      <c r="C2" s="187">
        <v>2022</v>
      </c>
      <c r="D2" s="225">
        <f>C2+1</f>
        <v>2023</v>
      </c>
      <c r="E2" s="225">
        <f t="shared" ref="E2:J2" si="0">D2+1</f>
        <v>2024</v>
      </c>
      <c r="F2" s="225">
        <f t="shared" si="0"/>
        <v>2025</v>
      </c>
      <c r="G2" s="225">
        <f t="shared" si="0"/>
        <v>2026</v>
      </c>
      <c r="H2" s="225">
        <f t="shared" si="0"/>
        <v>2027</v>
      </c>
      <c r="I2" s="225">
        <f t="shared" si="0"/>
        <v>2028</v>
      </c>
      <c r="J2" s="225">
        <f t="shared" si="0"/>
        <v>2029</v>
      </c>
      <c r="K2" s="225">
        <f t="shared" ref="K2" si="1">J2+1</f>
        <v>2030</v>
      </c>
      <c r="L2" s="225">
        <f t="shared" ref="L2" si="2">K2+1</f>
        <v>2031</v>
      </c>
      <c r="M2" s="188"/>
    </row>
    <row r="3" spans="1:13" x14ac:dyDescent="0.25">
      <c r="B3" s="4" t="s">
        <v>12</v>
      </c>
      <c r="C3" s="29"/>
      <c r="D3" s="29"/>
      <c r="E3" s="40"/>
      <c r="F3" s="192">
        <f>Assumptions!F31</f>
        <v>0.10720249182069765</v>
      </c>
      <c r="G3" s="192">
        <f>Assumptions!G31</f>
        <v>0.10220249182069764</v>
      </c>
      <c r="H3" s="192">
        <f>Assumptions!H31</f>
        <v>9.7202491820697637E-2</v>
      </c>
      <c r="I3" s="192">
        <f>Assumptions!I31</f>
        <v>9.2202491820697632E-2</v>
      </c>
      <c r="J3" s="192">
        <f>Assumptions!J31</f>
        <v>8.7202491820697628E-2</v>
      </c>
      <c r="K3" s="192">
        <f>Assumptions!K31</f>
        <v>8.2202491820697624E-2</v>
      </c>
      <c r="L3" s="192">
        <f>Assumptions!L31</f>
        <v>7.7202491820697619E-2</v>
      </c>
    </row>
    <row r="4" spans="1:13" x14ac:dyDescent="0.25">
      <c r="B4" s="4" t="s">
        <v>134</v>
      </c>
      <c r="C4" s="29"/>
      <c r="D4" s="29"/>
      <c r="E4" s="40"/>
      <c r="F4" s="192">
        <f>Assumptions!F32</f>
        <v>9.7318363510007569E-2</v>
      </c>
      <c r="G4" s="192">
        <f>F4</f>
        <v>9.7318363510007569E-2</v>
      </c>
      <c r="H4" s="192">
        <f t="shared" ref="H4:J4" si="3">G4</f>
        <v>9.7318363510007569E-2</v>
      </c>
      <c r="I4" s="192">
        <f t="shared" si="3"/>
        <v>9.7318363510007569E-2</v>
      </c>
      <c r="J4" s="192">
        <f t="shared" si="3"/>
        <v>9.7318363510007569E-2</v>
      </c>
      <c r="K4" s="192">
        <f t="shared" ref="K4" si="4">J4</f>
        <v>9.7318363510007569E-2</v>
      </c>
      <c r="L4" s="192">
        <f t="shared" ref="L4" si="5">K4</f>
        <v>9.7318363510007569E-2</v>
      </c>
    </row>
    <row r="5" spans="1:13" x14ac:dyDescent="0.25">
      <c r="E5" s="27"/>
      <c r="F5" s="77"/>
      <c r="G5" s="65"/>
      <c r="H5" s="83"/>
      <c r="I5" s="65"/>
      <c r="J5" s="65"/>
      <c r="K5" s="65"/>
      <c r="L5" s="65"/>
    </row>
    <row r="6" spans="1:13" x14ac:dyDescent="0.25">
      <c r="B6" s="4" t="s">
        <v>13</v>
      </c>
      <c r="E6" s="27"/>
      <c r="F6" s="4">
        <f>E9</f>
        <v>694734</v>
      </c>
      <c r="G6" s="4">
        <f t="shared" ref="G6:L6" si="6">F9</f>
        <v>753681.35692023835</v>
      </c>
      <c r="H6" s="4">
        <f t="shared" si="6"/>
        <v>827738.52285603387</v>
      </c>
      <c r="I6" s="4">
        <f t="shared" si="6"/>
        <v>917995.29889915953</v>
      </c>
      <c r="J6" s="4">
        <f t="shared" si="6"/>
        <v>1025533.5768474558</v>
      </c>
      <c r="K6" s="4">
        <f t="shared" si="6"/>
        <v>1151367.2326808474</v>
      </c>
      <c r="L6" s="4">
        <f t="shared" si="6"/>
        <v>1296365.2573368256</v>
      </c>
    </row>
    <row r="7" spans="1:13" x14ac:dyDescent="0.25">
      <c r="B7" s="4" t="s">
        <v>14</v>
      </c>
      <c r="C7" s="12"/>
      <c r="D7" s="12"/>
      <c r="E7" s="127"/>
      <c r="F7" s="4">
        <f>F3*IncState!F15</f>
        <v>126557.73287499999</v>
      </c>
      <c r="G7" s="4">
        <f>G3*IncState!G15</f>
        <v>147404.20219927499</v>
      </c>
      <c r="H7" s="4">
        <f>H3*IncState!H15</f>
        <v>170810.93450166594</v>
      </c>
      <c r="I7" s="4">
        <f>I3*IncState!I15</f>
        <v>196876.07814704275</v>
      </c>
      <c r="J7" s="4">
        <f>J3*IncState!J15</f>
        <v>225636.90525675053</v>
      </c>
      <c r="K7" s="4">
        <f>K3*IncState!K15</f>
        <v>257047.1995395243</v>
      </c>
      <c r="L7" s="4">
        <f>L3*IncState!L15</f>
        <v>290949.98232671537</v>
      </c>
    </row>
    <row r="8" spans="1:13" x14ac:dyDescent="0.25">
      <c r="B8" s="4" t="s">
        <v>15</v>
      </c>
      <c r="E8" s="27"/>
      <c r="F8" s="4">
        <f>F4*F6</f>
        <v>67610.375954761592</v>
      </c>
      <c r="G8" s="4">
        <f t="shared" ref="G8:L8" si="7">G4*G6</f>
        <v>73347.036263479516</v>
      </c>
      <c r="H8" s="4">
        <f t="shared" si="7"/>
        <v>80554.158458540216</v>
      </c>
      <c r="I8" s="4">
        <f t="shared" si="7"/>
        <v>89337.800198746452</v>
      </c>
      <c r="J8" s="4">
        <f t="shared" si="7"/>
        <v>99803.249423358982</v>
      </c>
      <c r="K8" s="4">
        <f t="shared" si="7"/>
        <v>112049.17488354618</v>
      </c>
      <c r="L8" s="4">
        <f t="shared" si="7"/>
        <v>126160.1453552497</v>
      </c>
    </row>
    <row r="9" spans="1:13" x14ac:dyDescent="0.25">
      <c r="B9" s="4" t="s">
        <v>16</v>
      </c>
      <c r="E9" s="27">
        <f>BalSheet!E23</f>
        <v>694734</v>
      </c>
      <c r="F9" s="4">
        <f>F6+F7-F8</f>
        <v>753681.35692023835</v>
      </c>
      <c r="G9" s="4">
        <f t="shared" ref="G9:L9" si="8">G6+G7-G8</f>
        <v>827738.52285603387</v>
      </c>
      <c r="H9" s="4">
        <f t="shared" si="8"/>
        <v>917995.29889915953</v>
      </c>
      <c r="I9" s="4">
        <f t="shared" si="8"/>
        <v>1025533.5768474558</v>
      </c>
      <c r="J9" s="4">
        <f t="shared" si="8"/>
        <v>1151367.2326808474</v>
      </c>
      <c r="K9" s="4">
        <f t="shared" si="8"/>
        <v>1296365.2573368256</v>
      </c>
      <c r="L9" s="4">
        <f t="shared" si="8"/>
        <v>1461155.0943082911</v>
      </c>
    </row>
    <row r="10" spans="1:13" x14ac:dyDescent="0.25">
      <c r="A10" s="20" t="s">
        <v>17</v>
      </c>
      <c r="B10" s="42"/>
      <c r="C10" s="212">
        <f t="shared" ref="C10:J10" si="9">C2</f>
        <v>2022</v>
      </c>
      <c r="D10" s="212">
        <f t="shared" si="9"/>
        <v>2023</v>
      </c>
      <c r="E10" s="212">
        <f t="shared" si="9"/>
        <v>2024</v>
      </c>
      <c r="F10" s="212">
        <f t="shared" si="9"/>
        <v>2025</v>
      </c>
      <c r="G10" s="212">
        <f t="shared" ref="G10:L10" si="10">G2</f>
        <v>2026</v>
      </c>
      <c r="H10" s="212">
        <f t="shared" si="10"/>
        <v>2027</v>
      </c>
      <c r="I10" s="212">
        <f t="shared" si="10"/>
        <v>2028</v>
      </c>
      <c r="J10" s="212">
        <f t="shared" si="10"/>
        <v>2029</v>
      </c>
      <c r="K10" s="212">
        <f t="shared" si="10"/>
        <v>2030</v>
      </c>
      <c r="L10" s="212">
        <f t="shared" si="10"/>
        <v>2031</v>
      </c>
    </row>
    <row r="11" spans="1:13" x14ac:dyDescent="0.25">
      <c r="B11" s="4" t="s">
        <v>18</v>
      </c>
      <c r="E11" s="27"/>
      <c r="F11" s="227">
        <f>Assumptions!F33</f>
        <v>0</v>
      </c>
      <c r="G11" s="227">
        <f>Assumptions!G33</f>
        <v>0</v>
      </c>
      <c r="H11" s="227">
        <f>Assumptions!H33</f>
        <v>0</v>
      </c>
      <c r="I11" s="227">
        <f>Assumptions!I33</f>
        <v>0</v>
      </c>
      <c r="J11" s="227">
        <f>Assumptions!J33</f>
        <v>0</v>
      </c>
      <c r="K11" s="227">
        <f>Assumptions!K33</f>
        <v>0</v>
      </c>
      <c r="L11" s="227">
        <f>Assumptions!L33</f>
        <v>0</v>
      </c>
    </row>
    <row r="12" spans="1:13" x14ac:dyDescent="0.25">
      <c r="E12" s="27"/>
      <c r="F12" s="77"/>
      <c r="G12" s="77"/>
      <c r="H12" s="77"/>
      <c r="I12" s="77"/>
      <c r="J12" s="77"/>
      <c r="K12" s="77"/>
      <c r="L12" s="77"/>
    </row>
    <row r="13" spans="1:13" x14ac:dyDescent="0.25">
      <c r="B13" s="4" t="s">
        <v>19</v>
      </c>
      <c r="E13" s="27"/>
      <c r="F13" s="4">
        <f>E16</f>
        <v>695566</v>
      </c>
      <c r="G13" s="4">
        <f t="shared" ref="G13:L13" si="11">F16</f>
        <v>700710.41480000003</v>
      </c>
      <c r="H13" s="4">
        <f t="shared" si="11"/>
        <v>798486.96253431996</v>
      </c>
      <c r="I13" s="4">
        <f t="shared" si="11"/>
        <v>945734.21375919355</v>
      </c>
      <c r="J13" s="4">
        <f t="shared" si="11"/>
        <v>1158818.4714935184</v>
      </c>
      <c r="K13" s="4">
        <f t="shared" si="11"/>
        <v>1458434.058989848</v>
      </c>
      <c r="L13" s="4">
        <f t="shared" si="11"/>
        <v>1870551.4979615903</v>
      </c>
    </row>
    <row r="14" spans="1:13" x14ac:dyDescent="0.25">
      <c r="B14" s="4" t="s">
        <v>20</v>
      </c>
      <c r="E14" s="27"/>
      <c r="F14" s="4">
        <f>IncState!F33</f>
        <v>5144.4148000000041</v>
      </c>
      <c r="G14" s="4">
        <f>IncState!G33</f>
        <v>97776.547734319975</v>
      </c>
      <c r="H14" s="4">
        <f>IncState!H33</f>
        <v>147247.25122487359</v>
      </c>
      <c r="I14" s="4">
        <f>IncState!I33</f>
        <v>213084.25773432496</v>
      </c>
      <c r="J14" s="4">
        <f>IncState!J33</f>
        <v>299615.58749632945</v>
      </c>
      <c r="K14" s="4">
        <f>IncState!K33</f>
        <v>412117.43897174223</v>
      </c>
      <c r="L14" s="4">
        <f>IncState!L33</f>
        <v>556982.50563536549</v>
      </c>
    </row>
    <row r="15" spans="1:13" x14ac:dyDescent="0.25">
      <c r="B15" s="4" t="s">
        <v>21</v>
      </c>
      <c r="E15" s="27"/>
      <c r="F15" s="4">
        <f>F11</f>
        <v>0</v>
      </c>
      <c r="G15" s="4">
        <f t="shared" ref="G15:L15" si="12">G11</f>
        <v>0</v>
      </c>
      <c r="H15" s="4">
        <f t="shared" si="12"/>
        <v>0</v>
      </c>
      <c r="I15" s="4">
        <f t="shared" si="12"/>
        <v>0</v>
      </c>
      <c r="J15" s="4">
        <f t="shared" si="12"/>
        <v>0</v>
      </c>
      <c r="K15" s="4">
        <f t="shared" si="12"/>
        <v>0</v>
      </c>
      <c r="L15" s="4">
        <f t="shared" si="12"/>
        <v>0</v>
      </c>
    </row>
    <row r="16" spans="1:13" x14ac:dyDescent="0.25">
      <c r="B16" s="4" t="s">
        <v>22</v>
      </c>
      <c r="E16" s="27">
        <f>BalSheet!E39</f>
        <v>695566</v>
      </c>
      <c r="F16" s="4">
        <f>SUM(F13:F15)</f>
        <v>700710.41480000003</v>
      </c>
      <c r="G16" s="4">
        <f t="shared" ref="G16:L16" si="13">SUM(G13:G15)</f>
        <v>798486.96253431996</v>
      </c>
      <c r="H16" s="4">
        <f t="shared" si="13"/>
        <v>945734.21375919355</v>
      </c>
      <c r="I16" s="4">
        <f t="shared" si="13"/>
        <v>1158818.4714935184</v>
      </c>
      <c r="J16" s="4">
        <f t="shared" si="13"/>
        <v>1458434.058989848</v>
      </c>
      <c r="K16" s="4">
        <f t="shared" si="13"/>
        <v>1870551.4979615903</v>
      </c>
      <c r="L16" s="4">
        <f t="shared" si="13"/>
        <v>2427534.0035969559</v>
      </c>
    </row>
    <row r="17" spans="1:12" x14ac:dyDescent="0.25">
      <c r="A17" s="20" t="s">
        <v>23</v>
      </c>
      <c r="B17" s="42"/>
      <c r="C17" s="212">
        <f>C10</f>
        <v>2022</v>
      </c>
      <c r="D17" s="212">
        <f t="shared" ref="D17:J17" si="14">D10</f>
        <v>2023</v>
      </c>
      <c r="E17" s="212">
        <f t="shared" si="14"/>
        <v>2024</v>
      </c>
      <c r="F17" s="212">
        <f t="shared" si="14"/>
        <v>2025</v>
      </c>
      <c r="G17" s="212">
        <f t="shared" ref="G17:L17" si="15">G10</f>
        <v>2026</v>
      </c>
      <c r="H17" s="212">
        <f t="shared" si="15"/>
        <v>2027</v>
      </c>
      <c r="I17" s="212">
        <f t="shared" si="15"/>
        <v>2028</v>
      </c>
      <c r="J17" s="212">
        <f t="shared" si="15"/>
        <v>2029</v>
      </c>
      <c r="K17" s="212">
        <f t="shared" si="15"/>
        <v>2030</v>
      </c>
      <c r="L17" s="212">
        <f t="shared" si="15"/>
        <v>2031</v>
      </c>
    </row>
    <row r="18" spans="1:12" x14ac:dyDescent="0.25">
      <c r="A18" s="86"/>
      <c r="B18" s="168" t="s">
        <v>157</v>
      </c>
      <c r="C18" s="190"/>
      <c r="D18" s="190"/>
      <c r="E18" s="194">
        <f>BalSheet!E16</f>
        <v>19274.260000000002</v>
      </c>
      <c r="F18" s="131">
        <f>BalSheet!F16</f>
        <v>23610.968500000003</v>
      </c>
      <c r="G18" s="131">
        <f>BalSheet!G16</f>
        <v>28845.520216450004</v>
      </c>
      <c r="H18" s="131">
        <f>BalSheet!H16</f>
        <v>35145.381831722676</v>
      </c>
      <c r="I18" s="131">
        <f>BalSheet!I16</f>
        <v>42705.15346372623</v>
      </c>
      <c r="J18" s="131">
        <f>BalSheet!J16</f>
        <v>51750.104967343446</v>
      </c>
      <c r="K18" s="131">
        <f>BalSheet!K16</f>
        <v>62540.001853034541</v>
      </c>
      <c r="L18" s="131">
        <f>BalSheet!L16</f>
        <v>75373.210233277234</v>
      </c>
    </row>
    <row r="19" spans="1:12" x14ac:dyDescent="0.25">
      <c r="B19" s="4" t="str">
        <f>BalSheet!B18</f>
        <v>Accounts receivable</v>
      </c>
      <c r="D19" s="97"/>
      <c r="E19" s="98">
        <f>BalSheet!E18</f>
        <v>12996</v>
      </c>
      <c r="F19" s="4">
        <f>BalSheet!F18</f>
        <v>15920.1</v>
      </c>
      <c r="G19" s="4">
        <f>BalSheet!G18</f>
        <v>19449.586169999999</v>
      </c>
      <c r="H19" s="4">
        <f>BalSheet!H18</f>
        <v>23697.375789527996</v>
      </c>
      <c r="I19" s="4">
        <f>BalSheet!I18</f>
        <v>28794.681321855471</v>
      </c>
      <c r="J19" s="4">
        <f>BalSheet!J18</f>
        <v>34893.394825824464</v>
      </c>
      <c r="K19" s="4">
        <f>BalSheet!K18</f>
        <v>42168.667647008857</v>
      </c>
      <c r="L19" s="4">
        <f>BalSheet!L18</f>
        <v>50821.678248175071</v>
      </c>
    </row>
    <row r="20" spans="1:12" x14ac:dyDescent="0.25">
      <c r="B20" s="4" t="str">
        <f>BalSheet!B19</f>
        <v>Inventories</v>
      </c>
      <c r="C20" s="97"/>
      <c r="D20" s="97"/>
      <c r="E20" s="98">
        <f>BalSheet!E19</f>
        <v>7600</v>
      </c>
      <c r="F20" s="4">
        <f>BalSheet!F19</f>
        <v>9152.451473258343</v>
      </c>
      <c r="G20" s="4">
        <f>BalSheet!G19</f>
        <v>10989.072929759433</v>
      </c>
      <c r="H20" s="4">
        <f>BalSheet!H19</f>
        <v>13154.572438028339</v>
      </c>
      <c r="I20" s="4">
        <f>BalSheet!I19</f>
        <v>15699.162984243752</v>
      </c>
      <c r="J20" s="4">
        <f>BalSheet!J19</f>
        <v>18678.933617835788</v>
      </c>
      <c r="K20" s="4">
        <f>BalSheet!K19</f>
        <v>22156.181620654595</v>
      </c>
      <c r="L20" s="4">
        <f>BalSheet!L19</f>
        <v>26199.688491199176</v>
      </c>
    </row>
    <row r="21" spans="1:12" x14ac:dyDescent="0.25">
      <c r="B21" s="4" t="s">
        <v>70</v>
      </c>
      <c r="C21" s="97"/>
      <c r="D21" s="97"/>
      <c r="E21" s="98">
        <f>BalSheet!E20</f>
        <v>7438</v>
      </c>
      <c r="F21" s="4">
        <f>BalSheet!F20</f>
        <v>9111.5500000000011</v>
      </c>
      <c r="G21" s="4">
        <f>BalSheet!G20</f>
        <v>11131.580635</v>
      </c>
      <c r="H21" s="4">
        <f>BalSheet!H20</f>
        <v>13562.717845683999</v>
      </c>
      <c r="I21" s="4">
        <f>BalSheet!I20</f>
        <v>16480.058454290629</v>
      </c>
      <c r="J21" s="4">
        <f>BalSheet!J20</f>
        <v>19970.534834909384</v>
      </c>
      <c r="K21" s="4">
        <f>BalSheet!K20</f>
        <v>24134.391347987985</v>
      </c>
      <c r="L21" s="4">
        <f>BalSheet!L20</f>
        <v>29086.768452595123</v>
      </c>
    </row>
    <row r="22" spans="1:12" x14ac:dyDescent="0.25">
      <c r="B22" s="4" t="s">
        <v>161</v>
      </c>
      <c r="C22" s="97"/>
      <c r="D22" s="97"/>
      <c r="E22" s="98">
        <f>BalSheet!E31</f>
        <v>95395</v>
      </c>
      <c r="F22" s="4">
        <f>BalSheet!F31</f>
        <v>114881.33003835258</v>
      </c>
      <c r="G22" s="4">
        <f>BalSheet!G31</f>
        <v>137934.55422821068</v>
      </c>
      <c r="H22" s="4">
        <f>BalSheet!H31</f>
        <v>165115.84706917283</v>
      </c>
      <c r="I22" s="4">
        <f>BalSheet!I31</f>
        <v>197055.48064235956</v>
      </c>
      <c r="J22" s="4">
        <f>BalSheet!J31</f>
        <v>234457.48322019013</v>
      </c>
      <c r="K22" s="4">
        <f>BalSheet!K31</f>
        <v>278103.80864504538</v>
      </c>
      <c r="L22" s="4">
        <f>BalSheet!L31</f>
        <v>328857.80047604541</v>
      </c>
    </row>
    <row r="23" spans="1:12" x14ac:dyDescent="0.25">
      <c r="B23" s="4" t="s">
        <v>76</v>
      </c>
      <c r="C23" s="97"/>
      <c r="D23" s="97"/>
      <c r="E23" s="98">
        <f>BalSheet!E32</f>
        <v>37241</v>
      </c>
      <c r="F23" s="4">
        <f>BalSheet!F32</f>
        <v>45620.225000000006</v>
      </c>
      <c r="G23" s="4">
        <f>BalSheet!G32</f>
        <v>55734.228882500007</v>
      </c>
      <c r="H23" s="4">
        <f>BalSheet!H32</f>
        <v>67906.584470438</v>
      </c>
      <c r="I23" s="4">
        <f>BalSheet!I32</f>
        <v>82513.290790029219</v>
      </c>
      <c r="J23" s="4">
        <f>BalSheet!J32</f>
        <v>99989.605779357415</v>
      </c>
      <c r="K23" s="4">
        <f>BalSheet!K32</f>
        <v>120837.43858435341</v>
      </c>
      <c r="L23" s="4">
        <f>BalSheet!L32</f>
        <v>145633.28098186274</v>
      </c>
    </row>
    <row r="24" spans="1:12" x14ac:dyDescent="0.25">
      <c r="A24" s="11" t="s">
        <v>124</v>
      </c>
      <c r="B24" s="17" t="s">
        <v>23</v>
      </c>
      <c r="C24" s="18"/>
      <c r="D24" s="18"/>
      <c r="E24" s="18">
        <f>SUM(E18:E21)-SUM(E22:E23)</f>
        <v>-85327.739999999991</v>
      </c>
      <c r="F24" s="18">
        <f>SUM(F18:F21)-SUM(F22:F23)</f>
        <v>-102706.48506509424</v>
      </c>
      <c r="G24" s="18">
        <f t="shared" ref="G24:L24" si="16">SUM(G18:G21)-SUM(G22:G23)</f>
        <v>-123253.02315950123</v>
      </c>
      <c r="H24" s="18">
        <f t="shared" si="16"/>
        <v>-147462.38363464782</v>
      </c>
      <c r="I24" s="18">
        <f t="shared" si="16"/>
        <v>-175889.71520827274</v>
      </c>
      <c r="J24" s="18">
        <f t="shared" si="16"/>
        <v>-209154.12075363443</v>
      </c>
      <c r="K24" s="18">
        <f t="shared" si="16"/>
        <v>-247942.00476071285</v>
      </c>
      <c r="L24" s="18">
        <f t="shared" si="16"/>
        <v>-293009.73603266152</v>
      </c>
    </row>
    <row r="25" spans="1:12" s="11" customFormat="1" x14ac:dyDescent="0.25">
      <c r="A25" s="24"/>
      <c r="B25" s="11" t="s">
        <v>149</v>
      </c>
      <c r="F25" s="11">
        <f>E24-F24</f>
        <v>17378.745065094248</v>
      </c>
      <c r="G25" s="11">
        <f t="shared" ref="G25:L25" si="17">F24-G24</f>
        <v>20546.538094406991</v>
      </c>
      <c r="H25" s="11">
        <f t="shared" si="17"/>
        <v>24209.36047514659</v>
      </c>
      <c r="I25" s="11">
        <f t="shared" si="17"/>
        <v>28427.331573624921</v>
      </c>
      <c r="J25" s="11">
        <f t="shared" si="17"/>
        <v>33264.405545361689</v>
      </c>
      <c r="K25" s="11">
        <f t="shared" si="17"/>
        <v>38787.884007078421</v>
      </c>
      <c r="L25" s="11">
        <f t="shared" si="17"/>
        <v>45067.731271948665</v>
      </c>
    </row>
    <row r="26" spans="1:12" x14ac:dyDescent="0.25">
      <c r="B26" s="65"/>
      <c r="C26" s="65"/>
      <c r="D26" s="65"/>
      <c r="E26" s="65"/>
      <c r="F26" s="65"/>
      <c r="G26" s="65"/>
      <c r="H26" s="83"/>
      <c r="I26" s="65"/>
      <c r="J26" s="65"/>
      <c r="K26" s="65"/>
      <c r="L26" s="65"/>
    </row>
    <row r="27" spans="1:12" x14ac:dyDescent="0.25">
      <c r="H27" s="6"/>
      <c r="I27" s="4"/>
      <c r="J27" s="4"/>
      <c r="K27" s="4"/>
      <c r="L27" s="4"/>
    </row>
    <row r="28" spans="1:12" x14ac:dyDescent="0.25">
      <c r="H28" s="6"/>
      <c r="I28" s="4"/>
      <c r="J28" s="4"/>
      <c r="K28" s="4"/>
      <c r="L28" s="4"/>
    </row>
    <row r="29" spans="1:12" x14ac:dyDescent="0.25">
      <c r="H29" s="6"/>
      <c r="I29" s="4"/>
      <c r="J29" s="4"/>
      <c r="K29" s="4"/>
      <c r="L29" s="4"/>
    </row>
    <row r="30" spans="1:12" x14ac:dyDescent="0.25">
      <c r="H30" s="6"/>
      <c r="I30" s="4"/>
      <c r="J30" s="4"/>
      <c r="K30" s="4"/>
      <c r="L30" s="4"/>
    </row>
    <row r="31" spans="1:12" x14ac:dyDescent="0.25">
      <c r="H31" s="6"/>
      <c r="I31" s="4"/>
      <c r="J31" s="4"/>
      <c r="K31" s="4"/>
      <c r="L31" s="4"/>
    </row>
    <row r="32" spans="1:12" x14ac:dyDescent="0.25">
      <c r="H32" s="6"/>
      <c r="I32" s="4"/>
      <c r="J32" s="4"/>
      <c r="K32" s="4"/>
      <c r="L32" s="4"/>
    </row>
    <row r="33" spans="8:12" x14ac:dyDescent="0.25">
      <c r="H33" s="6"/>
      <c r="I33" s="4"/>
      <c r="J33" s="4"/>
      <c r="K33" s="4"/>
      <c r="L33" s="4"/>
    </row>
    <row r="34" spans="8:12" x14ac:dyDescent="0.25">
      <c r="H34" s="6"/>
      <c r="I34" s="4"/>
      <c r="J34" s="4"/>
      <c r="K34" s="4"/>
      <c r="L34" s="4"/>
    </row>
    <row r="35" spans="8:12" x14ac:dyDescent="0.25">
      <c r="H35" s="6"/>
      <c r="I35" s="4"/>
      <c r="J35" s="4"/>
      <c r="K35" s="4"/>
      <c r="L35" s="4"/>
    </row>
    <row r="36" spans="8:12" x14ac:dyDescent="0.25">
      <c r="H36" s="6"/>
      <c r="I36" s="4"/>
      <c r="J36" s="4"/>
      <c r="K36" s="4"/>
      <c r="L36" s="4"/>
    </row>
    <row r="37" spans="8:12" x14ac:dyDescent="0.25">
      <c r="H37" s="6"/>
      <c r="I37" s="4"/>
      <c r="J37" s="4"/>
      <c r="K37" s="4"/>
      <c r="L37" s="4"/>
    </row>
    <row r="38" spans="8:12" x14ac:dyDescent="0.25">
      <c r="H38" s="6"/>
      <c r="I38" s="4"/>
      <c r="J38" s="4"/>
      <c r="K38" s="4"/>
      <c r="L38" s="4"/>
    </row>
    <row r="39" spans="8:12" x14ac:dyDescent="0.25">
      <c r="H39" s="6"/>
      <c r="I39" s="4"/>
      <c r="J39" s="4"/>
      <c r="K39" s="4"/>
      <c r="L39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M34"/>
  <sheetViews>
    <sheetView showGridLines="0" zoomScaleNormal="100" workbookViewId="0">
      <selection activeCell="F33" sqref="F17:L3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3" s="2" customFormat="1" ht="19.5" x14ac:dyDescent="0.3">
      <c r="A1" s="226" t="str">
        <f>CoName</f>
        <v>Cava Group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3" s="2" customFormat="1" x14ac:dyDescent="0.25">
      <c r="A2" s="16" t="s">
        <v>10</v>
      </c>
      <c r="B2" s="189"/>
      <c r="C2" s="234">
        <v>2022</v>
      </c>
      <c r="D2" s="234">
        <f>C2+1</f>
        <v>2023</v>
      </c>
      <c r="E2" s="234">
        <f t="shared" ref="E2:J2" si="0">D2+1</f>
        <v>2024</v>
      </c>
      <c r="F2" s="234">
        <f t="shared" si="0"/>
        <v>2025</v>
      </c>
      <c r="G2" s="234">
        <f t="shared" si="0"/>
        <v>2026</v>
      </c>
      <c r="H2" s="234">
        <f t="shared" si="0"/>
        <v>2027</v>
      </c>
      <c r="I2" s="234">
        <f t="shared" si="0"/>
        <v>2028</v>
      </c>
      <c r="J2" s="234">
        <f t="shared" si="0"/>
        <v>2029</v>
      </c>
      <c r="K2" s="234">
        <f t="shared" ref="K2:L2" si="1">J2+1</f>
        <v>2030</v>
      </c>
      <c r="L2" s="234">
        <f t="shared" si="1"/>
        <v>2031</v>
      </c>
    </row>
    <row r="3" spans="1:13" s="2" customFormat="1" x14ac:dyDescent="0.25">
      <c r="A3" s="86"/>
      <c r="B3" s="11"/>
      <c r="C3" s="190"/>
      <c r="D3" s="190"/>
      <c r="E3" s="190"/>
      <c r="F3" s="190"/>
      <c r="G3" s="190"/>
      <c r="H3" s="190"/>
      <c r="I3" s="190"/>
      <c r="J3" s="190"/>
      <c r="K3" s="190"/>
      <c r="L3" s="190"/>
    </row>
    <row r="4" spans="1:13" s="2" customFormat="1" x14ac:dyDescent="0.25">
      <c r="A4" s="11"/>
      <c r="B4" s="4" t="s">
        <v>24</v>
      </c>
      <c r="C4" s="30"/>
      <c r="D4" s="55"/>
      <c r="E4" s="59"/>
      <c r="F4" s="110">
        <f>Assumptions!F22</f>
        <v>0.05</v>
      </c>
      <c r="G4" s="110">
        <f>Assumptions!G22</f>
        <v>0.05</v>
      </c>
      <c r="H4" s="110">
        <f>Assumptions!H22</f>
        <v>0.05</v>
      </c>
      <c r="I4" s="110">
        <f>Assumptions!I22</f>
        <v>0.05</v>
      </c>
      <c r="J4" s="110">
        <f>Assumptions!J22</f>
        <v>0.05</v>
      </c>
      <c r="K4" s="110">
        <f>Assumptions!K22</f>
        <v>0.05</v>
      </c>
      <c r="L4" s="110">
        <f>Assumptions!L22</f>
        <v>0.05</v>
      </c>
    </row>
    <row r="5" spans="1:13" s="2" customFormat="1" x14ac:dyDescent="0.25">
      <c r="A5" s="11"/>
      <c r="B5" s="4" t="s">
        <v>25</v>
      </c>
      <c r="C5" s="30"/>
      <c r="D5" s="56"/>
      <c r="E5" s="60"/>
      <c r="F5" s="110">
        <f>Assumptions!F23</f>
        <v>0.05</v>
      </c>
      <c r="G5" s="110">
        <f>Assumptions!G23</f>
        <v>0.05</v>
      </c>
      <c r="H5" s="110">
        <f>Assumptions!H23</f>
        <v>0.05</v>
      </c>
      <c r="I5" s="110">
        <f>Assumptions!I23</f>
        <v>0.05</v>
      </c>
      <c r="J5" s="110">
        <f>Assumptions!J23</f>
        <v>0.05</v>
      </c>
      <c r="K5" s="110">
        <f>Assumptions!K23</f>
        <v>0.05</v>
      </c>
      <c r="L5" s="110">
        <f>Assumptions!L23</f>
        <v>0.05</v>
      </c>
    </row>
    <row r="6" spans="1:13" s="2" customFormat="1" x14ac:dyDescent="0.25">
      <c r="A6" s="11"/>
      <c r="B6" s="4" t="s">
        <v>26</v>
      </c>
      <c r="C6" s="30"/>
      <c r="D6" s="55"/>
      <c r="E6" s="59"/>
      <c r="F6" s="110">
        <f>Assumptions!F24</f>
        <v>4.4996176117120069E-2</v>
      </c>
      <c r="G6" s="110">
        <f>Assumptions!G24</f>
        <v>4.4996176117120069E-2</v>
      </c>
      <c r="H6" s="110">
        <f>Assumptions!H24</f>
        <v>4.4996176117120069E-2</v>
      </c>
      <c r="I6" s="110">
        <f>Assumptions!I24</f>
        <v>4.4996176117120069E-2</v>
      </c>
      <c r="J6" s="110">
        <f>Assumptions!J24</f>
        <v>4.4996176117120069E-2</v>
      </c>
      <c r="K6" s="110">
        <f>Assumptions!K24</f>
        <v>4.4996176117120069E-2</v>
      </c>
      <c r="L6" s="110">
        <f>Assumptions!L24</f>
        <v>4.4996176117120069E-2</v>
      </c>
    </row>
    <row r="7" spans="1:13" s="2" customFormat="1" x14ac:dyDescent="0.25">
      <c r="A7" s="11"/>
      <c r="B7" s="4"/>
      <c r="C7" s="30"/>
      <c r="D7" s="30"/>
      <c r="E7" s="30"/>
      <c r="F7" s="108"/>
      <c r="G7" s="108"/>
      <c r="H7" s="108"/>
      <c r="I7" s="109"/>
      <c r="J7" s="109"/>
      <c r="K7" s="109"/>
      <c r="L7" s="109"/>
    </row>
    <row r="8" spans="1:13" s="2" customFormat="1" x14ac:dyDescent="0.25">
      <c r="A8" s="11"/>
      <c r="B8" s="4" t="s">
        <v>27</v>
      </c>
      <c r="C8" s="30"/>
      <c r="D8" s="57"/>
      <c r="E8" s="61"/>
      <c r="F8" s="111">
        <f>Assumptions!F26</f>
        <v>0</v>
      </c>
      <c r="G8" s="111">
        <f>Assumptions!G26</f>
        <v>0</v>
      </c>
      <c r="H8" s="111">
        <f>Assumptions!H26</f>
        <v>0</v>
      </c>
      <c r="I8" s="111">
        <f>Assumptions!I26</f>
        <v>0</v>
      </c>
      <c r="J8" s="111">
        <f>Assumptions!J26</f>
        <v>0</v>
      </c>
      <c r="K8" s="111">
        <f>Assumptions!K26</f>
        <v>0</v>
      </c>
      <c r="L8" s="111">
        <f>Assumptions!L26</f>
        <v>0</v>
      </c>
    </row>
    <row r="9" spans="1:13" s="2" customFormat="1" x14ac:dyDescent="0.25">
      <c r="A9" s="11"/>
      <c r="B9" s="4" t="s">
        <v>28</v>
      </c>
      <c r="C9" s="30"/>
      <c r="D9" s="57"/>
      <c r="E9" s="61"/>
      <c r="F9" s="111">
        <f>Assumptions!F27</f>
        <v>0</v>
      </c>
      <c r="G9" s="111">
        <f>Assumptions!G27</f>
        <v>0</v>
      </c>
      <c r="H9" s="111">
        <f>Assumptions!H27</f>
        <v>0</v>
      </c>
      <c r="I9" s="111">
        <f>Assumptions!I27</f>
        <v>0</v>
      </c>
      <c r="J9" s="111">
        <f>Assumptions!J27</f>
        <v>0</v>
      </c>
      <c r="K9" s="111">
        <f>Assumptions!K27</f>
        <v>0</v>
      </c>
      <c r="L9" s="111">
        <f>Assumptions!L27</f>
        <v>0</v>
      </c>
    </row>
    <row r="10" spans="1:13" s="2" customFormat="1" ht="18.75" x14ac:dyDescent="0.3">
      <c r="A10" s="33"/>
      <c r="B10" s="3"/>
      <c r="C10" s="53"/>
      <c r="D10" s="53"/>
      <c r="E10" s="53"/>
      <c r="F10" s="107"/>
      <c r="G10" s="107"/>
      <c r="H10" s="107"/>
      <c r="I10" s="107"/>
      <c r="J10" s="107"/>
      <c r="K10" s="107"/>
      <c r="L10" s="107"/>
    </row>
    <row r="11" spans="1:13" x14ac:dyDescent="0.25">
      <c r="A11" s="20" t="s">
        <v>29</v>
      </c>
      <c r="B11" s="54"/>
      <c r="C11" s="225">
        <f>C2</f>
        <v>2022</v>
      </c>
      <c r="D11" s="225">
        <f t="shared" ref="D11:J11" si="2">D2</f>
        <v>2023</v>
      </c>
      <c r="E11" s="225">
        <f t="shared" si="2"/>
        <v>2024</v>
      </c>
      <c r="F11" s="225">
        <f t="shared" si="2"/>
        <v>2025</v>
      </c>
      <c r="G11" s="225">
        <f t="shared" si="2"/>
        <v>2026</v>
      </c>
      <c r="H11" s="225">
        <f t="shared" si="2"/>
        <v>2027</v>
      </c>
      <c r="I11" s="225">
        <f t="shared" si="2"/>
        <v>2028</v>
      </c>
      <c r="J11" s="225">
        <f t="shared" si="2"/>
        <v>2029</v>
      </c>
      <c r="K11" s="225">
        <f t="shared" ref="K11:L11" si="3">K2</f>
        <v>2030</v>
      </c>
      <c r="L11" s="225">
        <f t="shared" si="3"/>
        <v>2031</v>
      </c>
      <c r="M11" s="47"/>
    </row>
    <row r="12" spans="1:13" x14ac:dyDescent="0.25">
      <c r="B12" s="4" t="s">
        <v>30</v>
      </c>
      <c r="E12" s="27"/>
      <c r="I12" s="4"/>
      <c r="J12" s="4"/>
      <c r="K12" s="4"/>
      <c r="L12" s="4"/>
      <c r="M12" s="47"/>
    </row>
    <row r="13" spans="1:13" x14ac:dyDescent="0.25">
      <c r="B13" s="4" t="s">
        <v>31</v>
      </c>
      <c r="E13" s="28"/>
      <c r="I13" s="4"/>
      <c r="J13" s="4"/>
      <c r="K13" s="4"/>
      <c r="L13" s="4"/>
      <c r="M13" s="47"/>
    </row>
    <row r="14" spans="1:13" x14ac:dyDescent="0.25">
      <c r="B14" s="4" t="s">
        <v>32</v>
      </c>
      <c r="E14" s="27"/>
      <c r="I14" s="4"/>
      <c r="J14" s="4"/>
      <c r="K14" s="4"/>
      <c r="L14" s="4"/>
      <c r="M14" s="47"/>
    </row>
    <row r="15" spans="1:13" x14ac:dyDescent="0.25">
      <c r="E15" s="27"/>
      <c r="I15" s="4"/>
      <c r="J15" s="4"/>
      <c r="K15" s="4"/>
      <c r="L15" s="4"/>
      <c r="M15" s="47"/>
    </row>
    <row r="16" spans="1:13" x14ac:dyDescent="0.25">
      <c r="A16" s="233" t="s">
        <v>33</v>
      </c>
      <c r="B16" s="19"/>
      <c r="C16" s="225">
        <f t="shared" ref="C16:J16" si="4">C11</f>
        <v>2022</v>
      </c>
      <c r="D16" s="225">
        <f t="shared" si="4"/>
        <v>2023</v>
      </c>
      <c r="E16" s="225">
        <f t="shared" si="4"/>
        <v>2024</v>
      </c>
      <c r="F16" s="225">
        <f t="shared" si="4"/>
        <v>2025</v>
      </c>
      <c r="G16" s="225">
        <f t="shared" si="4"/>
        <v>2026</v>
      </c>
      <c r="H16" s="225">
        <f t="shared" si="4"/>
        <v>2027</v>
      </c>
      <c r="I16" s="225">
        <f t="shared" si="4"/>
        <v>2028</v>
      </c>
      <c r="J16" s="225">
        <f t="shared" si="4"/>
        <v>2029</v>
      </c>
      <c r="K16" s="225">
        <f t="shared" ref="K16:L16" si="5">K11</f>
        <v>2030</v>
      </c>
      <c r="L16" s="225">
        <f t="shared" si="5"/>
        <v>2031</v>
      </c>
      <c r="M16" s="47"/>
    </row>
    <row r="17" spans="1:13" x14ac:dyDescent="0.25">
      <c r="B17" s="4" t="s">
        <v>19</v>
      </c>
      <c r="E17" s="27"/>
      <c r="I17" s="4"/>
      <c r="J17" s="4"/>
      <c r="K17" s="4"/>
      <c r="L17" s="4"/>
      <c r="M17" s="47"/>
    </row>
    <row r="18" spans="1:13" x14ac:dyDescent="0.25">
      <c r="B18" s="4" t="s">
        <v>34</v>
      </c>
      <c r="E18" s="27"/>
      <c r="I18" s="4"/>
      <c r="J18" s="4"/>
      <c r="K18" s="4"/>
      <c r="L18" s="4"/>
      <c r="M18" s="47"/>
    </row>
    <row r="19" spans="1:13" x14ac:dyDescent="0.25">
      <c r="B19" s="4" t="s">
        <v>35</v>
      </c>
      <c r="E19" s="27"/>
      <c r="I19" s="4"/>
      <c r="J19" s="4"/>
      <c r="K19" s="4"/>
      <c r="L19" s="4"/>
    </row>
    <row r="20" spans="1:13" x14ac:dyDescent="0.25">
      <c r="B20" s="4" t="s">
        <v>22</v>
      </c>
      <c r="C20" s="10"/>
      <c r="E20" s="27"/>
      <c r="I20" s="4"/>
      <c r="J20" s="4"/>
      <c r="K20" s="4"/>
      <c r="L20" s="4"/>
    </row>
    <row r="21" spans="1:13" x14ac:dyDescent="0.25">
      <c r="B21" s="4" t="s">
        <v>31</v>
      </c>
      <c r="D21" s="48"/>
      <c r="E21" s="27"/>
      <c r="F21" s="8"/>
      <c r="G21" s="8"/>
      <c r="H21" s="8"/>
      <c r="I21" s="8"/>
      <c r="J21" s="8"/>
      <c r="K21" s="8"/>
      <c r="L21" s="8"/>
    </row>
    <row r="22" spans="1:13" x14ac:dyDescent="0.25">
      <c r="B22" s="4" t="s">
        <v>32</v>
      </c>
      <c r="E22" s="27"/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</row>
    <row r="23" spans="1:13" x14ac:dyDescent="0.25">
      <c r="E23" s="27"/>
      <c r="I23" s="4"/>
      <c r="J23" s="4"/>
      <c r="K23" s="4"/>
      <c r="L23" s="4"/>
    </row>
    <row r="24" spans="1:13" x14ac:dyDescent="0.25">
      <c r="A24" s="20" t="s">
        <v>36</v>
      </c>
      <c r="B24" s="42"/>
      <c r="C24" s="225">
        <f>C16</f>
        <v>2022</v>
      </c>
      <c r="D24" s="225">
        <f t="shared" ref="D24:J24" si="6">D16</f>
        <v>2023</v>
      </c>
      <c r="E24" s="225">
        <f t="shared" si="6"/>
        <v>2024</v>
      </c>
      <c r="F24" s="225">
        <f t="shared" si="6"/>
        <v>2025</v>
      </c>
      <c r="G24" s="225">
        <f t="shared" ref="G24:L24" si="7">G16</f>
        <v>2026</v>
      </c>
      <c r="H24" s="225">
        <f t="shared" si="7"/>
        <v>2027</v>
      </c>
      <c r="I24" s="225">
        <f t="shared" si="7"/>
        <v>2028</v>
      </c>
      <c r="J24" s="225">
        <f t="shared" si="7"/>
        <v>2029</v>
      </c>
      <c r="K24" s="225">
        <f t="shared" si="7"/>
        <v>2030</v>
      </c>
      <c r="L24" s="225">
        <f t="shared" si="7"/>
        <v>2031</v>
      </c>
    </row>
    <row r="25" spans="1:13" x14ac:dyDescent="0.25">
      <c r="A25" s="7"/>
      <c r="B25" s="4" t="s">
        <v>29</v>
      </c>
      <c r="E25" s="27"/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</row>
    <row r="26" spans="1:13" x14ac:dyDescent="0.25">
      <c r="A26" s="7"/>
      <c r="B26" s="4" t="s">
        <v>37</v>
      </c>
      <c r="E26" s="27"/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</row>
    <row r="27" spans="1:13" x14ac:dyDescent="0.25">
      <c r="A27" s="7"/>
      <c r="B27" s="11" t="s">
        <v>38</v>
      </c>
      <c r="D27" s="11"/>
      <c r="E27" s="24"/>
      <c r="F27" s="11">
        <v>0</v>
      </c>
      <c r="G27" s="11">
        <v>0</v>
      </c>
      <c r="H27" s="11">
        <v>0</v>
      </c>
      <c r="I27" s="11">
        <v>0</v>
      </c>
      <c r="J27" s="11">
        <v>0</v>
      </c>
      <c r="K27" s="11">
        <v>0</v>
      </c>
      <c r="L27" s="11">
        <v>0</v>
      </c>
    </row>
    <row r="28" spans="1:13" x14ac:dyDescent="0.25">
      <c r="A28" s="7"/>
      <c r="B28" s="4" t="s">
        <v>39</v>
      </c>
      <c r="E28" s="27"/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</row>
    <row r="29" spans="1:13" x14ac:dyDescent="0.25">
      <c r="A29" s="7"/>
      <c r="E29" s="27"/>
      <c r="I29" s="4"/>
      <c r="J29" s="4"/>
      <c r="K29" s="4"/>
      <c r="L29" s="4"/>
    </row>
    <row r="30" spans="1:13" x14ac:dyDescent="0.25">
      <c r="A30" s="20" t="s">
        <v>40</v>
      </c>
      <c r="B30" s="42"/>
      <c r="C30" s="225">
        <f>C11</f>
        <v>2022</v>
      </c>
      <c r="D30" s="225">
        <f t="shared" ref="D30:J30" si="8">D11</f>
        <v>2023</v>
      </c>
      <c r="E30" s="225">
        <f t="shared" si="8"/>
        <v>2024</v>
      </c>
      <c r="F30" s="225">
        <f t="shared" si="8"/>
        <v>2025</v>
      </c>
      <c r="G30" s="225">
        <f t="shared" ref="G30:L30" si="9">G11</f>
        <v>2026</v>
      </c>
      <c r="H30" s="225">
        <f t="shared" si="9"/>
        <v>2027</v>
      </c>
      <c r="I30" s="225">
        <f t="shared" si="9"/>
        <v>2028</v>
      </c>
      <c r="J30" s="225">
        <f t="shared" si="9"/>
        <v>2029</v>
      </c>
      <c r="K30" s="225">
        <f t="shared" si="9"/>
        <v>2030</v>
      </c>
      <c r="L30" s="225">
        <f t="shared" si="9"/>
        <v>2031</v>
      </c>
    </row>
    <row r="31" spans="1:13" x14ac:dyDescent="0.25">
      <c r="A31" s="7"/>
      <c r="B31" s="4" t="s">
        <v>167</v>
      </c>
      <c r="E31" s="27"/>
      <c r="F31" s="4">
        <f>SUM(BalSheet!F16:F17)</f>
        <v>476539.10219485592</v>
      </c>
      <c r="G31" s="4">
        <f>SUM(BalSheet!G16:G17)</f>
        <v>616158.75947351241</v>
      </c>
      <c r="H31" s="4">
        <f>SUM(BalSheet!H16:H17)</f>
        <v>812118.25031564909</v>
      </c>
      <c r="I31" s="4">
        <f>SUM(BalSheet!I16:I17)</f>
        <v>1083802.0129119928</v>
      </c>
      <c r="J31" s="4">
        <f>SUM(BalSheet!J16:J17)</f>
        <v>1455613.1622879042</v>
      </c>
      <c r="K31" s="4">
        <f>SUM(BalSheet!K16:K17)</f>
        <v>1958071.5789852154</v>
      </c>
      <c r="L31" s="4">
        <f>SUM(BalSheet!L16:L17)</f>
        <v>2629104.5057757301</v>
      </c>
    </row>
    <row r="32" spans="1:13" x14ac:dyDescent="0.25">
      <c r="B32" s="4" t="s">
        <v>31</v>
      </c>
      <c r="D32" s="48"/>
      <c r="E32" s="23"/>
      <c r="F32" s="5">
        <f>F6</f>
        <v>4.4996176117120069E-2</v>
      </c>
      <c r="G32" s="5">
        <f t="shared" ref="G32:L32" si="10">G6</f>
        <v>4.4996176117120069E-2</v>
      </c>
      <c r="H32" s="5">
        <f t="shared" si="10"/>
        <v>4.4996176117120069E-2</v>
      </c>
      <c r="I32" s="5">
        <f t="shared" si="10"/>
        <v>4.4996176117120069E-2</v>
      </c>
      <c r="J32" s="5">
        <f t="shared" si="10"/>
        <v>4.4996176117120069E-2</v>
      </c>
      <c r="K32" s="5">
        <f t="shared" si="10"/>
        <v>4.4996176117120069E-2</v>
      </c>
      <c r="L32" s="5">
        <f t="shared" si="10"/>
        <v>4.4996176117120069E-2</v>
      </c>
    </row>
    <row r="33" spans="2:12" x14ac:dyDescent="0.25">
      <c r="B33" s="4" t="s">
        <v>40</v>
      </c>
      <c r="E33" s="27"/>
      <c r="F33" s="4">
        <f>F31*F32</f>
        <v>21442.437369054016</v>
      </c>
      <c r="G33" s="4">
        <f t="shared" ref="G33:L33" si="11">G31*G32</f>
        <v>27724.788057376387</v>
      </c>
      <c r="H33" s="4">
        <f t="shared" si="11"/>
        <v>36542.215819130346</v>
      </c>
      <c r="I33" s="4">
        <f t="shared" si="11"/>
        <v>48766.946249077271</v>
      </c>
      <c r="J33" s="4">
        <f t="shared" si="11"/>
        <v>65497.026208704614</v>
      </c>
      <c r="K33" s="4">
        <f t="shared" si="11"/>
        <v>88105.733617946127</v>
      </c>
      <c r="L33" s="4">
        <f t="shared" si="11"/>
        <v>118299.64937219868</v>
      </c>
    </row>
    <row r="34" spans="2:12" x14ac:dyDescent="0.25">
      <c r="E34" s="27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L41"/>
  <sheetViews>
    <sheetView showGridLines="0" zoomScaleNormal="100" workbookViewId="0">
      <selection activeCell="F26" sqref="F26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2" width="11.7109375" style="4" customWidth="1"/>
    <col min="13" max="253" width="8.85546875" style="4"/>
    <col min="254" max="254" width="1.7109375" style="4" customWidth="1"/>
    <col min="255" max="255" width="40.7109375" style="4" customWidth="1"/>
    <col min="256" max="260" width="10.7109375" style="4" customWidth="1"/>
    <col min="261" max="261" width="11.42578125" style="4" customWidth="1"/>
    <col min="262" max="263" width="12" style="4" customWidth="1"/>
    <col min="264" max="265" width="8.85546875" style="4"/>
    <col min="266" max="266" width="10.7109375" style="4" bestFit="1" customWidth="1"/>
    <col min="267" max="509" width="8.85546875" style="4"/>
    <col min="510" max="510" width="1.7109375" style="4" customWidth="1"/>
    <col min="511" max="511" width="40.7109375" style="4" customWidth="1"/>
    <col min="512" max="516" width="10.7109375" style="4" customWidth="1"/>
    <col min="517" max="517" width="11.42578125" style="4" customWidth="1"/>
    <col min="518" max="519" width="12" style="4" customWidth="1"/>
    <col min="520" max="521" width="8.85546875" style="4"/>
    <col min="522" max="522" width="10.7109375" style="4" bestFit="1" customWidth="1"/>
    <col min="523" max="765" width="8.85546875" style="4"/>
    <col min="766" max="766" width="1.7109375" style="4" customWidth="1"/>
    <col min="767" max="767" width="40.7109375" style="4" customWidth="1"/>
    <col min="768" max="772" width="10.7109375" style="4" customWidth="1"/>
    <col min="773" max="773" width="11.42578125" style="4" customWidth="1"/>
    <col min="774" max="775" width="12" style="4" customWidth="1"/>
    <col min="776" max="777" width="8.85546875" style="4"/>
    <col min="778" max="778" width="10.7109375" style="4" bestFit="1" customWidth="1"/>
    <col min="779" max="1021" width="8.85546875" style="4"/>
    <col min="1022" max="1022" width="1.7109375" style="4" customWidth="1"/>
    <col min="1023" max="1023" width="40.7109375" style="4" customWidth="1"/>
    <col min="1024" max="1028" width="10.7109375" style="4" customWidth="1"/>
    <col min="1029" max="1029" width="11.42578125" style="4" customWidth="1"/>
    <col min="1030" max="1031" width="12" style="4" customWidth="1"/>
    <col min="1032" max="1033" width="8.85546875" style="4"/>
    <col min="1034" max="1034" width="10.7109375" style="4" bestFit="1" customWidth="1"/>
    <col min="1035" max="1277" width="8.85546875" style="4"/>
    <col min="1278" max="1278" width="1.7109375" style="4" customWidth="1"/>
    <col min="1279" max="1279" width="40.7109375" style="4" customWidth="1"/>
    <col min="1280" max="1284" width="10.7109375" style="4" customWidth="1"/>
    <col min="1285" max="1285" width="11.42578125" style="4" customWidth="1"/>
    <col min="1286" max="1287" width="12" style="4" customWidth="1"/>
    <col min="1288" max="1289" width="8.85546875" style="4"/>
    <col min="1290" max="1290" width="10.7109375" style="4" bestFit="1" customWidth="1"/>
    <col min="1291" max="1533" width="8.85546875" style="4"/>
    <col min="1534" max="1534" width="1.7109375" style="4" customWidth="1"/>
    <col min="1535" max="1535" width="40.7109375" style="4" customWidth="1"/>
    <col min="1536" max="1540" width="10.7109375" style="4" customWidth="1"/>
    <col min="1541" max="1541" width="11.42578125" style="4" customWidth="1"/>
    <col min="1542" max="1543" width="12" style="4" customWidth="1"/>
    <col min="1544" max="1545" width="8.85546875" style="4"/>
    <col min="1546" max="1546" width="10.7109375" style="4" bestFit="1" customWidth="1"/>
    <col min="1547" max="1789" width="8.85546875" style="4"/>
    <col min="1790" max="1790" width="1.7109375" style="4" customWidth="1"/>
    <col min="1791" max="1791" width="40.7109375" style="4" customWidth="1"/>
    <col min="1792" max="1796" width="10.7109375" style="4" customWidth="1"/>
    <col min="1797" max="1797" width="11.42578125" style="4" customWidth="1"/>
    <col min="1798" max="1799" width="12" style="4" customWidth="1"/>
    <col min="1800" max="1801" width="8.85546875" style="4"/>
    <col min="1802" max="1802" width="10.7109375" style="4" bestFit="1" customWidth="1"/>
    <col min="1803" max="2045" width="8.85546875" style="4"/>
    <col min="2046" max="2046" width="1.7109375" style="4" customWidth="1"/>
    <col min="2047" max="2047" width="40.7109375" style="4" customWidth="1"/>
    <col min="2048" max="2052" width="10.7109375" style="4" customWidth="1"/>
    <col min="2053" max="2053" width="11.42578125" style="4" customWidth="1"/>
    <col min="2054" max="2055" width="12" style="4" customWidth="1"/>
    <col min="2056" max="2057" width="8.85546875" style="4"/>
    <col min="2058" max="2058" width="10.7109375" style="4" bestFit="1" customWidth="1"/>
    <col min="2059" max="2301" width="8.85546875" style="4"/>
    <col min="2302" max="2302" width="1.7109375" style="4" customWidth="1"/>
    <col min="2303" max="2303" width="40.7109375" style="4" customWidth="1"/>
    <col min="2304" max="2308" width="10.7109375" style="4" customWidth="1"/>
    <col min="2309" max="2309" width="11.42578125" style="4" customWidth="1"/>
    <col min="2310" max="2311" width="12" style="4" customWidth="1"/>
    <col min="2312" max="2313" width="8.85546875" style="4"/>
    <col min="2314" max="2314" width="10.7109375" style="4" bestFit="1" customWidth="1"/>
    <col min="2315" max="2557" width="8.85546875" style="4"/>
    <col min="2558" max="2558" width="1.7109375" style="4" customWidth="1"/>
    <col min="2559" max="2559" width="40.7109375" style="4" customWidth="1"/>
    <col min="2560" max="2564" width="10.7109375" style="4" customWidth="1"/>
    <col min="2565" max="2565" width="11.42578125" style="4" customWidth="1"/>
    <col min="2566" max="2567" width="12" style="4" customWidth="1"/>
    <col min="2568" max="2569" width="8.85546875" style="4"/>
    <col min="2570" max="2570" width="10.7109375" style="4" bestFit="1" customWidth="1"/>
    <col min="2571" max="2813" width="8.85546875" style="4"/>
    <col min="2814" max="2814" width="1.7109375" style="4" customWidth="1"/>
    <col min="2815" max="2815" width="40.7109375" style="4" customWidth="1"/>
    <col min="2816" max="2820" width="10.7109375" style="4" customWidth="1"/>
    <col min="2821" max="2821" width="11.42578125" style="4" customWidth="1"/>
    <col min="2822" max="2823" width="12" style="4" customWidth="1"/>
    <col min="2824" max="2825" width="8.85546875" style="4"/>
    <col min="2826" max="2826" width="10.7109375" style="4" bestFit="1" customWidth="1"/>
    <col min="2827" max="3069" width="8.85546875" style="4"/>
    <col min="3070" max="3070" width="1.7109375" style="4" customWidth="1"/>
    <col min="3071" max="3071" width="40.7109375" style="4" customWidth="1"/>
    <col min="3072" max="3076" width="10.7109375" style="4" customWidth="1"/>
    <col min="3077" max="3077" width="11.42578125" style="4" customWidth="1"/>
    <col min="3078" max="3079" width="12" style="4" customWidth="1"/>
    <col min="3080" max="3081" width="8.85546875" style="4"/>
    <col min="3082" max="3082" width="10.7109375" style="4" bestFit="1" customWidth="1"/>
    <col min="3083" max="3325" width="8.85546875" style="4"/>
    <col min="3326" max="3326" width="1.7109375" style="4" customWidth="1"/>
    <col min="3327" max="3327" width="40.7109375" style="4" customWidth="1"/>
    <col min="3328" max="3332" width="10.7109375" style="4" customWidth="1"/>
    <col min="3333" max="3333" width="11.42578125" style="4" customWidth="1"/>
    <col min="3334" max="3335" width="12" style="4" customWidth="1"/>
    <col min="3336" max="3337" width="8.85546875" style="4"/>
    <col min="3338" max="3338" width="10.7109375" style="4" bestFit="1" customWidth="1"/>
    <col min="3339" max="3581" width="8.85546875" style="4"/>
    <col min="3582" max="3582" width="1.7109375" style="4" customWidth="1"/>
    <col min="3583" max="3583" width="40.7109375" style="4" customWidth="1"/>
    <col min="3584" max="3588" width="10.7109375" style="4" customWidth="1"/>
    <col min="3589" max="3589" width="11.42578125" style="4" customWidth="1"/>
    <col min="3590" max="3591" width="12" style="4" customWidth="1"/>
    <col min="3592" max="3593" width="8.85546875" style="4"/>
    <col min="3594" max="3594" width="10.7109375" style="4" bestFit="1" customWidth="1"/>
    <col min="3595" max="3837" width="8.85546875" style="4"/>
    <col min="3838" max="3838" width="1.7109375" style="4" customWidth="1"/>
    <col min="3839" max="3839" width="40.7109375" style="4" customWidth="1"/>
    <col min="3840" max="3844" width="10.7109375" style="4" customWidth="1"/>
    <col min="3845" max="3845" width="11.42578125" style="4" customWidth="1"/>
    <col min="3846" max="3847" width="12" style="4" customWidth="1"/>
    <col min="3848" max="3849" width="8.85546875" style="4"/>
    <col min="3850" max="3850" width="10.7109375" style="4" bestFit="1" customWidth="1"/>
    <col min="3851" max="4093" width="8.85546875" style="4"/>
    <col min="4094" max="4094" width="1.7109375" style="4" customWidth="1"/>
    <col min="4095" max="4095" width="40.7109375" style="4" customWidth="1"/>
    <col min="4096" max="4100" width="10.7109375" style="4" customWidth="1"/>
    <col min="4101" max="4101" width="11.42578125" style="4" customWidth="1"/>
    <col min="4102" max="4103" width="12" style="4" customWidth="1"/>
    <col min="4104" max="4105" width="8.85546875" style="4"/>
    <col min="4106" max="4106" width="10.7109375" style="4" bestFit="1" customWidth="1"/>
    <col min="4107" max="4349" width="8.85546875" style="4"/>
    <col min="4350" max="4350" width="1.7109375" style="4" customWidth="1"/>
    <col min="4351" max="4351" width="40.7109375" style="4" customWidth="1"/>
    <col min="4352" max="4356" width="10.7109375" style="4" customWidth="1"/>
    <col min="4357" max="4357" width="11.42578125" style="4" customWidth="1"/>
    <col min="4358" max="4359" width="12" style="4" customWidth="1"/>
    <col min="4360" max="4361" width="8.85546875" style="4"/>
    <col min="4362" max="4362" width="10.7109375" style="4" bestFit="1" customWidth="1"/>
    <col min="4363" max="4605" width="8.85546875" style="4"/>
    <col min="4606" max="4606" width="1.7109375" style="4" customWidth="1"/>
    <col min="4607" max="4607" width="40.7109375" style="4" customWidth="1"/>
    <col min="4608" max="4612" width="10.7109375" style="4" customWidth="1"/>
    <col min="4613" max="4613" width="11.42578125" style="4" customWidth="1"/>
    <col min="4614" max="4615" width="12" style="4" customWidth="1"/>
    <col min="4616" max="4617" width="8.85546875" style="4"/>
    <col min="4618" max="4618" width="10.7109375" style="4" bestFit="1" customWidth="1"/>
    <col min="4619" max="4861" width="8.85546875" style="4"/>
    <col min="4862" max="4862" width="1.7109375" style="4" customWidth="1"/>
    <col min="4863" max="4863" width="40.7109375" style="4" customWidth="1"/>
    <col min="4864" max="4868" width="10.7109375" style="4" customWidth="1"/>
    <col min="4869" max="4869" width="11.42578125" style="4" customWidth="1"/>
    <col min="4870" max="4871" width="12" style="4" customWidth="1"/>
    <col min="4872" max="4873" width="8.85546875" style="4"/>
    <col min="4874" max="4874" width="10.7109375" style="4" bestFit="1" customWidth="1"/>
    <col min="4875" max="5117" width="8.85546875" style="4"/>
    <col min="5118" max="5118" width="1.7109375" style="4" customWidth="1"/>
    <col min="5119" max="5119" width="40.7109375" style="4" customWidth="1"/>
    <col min="5120" max="5124" width="10.7109375" style="4" customWidth="1"/>
    <col min="5125" max="5125" width="11.42578125" style="4" customWidth="1"/>
    <col min="5126" max="5127" width="12" style="4" customWidth="1"/>
    <col min="5128" max="5129" width="8.85546875" style="4"/>
    <col min="5130" max="5130" width="10.7109375" style="4" bestFit="1" customWidth="1"/>
    <col min="5131" max="5373" width="8.85546875" style="4"/>
    <col min="5374" max="5374" width="1.7109375" style="4" customWidth="1"/>
    <col min="5375" max="5375" width="40.7109375" style="4" customWidth="1"/>
    <col min="5376" max="5380" width="10.7109375" style="4" customWidth="1"/>
    <col min="5381" max="5381" width="11.42578125" style="4" customWidth="1"/>
    <col min="5382" max="5383" width="12" style="4" customWidth="1"/>
    <col min="5384" max="5385" width="8.85546875" style="4"/>
    <col min="5386" max="5386" width="10.7109375" style="4" bestFit="1" customWidth="1"/>
    <col min="5387" max="5629" width="8.85546875" style="4"/>
    <col min="5630" max="5630" width="1.7109375" style="4" customWidth="1"/>
    <col min="5631" max="5631" width="40.7109375" style="4" customWidth="1"/>
    <col min="5632" max="5636" width="10.7109375" style="4" customWidth="1"/>
    <col min="5637" max="5637" width="11.42578125" style="4" customWidth="1"/>
    <col min="5638" max="5639" width="12" style="4" customWidth="1"/>
    <col min="5640" max="5641" width="8.85546875" style="4"/>
    <col min="5642" max="5642" width="10.7109375" style="4" bestFit="1" customWidth="1"/>
    <col min="5643" max="5885" width="8.85546875" style="4"/>
    <col min="5886" max="5886" width="1.7109375" style="4" customWidth="1"/>
    <col min="5887" max="5887" width="40.7109375" style="4" customWidth="1"/>
    <col min="5888" max="5892" width="10.7109375" style="4" customWidth="1"/>
    <col min="5893" max="5893" width="11.42578125" style="4" customWidth="1"/>
    <col min="5894" max="5895" width="12" style="4" customWidth="1"/>
    <col min="5896" max="5897" width="8.85546875" style="4"/>
    <col min="5898" max="5898" width="10.7109375" style="4" bestFit="1" customWidth="1"/>
    <col min="5899" max="6141" width="8.85546875" style="4"/>
    <col min="6142" max="6142" width="1.7109375" style="4" customWidth="1"/>
    <col min="6143" max="6143" width="40.7109375" style="4" customWidth="1"/>
    <col min="6144" max="6148" width="10.7109375" style="4" customWidth="1"/>
    <col min="6149" max="6149" width="11.42578125" style="4" customWidth="1"/>
    <col min="6150" max="6151" width="12" style="4" customWidth="1"/>
    <col min="6152" max="6153" width="8.85546875" style="4"/>
    <col min="6154" max="6154" width="10.7109375" style="4" bestFit="1" customWidth="1"/>
    <col min="6155" max="6397" width="8.85546875" style="4"/>
    <col min="6398" max="6398" width="1.7109375" style="4" customWidth="1"/>
    <col min="6399" max="6399" width="40.7109375" style="4" customWidth="1"/>
    <col min="6400" max="6404" width="10.7109375" style="4" customWidth="1"/>
    <col min="6405" max="6405" width="11.42578125" style="4" customWidth="1"/>
    <col min="6406" max="6407" width="12" style="4" customWidth="1"/>
    <col min="6408" max="6409" width="8.85546875" style="4"/>
    <col min="6410" max="6410" width="10.7109375" style="4" bestFit="1" customWidth="1"/>
    <col min="6411" max="6653" width="8.85546875" style="4"/>
    <col min="6654" max="6654" width="1.7109375" style="4" customWidth="1"/>
    <col min="6655" max="6655" width="40.7109375" style="4" customWidth="1"/>
    <col min="6656" max="6660" width="10.7109375" style="4" customWidth="1"/>
    <col min="6661" max="6661" width="11.42578125" style="4" customWidth="1"/>
    <col min="6662" max="6663" width="12" style="4" customWidth="1"/>
    <col min="6664" max="6665" width="8.85546875" style="4"/>
    <col min="6666" max="6666" width="10.7109375" style="4" bestFit="1" customWidth="1"/>
    <col min="6667" max="6909" width="8.85546875" style="4"/>
    <col min="6910" max="6910" width="1.7109375" style="4" customWidth="1"/>
    <col min="6911" max="6911" width="40.7109375" style="4" customWidth="1"/>
    <col min="6912" max="6916" width="10.7109375" style="4" customWidth="1"/>
    <col min="6917" max="6917" width="11.42578125" style="4" customWidth="1"/>
    <col min="6918" max="6919" width="12" style="4" customWidth="1"/>
    <col min="6920" max="6921" width="8.85546875" style="4"/>
    <col min="6922" max="6922" width="10.7109375" style="4" bestFit="1" customWidth="1"/>
    <col min="6923" max="7165" width="8.85546875" style="4"/>
    <col min="7166" max="7166" width="1.7109375" style="4" customWidth="1"/>
    <col min="7167" max="7167" width="40.7109375" style="4" customWidth="1"/>
    <col min="7168" max="7172" width="10.7109375" style="4" customWidth="1"/>
    <col min="7173" max="7173" width="11.42578125" style="4" customWidth="1"/>
    <col min="7174" max="7175" width="12" style="4" customWidth="1"/>
    <col min="7176" max="7177" width="8.85546875" style="4"/>
    <col min="7178" max="7178" width="10.7109375" style="4" bestFit="1" customWidth="1"/>
    <col min="7179" max="7421" width="8.85546875" style="4"/>
    <col min="7422" max="7422" width="1.7109375" style="4" customWidth="1"/>
    <col min="7423" max="7423" width="40.7109375" style="4" customWidth="1"/>
    <col min="7424" max="7428" width="10.7109375" style="4" customWidth="1"/>
    <col min="7429" max="7429" width="11.42578125" style="4" customWidth="1"/>
    <col min="7430" max="7431" width="12" style="4" customWidth="1"/>
    <col min="7432" max="7433" width="8.85546875" style="4"/>
    <col min="7434" max="7434" width="10.7109375" style="4" bestFit="1" customWidth="1"/>
    <col min="7435" max="7677" width="8.85546875" style="4"/>
    <col min="7678" max="7678" width="1.7109375" style="4" customWidth="1"/>
    <col min="7679" max="7679" width="40.7109375" style="4" customWidth="1"/>
    <col min="7680" max="7684" width="10.7109375" style="4" customWidth="1"/>
    <col min="7685" max="7685" width="11.42578125" style="4" customWidth="1"/>
    <col min="7686" max="7687" width="12" style="4" customWidth="1"/>
    <col min="7688" max="7689" width="8.85546875" style="4"/>
    <col min="7690" max="7690" width="10.7109375" style="4" bestFit="1" customWidth="1"/>
    <col min="7691" max="7933" width="8.85546875" style="4"/>
    <col min="7934" max="7934" width="1.7109375" style="4" customWidth="1"/>
    <col min="7935" max="7935" width="40.7109375" style="4" customWidth="1"/>
    <col min="7936" max="7940" width="10.7109375" style="4" customWidth="1"/>
    <col min="7941" max="7941" width="11.42578125" style="4" customWidth="1"/>
    <col min="7942" max="7943" width="12" style="4" customWidth="1"/>
    <col min="7944" max="7945" width="8.85546875" style="4"/>
    <col min="7946" max="7946" width="10.7109375" style="4" bestFit="1" customWidth="1"/>
    <col min="7947" max="8189" width="8.85546875" style="4"/>
    <col min="8190" max="8190" width="1.7109375" style="4" customWidth="1"/>
    <col min="8191" max="8191" width="40.7109375" style="4" customWidth="1"/>
    <col min="8192" max="8196" width="10.7109375" style="4" customWidth="1"/>
    <col min="8197" max="8197" width="11.42578125" style="4" customWidth="1"/>
    <col min="8198" max="8199" width="12" style="4" customWidth="1"/>
    <col min="8200" max="8201" width="8.85546875" style="4"/>
    <col min="8202" max="8202" width="10.7109375" style="4" bestFit="1" customWidth="1"/>
    <col min="8203" max="8445" width="8.85546875" style="4"/>
    <col min="8446" max="8446" width="1.7109375" style="4" customWidth="1"/>
    <col min="8447" max="8447" width="40.7109375" style="4" customWidth="1"/>
    <col min="8448" max="8452" width="10.7109375" style="4" customWidth="1"/>
    <col min="8453" max="8453" width="11.42578125" style="4" customWidth="1"/>
    <col min="8454" max="8455" width="12" style="4" customWidth="1"/>
    <col min="8456" max="8457" width="8.85546875" style="4"/>
    <col min="8458" max="8458" width="10.7109375" style="4" bestFit="1" customWidth="1"/>
    <col min="8459" max="8701" width="8.85546875" style="4"/>
    <col min="8702" max="8702" width="1.7109375" style="4" customWidth="1"/>
    <col min="8703" max="8703" width="40.7109375" style="4" customWidth="1"/>
    <col min="8704" max="8708" width="10.7109375" style="4" customWidth="1"/>
    <col min="8709" max="8709" width="11.42578125" style="4" customWidth="1"/>
    <col min="8710" max="8711" width="12" style="4" customWidth="1"/>
    <col min="8712" max="8713" width="8.85546875" style="4"/>
    <col min="8714" max="8714" width="10.7109375" style="4" bestFit="1" customWidth="1"/>
    <col min="8715" max="8957" width="8.85546875" style="4"/>
    <col min="8958" max="8958" width="1.7109375" style="4" customWidth="1"/>
    <col min="8959" max="8959" width="40.7109375" style="4" customWidth="1"/>
    <col min="8960" max="8964" width="10.7109375" style="4" customWidth="1"/>
    <col min="8965" max="8965" width="11.42578125" style="4" customWidth="1"/>
    <col min="8966" max="8967" width="12" style="4" customWidth="1"/>
    <col min="8968" max="8969" width="8.85546875" style="4"/>
    <col min="8970" max="8970" width="10.7109375" style="4" bestFit="1" customWidth="1"/>
    <col min="8971" max="9213" width="8.85546875" style="4"/>
    <col min="9214" max="9214" width="1.7109375" style="4" customWidth="1"/>
    <col min="9215" max="9215" width="40.7109375" style="4" customWidth="1"/>
    <col min="9216" max="9220" width="10.7109375" style="4" customWidth="1"/>
    <col min="9221" max="9221" width="11.42578125" style="4" customWidth="1"/>
    <col min="9222" max="9223" width="12" style="4" customWidth="1"/>
    <col min="9224" max="9225" width="8.85546875" style="4"/>
    <col min="9226" max="9226" width="10.7109375" style="4" bestFit="1" customWidth="1"/>
    <col min="9227" max="9469" width="8.85546875" style="4"/>
    <col min="9470" max="9470" width="1.7109375" style="4" customWidth="1"/>
    <col min="9471" max="9471" width="40.7109375" style="4" customWidth="1"/>
    <col min="9472" max="9476" width="10.7109375" style="4" customWidth="1"/>
    <col min="9477" max="9477" width="11.42578125" style="4" customWidth="1"/>
    <col min="9478" max="9479" width="12" style="4" customWidth="1"/>
    <col min="9480" max="9481" width="8.85546875" style="4"/>
    <col min="9482" max="9482" width="10.7109375" style="4" bestFit="1" customWidth="1"/>
    <col min="9483" max="9725" width="8.85546875" style="4"/>
    <col min="9726" max="9726" width="1.7109375" style="4" customWidth="1"/>
    <col min="9727" max="9727" width="40.7109375" style="4" customWidth="1"/>
    <col min="9728" max="9732" width="10.7109375" style="4" customWidth="1"/>
    <col min="9733" max="9733" width="11.42578125" style="4" customWidth="1"/>
    <col min="9734" max="9735" width="12" style="4" customWidth="1"/>
    <col min="9736" max="9737" width="8.85546875" style="4"/>
    <col min="9738" max="9738" width="10.7109375" style="4" bestFit="1" customWidth="1"/>
    <col min="9739" max="9981" width="8.85546875" style="4"/>
    <col min="9982" max="9982" width="1.7109375" style="4" customWidth="1"/>
    <col min="9983" max="9983" width="40.7109375" style="4" customWidth="1"/>
    <col min="9984" max="9988" width="10.7109375" style="4" customWidth="1"/>
    <col min="9989" max="9989" width="11.42578125" style="4" customWidth="1"/>
    <col min="9990" max="9991" width="12" style="4" customWidth="1"/>
    <col min="9992" max="9993" width="8.85546875" style="4"/>
    <col min="9994" max="9994" width="10.7109375" style="4" bestFit="1" customWidth="1"/>
    <col min="9995" max="10237" width="8.85546875" style="4"/>
    <col min="10238" max="10238" width="1.7109375" style="4" customWidth="1"/>
    <col min="10239" max="10239" width="40.7109375" style="4" customWidth="1"/>
    <col min="10240" max="10244" width="10.7109375" style="4" customWidth="1"/>
    <col min="10245" max="10245" width="11.42578125" style="4" customWidth="1"/>
    <col min="10246" max="10247" width="12" style="4" customWidth="1"/>
    <col min="10248" max="10249" width="8.85546875" style="4"/>
    <col min="10250" max="10250" width="10.7109375" style="4" bestFit="1" customWidth="1"/>
    <col min="10251" max="10493" width="8.85546875" style="4"/>
    <col min="10494" max="10494" width="1.7109375" style="4" customWidth="1"/>
    <col min="10495" max="10495" width="40.7109375" style="4" customWidth="1"/>
    <col min="10496" max="10500" width="10.7109375" style="4" customWidth="1"/>
    <col min="10501" max="10501" width="11.42578125" style="4" customWidth="1"/>
    <col min="10502" max="10503" width="12" style="4" customWidth="1"/>
    <col min="10504" max="10505" width="8.85546875" style="4"/>
    <col min="10506" max="10506" width="10.7109375" style="4" bestFit="1" customWidth="1"/>
    <col min="10507" max="10749" width="8.85546875" style="4"/>
    <col min="10750" max="10750" width="1.7109375" style="4" customWidth="1"/>
    <col min="10751" max="10751" width="40.7109375" style="4" customWidth="1"/>
    <col min="10752" max="10756" width="10.7109375" style="4" customWidth="1"/>
    <col min="10757" max="10757" width="11.42578125" style="4" customWidth="1"/>
    <col min="10758" max="10759" width="12" style="4" customWidth="1"/>
    <col min="10760" max="10761" width="8.85546875" style="4"/>
    <col min="10762" max="10762" width="10.7109375" style="4" bestFit="1" customWidth="1"/>
    <col min="10763" max="11005" width="8.85546875" style="4"/>
    <col min="11006" max="11006" width="1.7109375" style="4" customWidth="1"/>
    <col min="11007" max="11007" width="40.7109375" style="4" customWidth="1"/>
    <col min="11008" max="11012" width="10.7109375" style="4" customWidth="1"/>
    <col min="11013" max="11013" width="11.42578125" style="4" customWidth="1"/>
    <col min="11014" max="11015" width="12" style="4" customWidth="1"/>
    <col min="11016" max="11017" width="8.85546875" style="4"/>
    <col min="11018" max="11018" width="10.7109375" style="4" bestFit="1" customWidth="1"/>
    <col min="11019" max="11261" width="8.85546875" style="4"/>
    <col min="11262" max="11262" width="1.7109375" style="4" customWidth="1"/>
    <col min="11263" max="11263" width="40.7109375" style="4" customWidth="1"/>
    <col min="11264" max="11268" width="10.7109375" style="4" customWidth="1"/>
    <col min="11269" max="11269" width="11.42578125" style="4" customWidth="1"/>
    <col min="11270" max="11271" width="12" style="4" customWidth="1"/>
    <col min="11272" max="11273" width="8.85546875" style="4"/>
    <col min="11274" max="11274" width="10.7109375" style="4" bestFit="1" customWidth="1"/>
    <col min="11275" max="11517" width="8.85546875" style="4"/>
    <col min="11518" max="11518" width="1.7109375" style="4" customWidth="1"/>
    <col min="11519" max="11519" width="40.7109375" style="4" customWidth="1"/>
    <col min="11520" max="11524" width="10.7109375" style="4" customWidth="1"/>
    <col min="11525" max="11525" width="11.42578125" style="4" customWidth="1"/>
    <col min="11526" max="11527" width="12" style="4" customWidth="1"/>
    <col min="11528" max="11529" width="8.85546875" style="4"/>
    <col min="11530" max="11530" width="10.7109375" style="4" bestFit="1" customWidth="1"/>
    <col min="11531" max="11773" width="8.85546875" style="4"/>
    <col min="11774" max="11774" width="1.7109375" style="4" customWidth="1"/>
    <col min="11775" max="11775" width="40.7109375" style="4" customWidth="1"/>
    <col min="11776" max="11780" width="10.7109375" style="4" customWidth="1"/>
    <col min="11781" max="11781" width="11.42578125" style="4" customWidth="1"/>
    <col min="11782" max="11783" width="12" style="4" customWidth="1"/>
    <col min="11784" max="11785" width="8.85546875" style="4"/>
    <col min="11786" max="11786" width="10.7109375" style="4" bestFit="1" customWidth="1"/>
    <col min="11787" max="12029" width="8.85546875" style="4"/>
    <col min="12030" max="12030" width="1.7109375" style="4" customWidth="1"/>
    <col min="12031" max="12031" width="40.7109375" style="4" customWidth="1"/>
    <col min="12032" max="12036" width="10.7109375" style="4" customWidth="1"/>
    <col min="12037" max="12037" width="11.42578125" style="4" customWidth="1"/>
    <col min="12038" max="12039" width="12" style="4" customWidth="1"/>
    <col min="12040" max="12041" width="8.85546875" style="4"/>
    <col min="12042" max="12042" width="10.7109375" style="4" bestFit="1" customWidth="1"/>
    <col min="12043" max="12285" width="8.85546875" style="4"/>
    <col min="12286" max="12286" width="1.7109375" style="4" customWidth="1"/>
    <col min="12287" max="12287" width="40.7109375" style="4" customWidth="1"/>
    <col min="12288" max="12292" width="10.7109375" style="4" customWidth="1"/>
    <col min="12293" max="12293" width="11.42578125" style="4" customWidth="1"/>
    <col min="12294" max="12295" width="12" style="4" customWidth="1"/>
    <col min="12296" max="12297" width="8.85546875" style="4"/>
    <col min="12298" max="12298" width="10.7109375" style="4" bestFit="1" customWidth="1"/>
    <col min="12299" max="12541" width="8.85546875" style="4"/>
    <col min="12542" max="12542" width="1.7109375" style="4" customWidth="1"/>
    <col min="12543" max="12543" width="40.7109375" style="4" customWidth="1"/>
    <col min="12544" max="12548" width="10.7109375" style="4" customWidth="1"/>
    <col min="12549" max="12549" width="11.42578125" style="4" customWidth="1"/>
    <col min="12550" max="12551" width="12" style="4" customWidth="1"/>
    <col min="12552" max="12553" width="8.85546875" style="4"/>
    <col min="12554" max="12554" width="10.7109375" style="4" bestFit="1" customWidth="1"/>
    <col min="12555" max="12797" width="8.85546875" style="4"/>
    <col min="12798" max="12798" width="1.7109375" style="4" customWidth="1"/>
    <col min="12799" max="12799" width="40.7109375" style="4" customWidth="1"/>
    <col min="12800" max="12804" width="10.7109375" style="4" customWidth="1"/>
    <col min="12805" max="12805" width="11.42578125" style="4" customWidth="1"/>
    <col min="12806" max="12807" width="12" style="4" customWidth="1"/>
    <col min="12808" max="12809" width="8.85546875" style="4"/>
    <col min="12810" max="12810" width="10.7109375" style="4" bestFit="1" customWidth="1"/>
    <col min="12811" max="13053" width="8.85546875" style="4"/>
    <col min="13054" max="13054" width="1.7109375" style="4" customWidth="1"/>
    <col min="13055" max="13055" width="40.7109375" style="4" customWidth="1"/>
    <col min="13056" max="13060" width="10.7109375" style="4" customWidth="1"/>
    <col min="13061" max="13061" width="11.42578125" style="4" customWidth="1"/>
    <col min="13062" max="13063" width="12" style="4" customWidth="1"/>
    <col min="13064" max="13065" width="8.85546875" style="4"/>
    <col min="13066" max="13066" width="10.7109375" style="4" bestFit="1" customWidth="1"/>
    <col min="13067" max="13309" width="8.85546875" style="4"/>
    <col min="13310" max="13310" width="1.7109375" style="4" customWidth="1"/>
    <col min="13311" max="13311" width="40.7109375" style="4" customWidth="1"/>
    <col min="13312" max="13316" width="10.7109375" style="4" customWidth="1"/>
    <col min="13317" max="13317" width="11.42578125" style="4" customWidth="1"/>
    <col min="13318" max="13319" width="12" style="4" customWidth="1"/>
    <col min="13320" max="13321" width="8.85546875" style="4"/>
    <col min="13322" max="13322" width="10.7109375" style="4" bestFit="1" customWidth="1"/>
    <col min="13323" max="13565" width="8.85546875" style="4"/>
    <col min="13566" max="13566" width="1.7109375" style="4" customWidth="1"/>
    <col min="13567" max="13567" width="40.7109375" style="4" customWidth="1"/>
    <col min="13568" max="13572" width="10.7109375" style="4" customWidth="1"/>
    <col min="13573" max="13573" width="11.42578125" style="4" customWidth="1"/>
    <col min="13574" max="13575" width="12" style="4" customWidth="1"/>
    <col min="13576" max="13577" width="8.85546875" style="4"/>
    <col min="13578" max="13578" width="10.7109375" style="4" bestFit="1" customWidth="1"/>
    <col min="13579" max="13821" width="8.85546875" style="4"/>
    <col min="13822" max="13822" width="1.7109375" style="4" customWidth="1"/>
    <col min="13823" max="13823" width="40.7109375" style="4" customWidth="1"/>
    <col min="13824" max="13828" width="10.7109375" style="4" customWidth="1"/>
    <col min="13829" max="13829" width="11.42578125" style="4" customWidth="1"/>
    <col min="13830" max="13831" width="12" style="4" customWidth="1"/>
    <col min="13832" max="13833" width="8.85546875" style="4"/>
    <col min="13834" max="13834" width="10.7109375" style="4" bestFit="1" customWidth="1"/>
    <col min="13835" max="14077" width="8.85546875" style="4"/>
    <col min="14078" max="14078" width="1.7109375" style="4" customWidth="1"/>
    <col min="14079" max="14079" width="40.7109375" style="4" customWidth="1"/>
    <col min="14080" max="14084" width="10.7109375" style="4" customWidth="1"/>
    <col min="14085" max="14085" width="11.42578125" style="4" customWidth="1"/>
    <col min="14086" max="14087" width="12" style="4" customWidth="1"/>
    <col min="14088" max="14089" width="8.85546875" style="4"/>
    <col min="14090" max="14090" width="10.7109375" style="4" bestFit="1" customWidth="1"/>
    <col min="14091" max="14333" width="8.85546875" style="4"/>
    <col min="14334" max="14334" width="1.7109375" style="4" customWidth="1"/>
    <col min="14335" max="14335" width="40.7109375" style="4" customWidth="1"/>
    <col min="14336" max="14340" width="10.7109375" style="4" customWidth="1"/>
    <col min="14341" max="14341" width="11.42578125" style="4" customWidth="1"/>
    <col min="14342" max="14343" width="12" style="4" customWidth="1"/>
    <col min="14344" max="14345" width="8.85546875" style="4"/>
    <col min="14346" max="14346" width="10.7109375" style="4" bestFit="1" customWidth="1"/>
    <col min="14347" max="14589" width="8.85546875" style="4"/>
    <col min="14590" max="14590" width="1.7109375" style="4" customWidth="1"/>
    <col min="14591" max="14591" width="40.7109375" style="4" customWidth="1"/>
    <col min="14592" max="14596" width="10.7109375" style="4" customWidth="1"/>
    <col min="14597" max="14597" width="11.42578125" style="4" customWidth="1"/>
    <col min="14598" max="14599" width="12" style="4" customWidth="1"/>
    <col min="14600" max="14601" width="8.85546875" style="4"/>
    <col min="14602" max="14602" width="10.7109375" style="4" bestFit="1" customWidth="1"/>
    <col min="14603" max="14845" width="8.85546875" style="4"/>
    <col min="14846" max="14846" width="1.7109375" style="4" customWidth="1"/>
    <col min="14847" max="14847" width="40.7109375" style="4" customWidth="1"/>
    <col min="14848" max="14852" width="10.7109375" style="4" customWidth="1"/>
    <col min="14853" max="14853" width="11.42578125" style="4" customWidth="1"/>
    <col min="14854" max="14855" width="12" style="4" customWidth="1"/>
    <col min="14856" max="14857" width="8.85546875" style="4"/>
    <col min="14858" max="14858" width="10.7109375" style="4" bestFit="1" customWidth="1"/>
    <col min="14859" max="15101" width="8.85546875" style="4"/>
    <col min="15102" max="15102" width="1.7109375" style="4" customWidth="1"/>
    <col min="15103" max="15103" width="40.7109375" style="4" customWidth="1"/>
    <col min="15104" max="15108" width="10.7109375" style="4" customWidth="1"/>
    <col min="15109" max="15109" width="11.42578125" style="4" customWidth="1"/>
    <col min="15110" max="15111" width="12" style="4" customWidth="1"/>
    <col min="15112" max="15113" width="8.85546875" style="4"/>
    <col min="15114" max="15114" width="10.7109375" style="4" bestFit="1" customWidth="1"/>
    <col min="15115" max="15357" width="8.85546875" style="4"/>
    <col min="15358" max="15358" width="1.7109375" style="4" customWidth="1"/>
    <col min="15359" max="15359" width="40.7109375" style="4" customWidth="1"/>
    <col min="15360" max="15364" width="10.7109375" style="4" customWidth="1"/>
    <col min="15365" max="15365" width="11.42578125" style="4" customWidth="1"/>
    <col min="15366" max="15367" width="12" style="4" customWidth="1"/>
    <col min="15368" max="15369" width="8.85546875" style="4"/>
    <col min="15370" max="15370" width="10.7109375" style="4" bestFit="1" customWidth="1"/>
    <col min="15371" max="15613" width="8.85546875" style="4"/>
    <col min="15614" max="15614" width="1.7109375" style="4" customWidth="1"/>
    <col min="15615" max="15615" width="40.7109375" style="4" customWidth="1"/>
    <col min="15616" max="15620" width="10.7109375" style="4" customWidth="1"/>
    <col min="15621" max="15621" width="11.42578125" style="4" customWidth="1"/>
    <col min="15622" max="15623" width="12" style="4" customWidth="1"/>
    <col min="15624" max="15625" width="8.85546875" style="4"/>
    <col min="15626" max="15626" width="10.7109375" style="4" bestFit="1" customWidth="1"/>
    <col min="15627" max="15869" width="8.85546875" style="4"/>
    <col min="15870" max="15870" width="1.7109375" style="4" customWidth="1"/>
    <col min="15871" max="15871" width="40.7109375" style="4" customWidth="1"/>
    <col min="15872" max="15876" width="10.7109375" style="4" customWidth="1"/>
    <col min="15877" max="15877" width="11.42578125" style="4" customWidth="1"/>
    <col min="15878" max="15879" width="12" style="4" customWidth="1"/>
    <col min="15880" max="15881" width="8.85546875" style="4"/>
    <col min="15882" max="15882" width="10.7109375" style="4" bestFit="1" customWidth="1"/>
    <col min="15883" max="16125" width="8.85546875" style="4"/>
    <col min="16126" max="16126" width="1.7109375" style="4" customWidth="1"/>
    <col min="16127" max="16127" width="40.7109375" style="4" customWidth="1"/>
    <col min="16128" max="16132" width="10.7109375" style="4" customWidth="1"/>
    <col min="16133" max="16133" width="11.42578125" style="4" customWidth="1"/>
    <col min="16134" max="16135" width="12" style="4" customWidth="1"/>
    <col min="16136" max="16137" width="8.85546875" style="4"/>
    <col min="16138" max="16138" width="10.7109375" style="4" bestFit="1" customWidth="1"/>
    <col min="16139" max="16384" width="8.85546875" style="4"/>
  </cols>
  <sheetData>
    <row r="1" spans="1:12" s="2" customFormat="1" ht="19.5" x14ac:dyDescent="0.3">
      <c r="A1" s="226" t="str">
        <f>CoName</f>
        <v>Cava Group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2" x14ac:dyDescent="0.25">
      <c r="A2" s="16" t="s">
        <v>10</v>
      </c>
      <c r="B2" s="15"/>
      <c r="C2" s="235">
        <v>2022</v>
      </c>
      <c r="D2" s="235">
        <f>C2+1</f>
        <v>2023</v>
      </c>
      <c r="E2" s="235">
        <f t="shared" ref="E2:J2" si="0">D2+1</f>
        <v>2024</v>
      </c>
      <c r="F2" s="235">
        <f t="shared" si="0"/>
        <v>2025</v>
      </c>
      <c r="G2" s="235">
        <f t="shared" si="0"/>
        <v>2026</v>
      </c>
      <c r="H2" s="235">
        <f t="shared" si="0"/>
        <v>2027</v>
      </c>
      <c r="I2" s="235">
        <f t="shared" si="0"/>
        <v>2028</v>
      </c>
      <c r="J2" s="235">
        <f t="shared" si="0"/>
        <v>2029</v>
      </c>
      <c r="K2" s="235">
        <f t="shared" ref="K2" si="1">J2+1</f>
        <v>2030</v>
      </c>
      <c r="L2" s="235">
        <f t="shared" ref="L2" si="2">K2+1</f>
        <v>2031</v>
      </c>
    </row>
    <row r="3" spans="1:12" x14ac:dyDescent="0.25">
      <c r="A3" s="86"/>
      <c r="C3" s="99"/>
      <c r="D3" s="99"/>
      <c r="E3" s="99"/>
    </row>
    <row r="4" spans="1:12" x14ac:dyDescent="0.25">
      <c r="B4" s="30" t="s">
        <v>42</v>
      </c>
      <c r="C4" s="31"/>
      <c r="D4" s="31"/>
      <c r="E4" s="32"/>
      <c r="F4" s="171">
        <f>Assumptions!F10</f>
        <v>0.22500000000000001</v>
      </c>
      <c r="G4" s="171">
        <f>Assumptions!G10</f>
        <v>0.22170000000000001</v>
      </c>
      <c r="H4" s="171">
        <f>Assumptions!H10</f>
        <v>0.21840000000000001</v>
      </c>
      <c r="I4" s="171">
        <f>Assumptions!I10</f>
        <v>0.21510000000000001</v>
      </c>
      <c r="J4" s="171">
        <f>Assumptions!J10</f>
        <v>0.21180000000000002</v>
      </c>
      <c r="K4" s="171">
        <f>Assumptions!K10</f>
        <v>0.20850000000000002</v>
      </c>
      <c r="L4" s="171">
        <f>Assumptions!L10</f>
        <v>0.20520000000000002</v>
      </c>
    </row>
    <row r="5" spans="1:12" x14ac:dyDescent="0.25">
      <c r="B5" s="30" t="s">
        <v>43</v>
      </c>
      <c r="C5" s="31"/>
      <c r="D5" s="31"/>
      <c r="E5" s="31"/>
      <c r="F5" s="171">
        <f>Assumptions!F11</f>
        <v>0.29046452107629556</v>
      </c>
      <c r="G5" s="171">
        <f>Assumptions!G11</f>
        <v>0.28546452107629555</v>
      </c>
      <c r="H5" s="171">
        <f>Assumptions!H11</f>
        <v>0.28046452107629555</v>
      </c>
      <c r="I5" s="171">
        <f>Assumptions!I11</f>
        <v>0.27546452107629554</v>
      </c>
      <c r="J5" s="171">
        <f>Assumptions!J11</f>
        <v>0.27046452107629554</v>
      </c>
      <c r="K5" s="171">
        <f>Assumptions!K11</f>
        <v>0.26546452107629553</v>
      </c>
      <c r="L5" s="171">
        <f>Assumptions!L11</f>
        <v>0.26046452107629553</v>
      </c>
    </row>
    <row r="6" spans="1:12" x14ac:dyDescent="0.25">
      <c r="B6" s="30" t="s">
        <v>44</v>
      </c>
      <c r="C6" s="31"/>
      <c r="D6" s="31"/>
      <c r="E6" s="31"/>
      <c r="F6" s="171">
        <f>Assumptions!F12</f>
        <v>0.64479394280247337</v>
      </c>
      <c r="G6" s="171">
        <f>Assumptions!G12</f>
        <v>0.62979394280247336</v>
      </c>
      <c r="H6" s="171">
        <f>Assumptions!H12</f>
        <v>0.61479394280247335</v>
      </c>
      <c r="I6" s="171">
        <f>Assumptions!I12</f>
        <v>0.59979394280247333</v>
      </c>
      <c r="J6" s="171">
        <f>Assumptions!J12</f>
        <v>0.58479394280247332</v>
      </c>
      <c r="K6" s="171">
        <f>Assumptions!K12</f>
        <v>0.56979394280247331</v>
      </c>
      <c r="L6" s="171">
        <f>Assumptions!L12</f>
        <v>0.55479394280247329</v>
      </c>
    </row>
    <row r="7" spans="1:12" x14ac:dyDescent="0.25">
      <c r="A7" s="86"/>
      <c r="B7" s="4" t="s">
        <v>45</v>
      </c>
      <c r="C7" s="30"/>
      <c r="D7" s="30"/>
      <c r="E7" s="30"/>
      <c r="F7" s="172">
        <f>Assumptions!F13</f>
        <v>0</v>
      </c>
      <c r="G7" s="172">
        <f>Assumptions!G13</f>
        <v>0</v>
      </c>
      <c r="H7" s="172">
        <f>Assumptions!H13</f>
        <v>0</v>
      </c>
      <c r="I7" s="172">
        <f>Assumptions!I13</f>
        <v>0</v>
      </c>
      <c r="J7" s="172">
        <f>Assumptions!J13</f>
        <v>0</v>
      </c>
      <c r="K7" s="172">
        <f>Assumptions!K13</f>
        <v>0</v>
      </c>
      <c r="L7" s="172">
        <f>Assumptions!L13</f>
        <v>0</v>
      </c>
    </row>
    <row r="8" spans="1:12" x14ac:dyDescent="0.25">
      <c r="A8" s="86"/>
      <c r="B8" s="4" t="s">
        <v>46</v>
      </c>
      <c r="C8" s="30"/>
      <c r="D8" s="30"/>
      <c r="E8" s="30"/>
      <c r="F8" s="173">
        <f>Assumptions!F14</f>
        <v>0</v>
      </c>
      <c r="G8" s="173">
        <f>Assumptions!G14</f>
        <v>0</v>
      </c>
      <c r="H8" s="173">
        <f>Assumptions!H14</f>
        <v>0</v>
      </c>
      <c r="I8" s="173">
        <f>Assumptions!I14</f>
        <v>0</v>
      </c>
      <c r="J8" s="173">
        <f>Assumptions!J14</f>
        <v>0</v>
      </c>
      <c r="K8" s="173">
        <f>Assumptions!K14</f>
        <v>0</v>
      </c>
      <c r="L8" s="173">
        <f>Assumptions!L14</f>
        <v>0</v>
      </c>
    </row>
    <row r="9" spans="1:12" x14ac:dyDescent="0.25">
      <c r="B9" s="4" t="s">
        <v>144</v>
      </c>
      <c r="F9" s="173">
        <f>Assumptions!F15</f>
        <v>0</v>
      </c>
      <c r="G9" s="173">
        <f>Assumptions!G15</f>
        <v>0</v>
      </c>
      <c r="H9" s="173">
        <f>Assumptions!H15</f>
        <v>0</v>
      </c>
      <c r="I9" s="173">
        <f>Assumptions!I15</f>
        <v>0</v>
      </c>
      <c r="J9" s="173">
        <f>Assumptions!J15</f>
        <v>0</v>
      </c>
      <c r="K9" s="173">
        <f>Assumptions!K15</f>
        <v>0</v>
      </c>
      <c r="L9" s="173">
        <f>Assumptions!L15</f>
        <v>0</v>
      </c>
    </row>
    <row r="10" spans="1:12" x14ac:dyDescent="0.25">
      <c r="B10" s="30" t="s">
        <v>47</v>
      </c>
      <c r="C10" s="43"/>
      <c r="D10" s="43"/>
      <c r="E10" s="43"/>
      <c r="F10" s="171">
        <f>Assumptions!F16</f>
        <v>0.2</v>
      </c>
      <c r="G10" s="171">
        <f>Assumptions!G16</f>
        <v>0.2</v>
      </c>
      <c r="H10" s="171">
        <f>Assumptions!H16</f>
        <v>0.2</v>
      </c>
      <c r="I10" s="171">
        <f>Assumptions!I16</f>
        <v>0.2</v>
      </c>
      <c r="J10" s="171">
        <f>Assumptions!J16</f>
        <v>0.2</v>
      </c>
      <c r="K10" s="171">
        <f>Assumptions!K16</f>
        <v>0.2</v>
      </c>
      <c r="L10" s="171">
        <f>Assumptions!L16</f>
        <v>0.2</v>
      </c>
    </row>
    <row r="11" spans="1:12" x14ac:dyDescent="0.25">
      <c r="B11" s="4" t="s">
        <v>48</v>
      </c>
      <c r="C11" s="30"/>
      <c r="D11" s="30"/>
      <c r="E11" s="39"/>
      <c r="F11" s="173">
        <f>Assumptions!F17</f>
        <v>114292</v>
      </c>
      <c r="G11" s="173">
        <f>Assumptions!G17</f>
        <v>114292</v>
      </c>
      <c r="H11" s="173">
        <f>Assumptions!H17</f>
        <v>114292</v>
      </c>
      <c r="I11" s="173">
        <f>Assumptions!I17</f>
        <v>114292</v>
      </c>
      <c r="J11" s="173">
        <f>Assumptions!J17</f>
        <v>114292</v>
      </c>
      <c r="K11" s="173">
        <f>Assumptions!K17</f>
        <v>114292</v>
      </c>
      <c r="L11" s="173">
        <f>Assumptions!L17</f>
        <v>114292</v>
      </c>
    </row>
    <row r="12" spans="1:12" x14ac:dyDescent="0.25">
      <c r="B12" s="4" t="s">
        <v>49</v>
      </c>
      <c r="C12" s="30"/>
      <c r="D12" s="30"/>
      <c r="E12" s="39"/>
      <c r="F12" s="173">
        <f>Assumptions!F18</f>
        <v>118273</v>
      </c>
      <c r="G12" s="173">
        <f>Assumptions!G18</f>
        <v>118273</v>
      </c>
      <c r="H12" s="173">
        <f>Assumptions!H18</f>
        <v>118273</v>
      </c>
      <c r="I12" s="173">
        <f>Assumptions!I18</f>
        <v>118273</v>
      </c>
      <c r="J12" s="173">
        <f>Assumptions!J18</f>
        <v>118273</v>
      </c>
      <c r="K12" s="173">
        <f>Assumptions!K18</f>
        <v>118273</v>
      </c>
      <c r="L12" s="173">
        <f>Assumptions!L18</f>
        <v>118273</v>
      </c>
    </row>
    <row r="13" spans="1:12" x14ac:dyDescent="0.25"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ht="14.85" customHeight="1" x14ac:dyDescent="0.25">
      <c r="A14" s="174" t="s">
        <v>41</v>
      </c>
      <c r="B14" s="175"/>
      <c r="C14" s="225">
        <v>2022</v>
      </c>
      <c r="D14" s="225">
        <f>C14+1</f>
        <v>2023</v>
      </c>
      <c r="E14" s="225">
        <f t="shared" ref="E14:L14" si="3">D14+1</f>
        <v>2024</v>
      </c>
      <c r="F14" s="225">
        <f t="shared" si="3"/>
        <v>2025</v>
      </c>
      <c r="G14" s="225">
        <f t="shared" si="3"/>
        <v>2026</v>
      </c>
      <c r="H14" s="225">
        <f t="shared" si="3"/>
        <v>2027</v>
      </c>
      <c r="I14" s="225">
        <f t="shared" si="3"/>
        <v>2028</v>
      </c>
      <c r="J14" s="225">
        <f t="shared" si="3"/>
        <v>2029</v>
      </c>
      <c r="K14" s="225">
        <f t="shared" si="3"/>
        <v>2030</v>
      </c>
      <c r="L14" s="225">
        <f t="shared" si="3"/>
        <v>2031</v>
      </c>
    </row>
    <row r="15" spans="1:12" x14ac:dyDescent="0.25">
      <c r="B15" s="4" t="s">
        <v>50</v>
      </c>
      <c r="C15" s="97">
        <v>564119</v>
      </c>
      <c r="D15" s="123">
        <v>728700</v>
      </c>
      <c r="E15" s="22">
        <v>963713</v>
      </c>
      <c r="F15" s="4">
        <f>E15*(1+F4)</f>
        <v>1180548.425</v>
      </c>
      <c r="G15" s="4">
        <f t="shared" ref="G15:L15" si="4">F15*(1+G4)</f>
        <v>1442276.0108225001</v>
      </c>
      <c r="H15" s="4">
        <f t="shared" si="4"/>
        <v>1757269.0915861339</v>
      </c>
      <c r="I15" s="4">
        <f t="shared" si="4"/>
        <v>2135257.6731863115</v>
      </c>
      <c r="J15" s="4">
        <f t="shared" si="4"/>
        <v>2587505.2483671722</v>
      </c>
      <c r="K15" s="4">
        <f t="shared" si="4"/>
        <v>3127000.0926517271</v>
      </c>
      <c r="L15" s="4">
        <f t="shared" si="4"/>
        <v>3768660.5116638616</v>
      </c>
    </row>
    <row r="16" spans="1:12" x14ac:dyDescent="0.25">
      <c r="B16" s="4" t="s">
        <v>156</v>
      </c>
      <c r="C16" s="123">
        <v>179988</v>
      </c>
      <c r="D16" s="123">
        <v>213458</v>
      </c>
      <c r="E16" s="22">
        <v>284743</v>
      </c>
      <c r="F16" s="169">
        <f>F15*F5</f>
        <v>342907.43287500006</v>
      </c>
      <c r="G16" s="169">
        <f t="shared" ref="G16:L16" si="5">G15*G5</f>
        <v>411718.63068927504</v>
      </c>
      <c r="H16" s="169">
        <f t="shared" si="5"/>
        <v>492851.63417388202</v>
      </c>
      <c r="I16" s="169">
        <f t="shared" si="5"/>
        <v>588187.73231875245</v>
      </c>
      <c r="J16" s="169">
        <f t="shared" si="5"/>
        <v>699828.36778202839</v>
      </c>
      <c r="K16" s="169">
        <f t="shared" si="5"/>
        <v>830107.58200132253</v>
      </c>
      <c r="L16" s="169">
        <f t="shared" si="5"/>
        <v>981602.35526967456</v>
      </c>
    </row>
    <row r="17" spans="1:12" x14ac:dyDescent="0.25">
      <c r="B17" s="4" t="s">
        <v>51</v>
      </c>
      <c r="C17" s="123">
        <f>623885-C16</f>
        <v>443897</v>
      </c>
      <c r="D17" s="123">
        <f>723975-D16</f>
        <v>510517</v>
      </c>
      <c r="E17" s="22">
        <f>920595-E16</f>
        <v>635852</v>
      </c>
      <c r="F17" s="169">
        <f>F6*F15</f>
        <v>761210.4736250001</v>
      </c>
      <c r="G17" s="169">
        <f t="shared" ref="G17:L17" si="6">G6*G15</f>
        <v>908336.69546532503</v>
      </c>
      <c r="H17" s="169">
        <f t="shared" si="6"/>
        <v>1080358.39338116</v>
      </c>
      <c r="I17" s="169">
        <f t="shared" si="6"/>
        <v>1280714.6186996528</v>
      </c>
      <c r="J17" s="169">
        <f t="shared" si="6"/>
        <v>1513157.3962147317</v>
      </c>
      <c r="K17" s="169">
        <f t="shared" si="6"/>
        <v>1781745.7119357269</v>
      </c>
      <c r="L17" s="169">
        <f t="shared" si="6"/>
        <v>2090830.0243499801</v>
      </c>
    </row>
    <row r="18" spans="1:12" s="11" customFormat="1" x14ac:dyDescent="0.25">
      <c r="A18" s="11" t="s">
        <v>124</v>
      </c>
      <c r="B18" s="17" t="s">
        <v>54</v>
      </c>
      <c r="C18" s="18">
        <f>C15-SUM(C16:C17)</f>
        <v>-59766</v>
      </c>
      <c r="D18" s="18">
        <f>D15-SUM(D16:D17)</f>
        <v>4725</v>
      </c>
      <c r="E18" s="18">
        <f>E15-SUM(E16:E17)</f>
        <v>43118</v>
      </c>
      <c r="F18" s="18">
        <f>F15-SUM(F16:F17)</f>
        <v>76430.518500000006</v>
      </c>
      <c r="G18" s="18">
        <f t="shared" ref="G18:L18" si="7">G15-SUM(G16:G17)</f>
        <v>122220.68466789997</v>
      </c>
      <c r="H18" s="18">
        <f t="shared" si="7"/>
        <v>184059.06403109198</v>
      </c>
      <c r="I18" s="18">
        <f t="shared" si="7"/>
        <v>266355.32216790621</v>
      </c>
      <c r="J18" s="18">
        <f t="shared" si="7"/>
        <v>374519.48437041184</v>
      </c>
      <c r="K18" s="18">
        <f t="shared" si="7"/>
        <v>515146.7987146778</v>
      </c>
      <c r="L18" s="18">
        <f t="shared" si="7"/>
        <v>696228.13204420684</v>
      </c>
    </row>
    <row r="19" spans="1:12" s="11" customFormat="1" x14ac:dyDescent="0.25">
      <c r="E19" s="35"/>
    </row>
    <row r="20" spans="1:12" s="11" customFormat="1" x14ac:dyDescent="0.25">
      <c r="B20" s="4" t="s">
        <v>15</v>
      </c>
      <c r="C20" s="124">
        <v>37086</v>
      </c>
      <c r="D20" s="124">
        <v>47406</v>
      </c>
      <c r="E20" s="25">
        <v>60355</v>
      </c>
      <c r="F20" s="4">
        <f>Calcs!F8</f>
        <v>67610.375954761592</v>
      </c>
      <c r="G20" s="4">
        <f>Calcs!G8</f>
        <v>73347.036263479516</v>
      </c>
      <c r="H20" s="4">
        <f>Calcs!H8</f>
        <v>80554.158458540216</v>
      </c>
      <c r="I20" s="4">
        <f>Calcs!I8</f>
        <v>89337.800198746452</v>
      </c>
      <c r="J20" s="4">
        <f>Calcs!J8</f>
        <v>99803.249423358982</v>
      </c>
      <c r="K20" s="4">
        <f>Calcs!K8</f>
        <v>112049.17488354618</v>
      </c>
      <c r="L20" s="4">
        <f>Calcs!L8</f>
        <v>126160.1453552497</v>
      </c>
    </row>
    <row r="21" spans="1:12" s="11" customFormat="1" x14ac:dyDescent="0.25">
      <c r="B21" s="4" t="s">
        <v>53</v>
      </c>
      <c r="C21" s="97">
        <v>5638</v>
      </c>
      <c r="D21" s="97">
        <v>27</v>
      </c>
      <c r="E21" s="125">
        <v>0</v>
      </c>
      <c r="F21" s="4">
        <f>F7</f>
        <v>0</v>
      </c>
      <c r="G21" s="4">
        <f t="shared" ref="G21:L21" si="8">G7</f>
        <v>0</v>
      </c>
      <c r="H21" s="4">
        <f t="shared" si="8"/>
        <v>0</v>
      </c>
      <c r="I21" s="4">
        <f t="shared" si="8"/>
        <v>0</v>
      </c>
      <c r="J21" s="4">
        <f t="shared" si="8"/>
        <v>0</v>
      </c>
      <c r="K21" s="4">
        <f t="shared" si="8"/>
        <v>0</v>
      </c>
      <c r="L21" s="4">
        <f t="shared" si="8"/>
        <v>0</v>
      </c>
    </row>
    <row r="22" spans="1:12" s="128" customFormat="1" x14ac:dyDescent="0.25">
      <c r="A22" s="128" t="s">
        <v>124</v>
      </c>
      <c r="B22" s="129" t="s">
        <v>52</v>
      </c>
      <c r="C22" s="130">
        <f>SUM(C18,C20:C21)</f>
        <v>-17042</v>
      </c>
      <c r="D22" s="130">
        <f t="shared" ref="D22:F22" si="9">SUM(D18,D20:D21)</f>
        <v>52158</v>
      </c>
      <c r="E22" s="130">
        <f t="shared" si="9"/>
        <v>103473</v>
      </c>
      <c r="F22" s="130">
        <f t="shared" si="9"/>
        <v>144040.89445476158</v>
      </c>
      <c r="G22" s="130">
        <f t="shared" ref="G22:L22" si="10">SUM(G18,G20:G21)</f>
        <v>195567.72093137947</v>
      </c>
      <c r="H22" s="130">
        <f t="shared" si="10"/>
        <v>264613.2224896322</v>
      </c>
      <c r="I22" s="130">
        <f t="shared" si="10"/>
        <v>355693.12236665265</v>
      </c>
      <c r="J22" s="130">
        <f t="shared" si="10"/>
        <v>474322.73379377084</v>
      </c>
      <c r="K22" s="130">
        <f t="shared" si="10"/>
        <v>627195.97359822399</v>
      </c>
      <c r="L22" s="130">
        <f t="shared" si="10"/>
        <v>822388.27739945659</v>
      </c>
    </row>
    <row r="23" spans="1:12" s="11" customFormat="1" x14ac:dyDescent="0.25">
      <c r="C23" s="13"/>
      <c r="D23" s="4"/>
      <c r="E23" s="36"/>
      <c r="F23" s="4"/>
      <c r="G23" s="4"/>
      <c r="H23" s="4"/>
      <c r="I23" s="4"/>
      <c r="J23" s="4"/>
      <c r="K23" s="4"/>
      <c r="L23" s="4"/>
    </row>
    <row r="24" spans="1:12" s="11" customFormat="1" x14ac:dyDescent="0.25">
      <c r="B24" s="4" t="s">
        <v>55</v>
      </c>
      <c r="C24" s="95">
        <v>0</v>
      </c>
      <c r="D24" s="95">
        <v>0</v>
      </c>
      <c r="E24" s="96">
        <v>0</v>
      </c>
      <c r="F24" s="4">
        <f>F8</f>
        <v>0</v>
      </c>
      <c r="G24" s="4">
        <f t="shared" ref="G24:L24" si="11">G8</f>
        <v>0</v>
      </c>
      <c r="H24" s="4">
        <f t="shared" si="11"/>
        <v>0</v>
      </c>
      <c r="I24" s="4">
        <f t="shared" si="11"/>
        <v>0</v>
      </c>
      <c r="J24" s="4">
        <f t="shared" si="11"/>
        <v>0</v>
      </c>
      <c r="K24" s="4">
        <f t="shared" si="11"/>
        <v>0</v>
      </c>
      <c r="L24" s="4">
        <f t="shared" si="11"/>
        <v>0</v>
      </c>
    </row>
    <row r="25" spans="1:12" s="11" customFormat="1" x14ac:dyDescent="0.25">
      <c r="B25" s="4" t="s">
        <v>56</v>
      </c>
      <c r="C25" s="95">
        <v>-919</v>
      </c>
      <c r="D25" s="95">
        <v>-471</v>
      </c>
      <c r="E25" s="96">
        <v>-318</v>
      </c>
      <c r="F25" s="4">
        <v>-70000</v>
      </c>
      <c r="G25" s="4">
        <f t="shared" ref="G25:L25" si="12">G9</f>
        <v>0</v>
      </c>
      <c r="H25" s="4">
        <f t="shared" si="12"/>
        <v>0</v>
      </c>
      <c r="I25" s="4">
        <f t="shared" si="12"/>
        <v>0</v>
      </c>
      <c r="J25" s="4">
        <f t="shared" si="12"/>
        <v>0</v>
      </c>
      <c r="K25" s="4">
        <f t="shared" si="12"/>
        <v>0</v>
      </c>
      <c r="L25" s="4">
        <f t="shared" si="12"/>
        <v>0</v>
      </c>
    </row>
    <row r="26" spans="1:12" s="11" customFormat="1" x14ac:dyDescent="0.25">
      <c r="B26" s="4"/>
      <c r="C26" s="10"/>
      <c r="D26" s="10"/>
      <c r="E26" s="22"/>
      <c r="F26" s="4"/>
      <c r="G26" s="4"/>
      <c r="H26" s="4"/>
      <c r="I26" s="4"/>
      <c r="J26" s="4"/>
      <c r="K26" s="4"/>
      <c r="L26" s="4"/>
    </row>
    <row r="27" spans="1:12" s="11" customFormat="1" x14ac:dyDescent="0.25">
      <c r="B27" s="4" t="s">
        <v>40</v>
      </c>
      <c r="C27" s="9">
        <v>0</v>
      </c>
      <c r="D27" s="9">
        <v>8852</v>
      </c>
      <c r="E27" s="45">
        <v>16474</v>
      </c>
      <c r="F27" s="244">
        <f>IF(circ=1,Debt!F33,0)</f>
        <v>0</v>
      </c>
      <c r="G27" s="244">
        <f>IF(circ=1,Debt!G33,0)</f>
        <v>0</v>
      </c>
      <c r="H27" s="244">
        <f>IF(circ=1,Debt!H33,0)</f>
        <v>0</v>
      </c>
      <c r="I27" s="244">
        <f>IF(circ=1,Debt!I33,0)</f>
        <v>0</v>
      </c>
      <c r="J27" s="244">
        <f>IF(circ=1,Debt!J33,0)</f>
        <v>0</v>
      </c>
      <c r="K27" s="244">
        <f>IF(circ=1,Debt!K33,0)</f>
        <v>0</v>
      </c>
      <c r="L27" s="244">
        <f>IF(circ=1,Debt!L33,0)</f>
        <v>0</v>
      </c>
    </row>
    <row r="28" spans="1:12" x14ac:dyDescent="0.25">
      <c r="B28" s="4" t="s">
        <v>32</v>
      </c>
      <c r="C28" s="9">
        <v>-47</v>
      </c>
      <c r="D28" s="9">
        <v>0</v>
      </c>
      <c r="E28" s="45">
        <v>0</v>
      </c>
      <c r="F28" s="244">
        <f>IF(circ=1,-Debt!F28,0)</f>
        <v>0</v>
      </c>
      <c r="G28" s="244">
        <f>IF(circ=1,-Debt!G28,0)</f>
        <v>0</v>
      </c>
      <c r="H28" s="244">
        <f>IF(circ=1,-Debt!H28,0)</f>
        <v>0</v>
      </c>
      <c r="I28" s="244">
        <f>IF(circ=1,-Debt!I28,0)</f>
        <v>0</v>
      </c>
      <c r="J28" s="244">
        <f>IF(circ=1,-Debt!J28,0)</f>
        <v>0</v>
      </c>
      <c r="K28" s="244">
        <f>IF(circ=1,-Debt!K28,0)</f>
        <v>0</v>
      </c>
      <c r="L28" s="244">
        <f>IF(circ=1,-Debt!L28,0)</f>
        <v>0</v>
      </c>
    </row>
    <row r="29" spans="1:12" x14ac:dyDescent="0.25">
      <c r="C29" s="10"/>
      <c r="D29" s="10"/>
      <c r="E29" s="22"/>
      <c r="H29" s="4"/>
    </row>
    <row r="30" spans="1:12" s="11" customFormat="1" x14ac:dyDescent="0.25">
      <c r="A30" s="11" t="s">
        <v>124</v>
      </c>
      <c r="B30" s="17" t="s">
        <v>84</v>
      </c>
      <c r="C30" s="18">
        <f t="shared" ref="C30:D30" si="13">C18+SUM(C25:C28)</f>
        <v>-60732</v>
      </c>
      <c r="D30" s="18">
        <f t="shared" si="13"/>
        <v>13106</v>
      </c>
      <c r="E30" s="18">
        <f>E18+SUM(E24:E28)</f>
        <v>59274</v>
      </c>
      <c r="F30" s="18">
        <f>F18+SUM(F24:F28)</f>
        <v>6430.5185000000056</v>
      </c>
      <c r="G30" s="18">
        <f t="shared" ref="G30:L30" si="14">G18+SUM(G24:G28)</f>
        <v>122220.68466789997</v>
      </c>
      <c r="H30" s="18">
        <f t="shared" si="14"/>
        <v>184059.06403109198</v>
      </c>
      <c r="I30" s="18">
        <f t="shared" si="14"/>
        <v>266355.32216790621</v>
      </c>
      <c r="J30" s="18">
        <f t="shared" si="14"/>
        <v>374519.48437041184</v>
      </c>
      <c r="K30" s="18">
        <f t="shared" si="14"/>
        <v>515146.7987146778</v>
      </c>
      <c r="L30" s="18">
        <f t="shared" si="14"/>
        <v>696228.13204420684</v>
      </c>
    </row>
    <row r="31" spans="1:12" x14ac:dyDescent="0.25">
      <c r="E31" s="37"/>
      <c r="H31" s="4"/>
    </row>
    <row r="32" spans="1:12" x14ac:dyDescent="0.25">
      <c r="B32" s="4" t="s">
        <v>57</v>
      </c>
      <c r="C32" s="132">
        <v>93</v>
      </c>
      <c r="D32" s="4">
        <v>768</v>
      </c>
      <c r="E32" s="58">
        <v>-70409</v>
      </c>
      <c r="F32" s="4">
        <f>F30*F10</f>
        <v>1286.1037000000013</v>
      </c>
      <c r="G32" s="4">
        <f t="shared" ref="G32:L32" si="15">G30*G10</f>
        <v>24444.136933579997</v>
      </c>
      <c r="H32" s="4">
        <f t="shared" si="15"/>
        <v>36811.812806218397</v>
      </c>
      <c r="I32" s="4">
        <f t="shared" si="15"/>
        <v>53271.064433581247</v>
      </c>
      <c r="J32" s="4">
        <f t="shared" si="15"/>
        <v>74903.896874082377</v>
      </c>
      <c r="K32" s="4">
        <f t="shared" si="15"/>
        <v>103029.35974293557</v>
      </c>
      <c r="L32" s="4">
        <f t="shared" si="15"/>
        <v>139245.62640884137</v>
      </c>
    </row>
    <row r="33" spans="1:12" s="11" customFormat="1" x14ac:dyDescent="0.25">
      <c r="A33" s="11" t="s">
        <v>124</v>
      </c>
      <c r="B33" s="17" t="s">
        <v>58</v>
      </c>
      <c r="C33" s="18">
        <f>C30-C32</f>
        <v>-60825</v>
      </c>
      <c r="D33" s="34">
        <f t="shared" ref="D33:F33" si="16">D30-D32</f>
        <v>12338</v>
      </c>
      <c r="E33" s="18">
        <f t="shared" si="16"/>
        <v>129683</v>
      </c>
      <c r="F33" s="18">
        <f t="shared" si="16"/>
        <v>5144.4148000000041</v>
      </c>
      <c r="G33" s="18">
        <f t="shared" ref="G33:L33" si="17">G30-G32</f>
        <v>97776.547734319975</v>
      </c>
      <c r="H33" s="18">
        <f t="shared" si="17"/>
        <v>147247.25122487359</v>
      </c>
      <c r="I33" s="18">
        <f t="shared" si="17"/>
        <v>213084.25773432496</v>
      </c>
      <c r="J33" s="18">
        <f t="shared" si="17"/>
        <v>299615.58749632945</v>
      </c>
      <c r="K33" s="18">
        <f t="shared" si="17"/>
        <v>412117.43897174223</v>
      </c>
      <c r="L33" s="18">
        <f t="shared" si="17"/>
        <v>556982.50563536549</v>
      </c>
    </row>
    <row r="34" spans="1:12" s="237" customFormat="1" x14ac:dyDescent="0.25">
      <c r="A34" s="238"/>
      <c r="C34" s="239"/>
      <c r="D34" s="241"/>
      <c r="E34" s="239"/>
      <c r="F34" s="242"/>
      <c r="G34" s="242"/>
      <c r="H34" s="242"/>
      <c r="I34" s="242"/>
      <c r="J34" s="242"/>
      <c r="K34" s="242"/>
      <c r="L34" s="242"/>
    </row>
    <row r="35" spans="1:12" x14ac:dyDescent="0.25">
      <c r="A35" s="20" t="s">
        <v>59</v>
      </c>
      <c r="B35" s="19"/>
      <c r="C35" s="225">
        <v>2022</v>
      </c>
      <c r="D35" s="225">
        <f>C35+1</f>
        <v>2023</v>
      </c>
      <c r="E35" s="225">
        <f t="shared" ref="E35:L35" si="18">D35+1</f>
        <v>2024</v>
      </c>
      <c r="F35" s="225">
        <f t="shared" si="18"/>
        <v>2025</v>
      </c>
      <c r="G35" s="225">
        <f t="shared" si="18"/>
        <v>2026</v>
      </c>
      <c r="H35" s="225">
        <f t="shared" si="18"/>
        <v>2027</v>
      </c>
      <c r="I35" s="225">
        <f t="shared" si="18"/>
        <v>2028</v>
      </c>
      <c r="J35" s="225">
        <f t="shared" si="18"/>
        <v>2029</v>
      </c>
      <c r="K35" s="225">
        <f t="shared" si="18"/>
        <v>2030</v>
      </c>
      <c r="L35" s="225">
        <f t="shared" si="18"/>
        <v>2031</v>
      </c>
    </row>
    <row r="36" spans="1:12" x14ac:dyDescent="0.25">
      <c r="B36" s="4" t="s">
        <v>48</v>
      </c>
      <c r="C36" s="10">
        <v>1328</v>
      </c>
      <c r="D36" s="10">
        <v>60512</v>
      </c>
      <c r="E36" s="22">
        <v>114292</v>
      </c>
      <c r="F36" s="170">
        <f>F11</f>
        <v>114292</v>
      </c>
      <c r="G36" s="170">
        <f t="shared" ref="G36:L36" si="19">G11</f>
        <v>114292</v>
      </c>
      <c r="H36" s="170">
        <f t="shared" si="19"/>
        <v>114292</v>
      </c>
      <c r="I36" s="170">
        <f t="shared" si="19"/>
        <v>114292</v>
      </c>
      <c r="J36" s="170">
        <f t="shared" si="19"/>
        <v>114292</v>
      </c>
      <c r="K36" s="170">
        <f t="shared" si="19"/>
        <v>114292</v>
      </c>
      <c r="L36" s="170">
        <f t="shared" si="19"/>
        <v>114292</v>
      </c>
    </row>
    <row r="37" spans="1:12" x14ac:dyDescent="0.25">
      <c r="B37" s="4" t="s">
        <v>49</v>
      </c>
      <c r="C37" s="10">
        <v>1328</v>
      </c>
      <c r="D37" s="10">
        <v>63448</v>
      </c>
      <c r="E37" s="22">
        <v>118273</v>
      </c>
      <c r="F37" s="170">
        <f>F12</f>
        <v>118273</v>
      </c>
      <c r="G37" s="170">
        <f t="shared" ref="G37:L37" si="20">G12</f>
        <v>118273</v>
      </c>
      <c r="H37" s="170">
        <f t="shared" si="20"/>
        <v>118273</v>
      </c>
      <c r="I37" s="170">
        <f t="shared" si="20"/>
        <v>118273</v>
      </c>
      <c r="J37" s="170">
        <f t="shared" si="20"/>
        <v>118273</v>
      </c>
      <c r="K37" s="170">
        <f t="shared" si="20"/>
        <v>118273</v>
      </c>
      <c r="L37" s="170">
        <f t="shared" si="20"/>
        <v>118273</v>
      </c>
    </row>
    <row r="38" spans="1:12" x14ac:dyDescent="0.25">
      <c r="B38" s="4" t="s">
        <v>60</v>
      </c>
      <c r="C38" s="177">
        <f>C33/C36</f>
        <v>-45.801957831325304</v>
      </c>
      <c r="D38" s="177">
        <f>D33/D36</f>
        <v>0.20389344262295081</v>
      </c>
      <c r="E38" s="178">
        <f>E33/E36</f>
        <v>1.134663843488608</v>
      </c>
      <c r="F38" s="169">
        <f>F33/F36</f>
        <v>4.5011153886536273E-2</v>
      </c>
      <c r="G38" s="169">
        <f t="shared" ref="G38:L38" si="21">G33/G36</f>
        <v>0.85549774029958325</v>
      </c>
      <c r="H38" s="169">
        <f t="shared" si="21"/>
        <v>1.2883425893752283</v>
      </c>
      <c r="I38" s="169">
        <f t="shared" si="21"/>
        <v>1.8643847140160725</v>
      </c>
      <c r="J38" s="169">
        <f t="shared" si="21"/>
        <v>2.6214922085214138</v>
      </c>
      <c r="K38" s="169">
        <f t="shared" si="21"/>
        <v>3.6058292703928729</v>
      </c>
      <c r="L38" s="169">
        <f t="shared" si="21"/>
        <v>4.8733288912204307</v>
      </c>
    </row>
    <row r="39" spans="1:12" s="11" customFormat="1" x14ac:dyDescent="0.25">
      <c r="A39" s="11" t="s">
        <v>124</v>
      </c>
      <c r="B39" s="17" t="s">
        <v>61</v>
      </c>
      <c r="C39" s="176">
        <f>C33/C37</f>
        <v>-45.801957831325304</v>
      </c>
      <c r="D39" s="176">
        <f>D33/D37</f>
        <v>0.19445845416719204</v>
      </c>
      <c r="E39" s="176">
        <f>E33/E37</f>
        <v>1.0964717222020242</v>
      </c>
      <c r="F39" s="176">
        <f>F33/F37</f>
        <v>4.3496104774547059E-2</v>
      </c>
      <c r="G39" s="176">
        <f t="shared" ref="G39:L39" si="22">G33/G37</f>
        <v>0.82670218675707874</v>
      </c>
      <c r="H39" s="176">
        <f t="shared" si="22"/>
        <v>1.2449777313915567</v>
      </c>
      <c r="I39" s="176">
        <f t="shared" si="22"/>
        <v>1.8016306150543653</v>
      </c>
      <c r="J39" s="176">
        <f t="shared" si="22"/>
        <v>2.5332543141404162</v>
      </c>
      <c r="K39" s="176">
        <f t="shared" si="22"/>
        <v>3.4844591662656925</v>
      </c>
      <c r="L39" s="176">
        <f t="shared" si="22"/>
        <v>4.7092954912394669</v>
      </c>
    </row>
    <row r="40" spans="1:12" x14ac:dyDescent="0.25">
      <c r="C40" s="14"/>
      <c r="D40" s="14"/>
      <c r="E40" s="38"/>
      <c r="F40" s="14"/>
      <c r="G40" s="14"/>
      <c r="H40" s="14"/>
      <c r="I40" s="14"/>
      <c r="J40" s="14"/>
      <c r="K40" s="14"/>
      <c r="L40" s="14"/>
    </row>
    <row r="41" spans="1:12" x14ac:dyDescent="0.25">
      <c r="D41" s="14"/>
      <c r="E41" s="14"/>
      <c r="F41" s="14"/>
    </row>
  </sheetData>
  <conditionalFormatting sqref="F4:L12">
    <cfRule type="expression" dxfId="1" priority="35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L55"/>
  <sheetViews>
    <sheetView showGridLines="0" zoomScaleNormal="100" workbookViewId="0">
      <selection activeCell="F42" sqref="F15:L42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2.855468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2.855468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2.855468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2.855468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2.855468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2.855468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2.855468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2.855468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2.855468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2.855468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2.855468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2.855468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2.855468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2.855468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2.855468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2.855468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2.855468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2.855468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2.855468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2.855468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2.855468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2.855468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2.855468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2.855468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2.855468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2.855468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2.855468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2.855468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2.855468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2.855468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2.855468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2.855468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2.855468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2.855468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2.855468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2.855468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2.855468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2.855468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2.855468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2.855468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2.855468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2.855468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2.855468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2.855468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2.855468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2.855468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2.855468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2.855468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2.855468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2.855468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2.855468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2.855468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2.855468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2.855468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2.855468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2.855468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2.855468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2.855468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2.855468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2.855468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2.855468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2.855468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2.855468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26" t="str">
        <f>CoName</f>
        <v>Cava Group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2" x14ac:dyDescent="0.25">
      <c r="A2" s="16" t="s">
        <v>10</v>
      </c>
      <c r="B2" s="63"/>
      <c r="C2" s="236">
        <v>2022</v>
      </c>
      <c r="D2" s="236">
        <f>C2+1</f>
        <v>2023</v>
      </c>
      <c r="E2" s="236">
        <f t="shared" ref="E2:J2" si="0">D2+1</f>
        <v>2024</v>
      </c>
      <c r="F2" s="236">
        <f t="shared" si="0"/>
        <v>2025</v>
      </c>
      <c r="G2" s="236">
        <f t="shared" si="0"/>
        <v>2026</v>
      </c>
      <c r="H2" s="236">
        <f t="shared" si="0"/>
        <v>2027</v>
      </c>
      <c r="I2" s="236">
        <f t="shared" si="0"/>
        <v>2028</v>
      </c>
      <c r="J2" s="236">
        <f t="shared" si="0"/>
        <v>2029</v>
      </c>
      <c r="K2" s="236">
        <f t="shared" ref="K2" si="1">J2+1</f>
        <v>2030</v>
      </c>
      <c r="L2" s="236">
        <f t="shared" ref="L2" si="2">K2+1</f>
        <v>2031</v>
      </c>
    </row>
    <row r="4" spans="1:12" x14ac:dyDescent="0.25">
      <c r="B4" s="4" t="s">
        <v>139</v>
      </c>
      <c r="C4" s="43"/>
      <c r="D4" s="43"/>
      <c r="E4" s="44"/>
      <c r="F4" s="102">
        <f>Assumptions!F37</f>
        <v>0.02</v>
      </c>
      <c r="G4" s="102">
        <f>F4</f>
        <v>0.02</v>
      </c>
      <c r="H4" s="102">
        <f t="shared" ref="H4:J4" si="3">G4</f>
        <v>0.02</v>
      </c>
      <c r="I4" s="102">
        <f t="shared" si="3"/>
        <v>0.02</v>
      </c>
      <c r="J4" s="102">
        <f t="shared" si="3"/>
        <v>0.02</v>
      </c>
      <c r="K4" s="102">
        <f t="shared" ref="K4" si="4">J4</f>
        <v>0.02</v>
      </c>
      <c r="L4" s="102">
        <f t="shared" ref="L4" si="5">K4</f>
        <v>0.02</v>
      </c>
    </row>
    <row r="5" spans="1:12" x14ac:dyDescent="0.25">
      <c r="B5" s="4" t="s">
        <v>152</v>
      </c>
      <c r="C5" s="43"/>
      <c r="D5" s="43"/>
      <c r="E5" s="44"/>
      <c r="F5" s="102">
        <f>Assumptions!F38</f>
        <v>1.348534262794006E-2</v>
      </c>
      <c r="G5" s="102">
        <f>Assumptions!G38</f>
        <v>1.348534262794006E-2</v>
      </c>
      <c r="H5" s="102">
        <f>Assumptions!H38</f>
        <v>1.348534262794006E-2</v>
      </c>
      <c r="I5" s="102">
        <f>Assumptions!I38</f>
        <v>1.348534262794006E-2</v>
      </c>
      <c r="J5" s="102">
        <f>Assumptions!J38</f>
        <v>1.348534262794006E-2</v>
      </c>
      <c r="K5" s="102">
        <f>Assumptions!K38</f>
        <v>1.348534262794006E-2</v>
      </c>
      <c r="L5" s="102">
        <f>Assumptions!L38</f>
        <v>1.348534262794006E-2</v>
      </c>
    </row>
    <row r="6" spans="1:12" x14ac:dyDescent="0.25">
      <c r="B6" s="4" t="s">
        <v>63</v>
      </c>
      <c r="C6" s="43"/>
      <c r="D6" s="43"/>
      <c r="E6" s="44"/>
      <c r="F6" s="102">
        <f>Assumptions!F39</f>
        <v>2.6690735154156556E-2</v>
      </c>
      <c r="G6" s="102">
        <f>Assumptions!G39</f>
        <v>2.6690735154156556E-2</v>
      </c>
      <c r="H6" s="102">
        <f>Assumptions!H39</f>
        <v>2.6690735154156556E-2</v>
      </c>
      <c r="I6" s="102">
        <f>Assumptions!I39</f>
        <v>2.6690735154156556E-2</v>
      </c>
      <c r="J6" s="102">
        <f>Assumptions!J39</f>
        <v>2.6690735154156556E-2</v>
      </c>
      <c r="K6" s="102">
        <f>Assumptions!K39</f>
        <v>2.6690735154156556E-2</v>
      </c>
      <c r="L6" s="102">
        <f>Assumptions!L39</f>
        <v>2.6690735154156556E-2</v>
      </c>
    </row>
    <row r="7" spans="1:12" x14ac:dyDescent="0.25">
      <c r="B7" s="4" t="s">
        <v>64</v>
      </c>
      <c r="C7" s="43"/>
      <c r="D7" s="43"/>
      <c r="E7" s="44"/>
      <c r="F7" s="102">
        <f>Assumptions!F40</f>
        <v>7.7180654406446732E-3</v>
      </c>
      <c r="G7" s="102">
        <f>Assumptions!G40</f>
        <v>7.7180654406446732E-3</v>
      </c>
      <c r="H7" s="102">
        <f>Assumptions!H40</f>
        <v>7.7180654406446732E-3</v>
      </c>
      <c r="I7" s="102">
        <f>Assumptions!I40</f>
        <v>7.7180654406446732E-3</v>
      </c>
      <c r="J7" s="102">
        <f>Assumptions!J40</f>
        <v>7.7180654406446732E-3</v>
      </c>
      <c r="K7" s="102">
        <f>Assumptions!K40</f>
        <v>7.7180654406446732E-3</v>
      </c>
      <c r="L7" s="102">
        <f>Assumptions!L40</f>
        <v>7.7180654406446732E-3</v>
      </c>
    </row>
    <row r="8" spans="1:12" x14ac:dyDescent="0.25">
      <c r="A8" s="7"/>
      <c r="C8" s="30"/>
      <c r="D8" s="30"/>
      <c r="E8" s="30"/>
      <c r="F8" s="103"/>
      <c r="G8" s="103"/>
      <c r="H8" s="103"/>
      <c r="I8" s="103"/>
      <c r="J8" s="103"/>
      <c r="K8" s="103"/>
      <c r="L8" s="103"/>
    </row>
    <row r="9" spans="1:12" x14ac:dyDescent="0.25">
      <c r="B9" s="4" t="s">
        <v>65</v>
      </c>
      <c r="C9" s="43"/>
      <c r="D9" s="43"/>
      <c r="E9" s="44"/>
      <c r="F9" s="102">
        <f>Assumptions!F42</f>
        <v>0.01</v>
      </c>
      <c r="G9" s="102">
        <f>Assumptions!G42</f>
        <v>0.01</v>
      </c>
      <c r="H9" s="102">
        <f>Assumptions!H42</f>
        <v>0.01</v>
      </c>
      <c r="I9" s="102">
        <f>Assumptions!I42</f>
        <v>0.01</v>
      </c>
      <c r="J9" s="102">
        <f>Assumptions!J42</f>
        <v>0.01</v>
      </c>
      <c r="K9" s="102">
        <f>Assumptions!K42</f>
        <v>0.01</v>
      </c>
      <c r="L9" s="102">
        <f>Assumptions!L42</f>
        <v>0.01</v>
      </c>
    </row>
    <row r="10" spans="1:12" x14ac:dyDescent="0.25">
      <c r="C10" s="30"/>
      <c r="D10" s="30"/>
      <c r="E10" s="30"/>
      <c r="F10" s="103"/>
      <c r="G10" s="103"/>
      <c r="H10" s="103"/>
      <c r="I10" s="103"/>
      <c r="J10" s="103"/>
      <c r="K10" s="103"/>
      <c r="L10" s="103"/>
    </row>
    <row r="11" spans="1:12" x14ac:dyDescent="0.25">
      <c r="B11" s="4" t="s">
        <v>151</v>
      </c>
      <c r="C11" s="43"/>
      <c r="D11" s="43"/>
      <c r="E11" s="44"/>
      <c r="F11" s="102">
        <f>Assumptions!F46</f>
        <v>0.33502140526720586</v>
      </c>
      <c r="G11" s="102">
        <f>Assumptions!G46</f>
        <v>0.33502140526720586</v>
      </c>
      <c r="H11" s="102">
        <f>Assumptions!H46</f>
        <v>0.33502140526720586</v>
      </c>
      <c r="I11" s="102">
        <f>Assumptions!I46</f>
        <v>0.33502140526720586</v>
      </c>
      <c r="J11" s="102">
        <f>Assumptions!J46</f>
        <v>0.33502140526720586</v>
      </c>
      <c r="K11" s="102">
        <f>Assumptions!K46</f>
        <v>0.33502140526720586</v>
      </c>
      <c r="L11" s="102">
        <f>Assumptions!L46</f>
        <v>0.33502140526720586</v>
      </c>
    </row>
    <row r="12" spans="1:12" x14ac:dyDescent="0.25">
      <c r="B12" s="4" t="s">
        <v>66</v>
      </c>
      <c r="C12" s="43"/>
      <c r="D12" s="43"/>
      <c r="E12" s="26"/>
      <c r="F12" s="102">
        <f>Assumptions!F47</f>
        <v>3.8643247522862099E-2</v>
      </c>
      <c r="G12" s="102">
        <f>Assumptions!G47</f>
        <v>3.8643247522862099E-2</v>
      </c>
      <c r="H12" s="102">
        <f>Assumptions!H47</f>
        <v>3.8643247522862099E-2</v>
      </c>
      <c r="I12" s="102">
        <f>Assumptions!I47</f>
        <v>3.8643247522862099E-2</v>
      </c>
      <c r="J12" s="102">
        <f>Assumptions!J47</f>
        <v>3.8643247522862099E-2</v>
      </c>
      <c r="K12" s="102">
        <f>Assumptions!K47</f>
        <v>3.8643247522862099E-2</v>
      </c>
      <c r="L12" s="102">
        <f>Assumptions!L47</f>
        <v>3.8643247522862099E-2</v>
      </c>
    </row>
    <row r="13" spans="1:12" x14ac:dyDescent="0.25">
      <c r="B13" s="4" t="s">
        <v>67</v>
      </c>
      <c r="C13" s="43"/>
      <c r="D13" s="43"/>
      <c r="E13" s="44"/>
      <c r="F13" s="228">
        <f>Assumptions!F48</f>
        <v>0.354324368354479</v>
      </c>
      <c r="G13" s="228">
        <f>Assumptions!G48</f>
        <v>0.354324368354479</v>
      </c>
      <c r="H13" s="228">
        <f>Assumptions!H48</f>
        <v>0.354324368354479</v>
      </c>
      <c r="I13" s="228">
        <f>Assumptions!I48</f>
        <v>0.354324368354479</v>
      </c>
      <c r="J13" s="228">
        <f>Assumptions!J48</f>
        <v>0.354324368354479</v>
      </c>
      <c r="K13" s="228">
        <f>Assumptions!K48</f>
        <v>0.354324368354479</v>
      </c>
      <c r="L13" s="228">
        <f>Assumptions!L48</f>
        <v>0.354324368354479</v>
      </c>
    </row>
    <row r="14" spans="1:12" x14ac:dyDescent="0.25">
      <c r="C14" s="43"/>
      <c r="D14" s="43"/>
      <c r="E14" s="43"/>
      <c r="F14" s="103"/>
      <c r="G14" s="103"/>
      <c r="H14" s="103"/>
      <c r="I14" s="103"/>
      <c r="J14" s="103"/>
      <c r="K14" s="103"/>
      <c r="L14" s="103"/>
    </row>
    <row r="15" spans="1:12" ht="15" customHeight="1" x14ac:dyDescent="0.25">
      <c r="A15" s="174" t="s">
        <v>62</v>
      </c>
      <c r="B15" s="175"/>
      <c r="C15" s="225">
        <f>C2</f>
        <v>2022</v>
      </c>
      <c r="D15" s="225">
        <f>D2</f>
        <v>2023</v>
      </c>
      <c r="E15" s="225">
        <f>E2</f>
        <v>2024</v>
      </c>
      <c r="F15" s="225">
        <f>F2</f>
        <v>2025</v>
      </c>
      <c r="G15" s="225">
        <f t="shared" ref="G15:L15" si="6">G2</f>
        <v>2026</v>
      </c>
      <c r="H15" s="225">
        <f t="shared" si="6"/>
        <v>2027</v>
      </c>
      <c r="I15" s="225">
        <f t="shared" si="6"/>
        <v>2028</v>
      </c>
      <c r="J15" s="225">
        <f t="shared" si="6"/>
        <v>2029</v>
      </c>
      <c r="K15" s="225">
        <f t="shared" si="6"/>
        <v>2030</v>
      </c>
      <c r="L15" s="225">
        <f t="shared" si="6"/>
        <v>2031</v>
      </c>
    </row>
    <row r="16" spans="1:12" x14ac:dyDescent="0.25">
      <c r="B16" s="4" t="s">
        <v>157</v>
      </c>
      <c r="C16" s="243">
        <f>2%*IncState!C15</f>
        <v>11282.380000000001</v>
      </c>
      <c r="D16" s="243">
        <f>2%*IncState!D15</f>
        <v>14574</v>
      </c>
      <c r="E16" s="181">
        <f>2%*IncState!E15</f>
        <v>19274.260000000002</v>
      </c>
      <c r="F16" s="4">
        <f>F4*IncState!F15</f>
        <v>23610.968500000003</v>
      </c>
      <c r="G16" s="4">
        <f>G4*IncState!G15</f>
        <v>28845.520216450004</v>
      </c>
      <c r="H16" s="4">
        <f>H4*IncState!H15</f>
        <v>35145.381831722676</v>
      </c>
      <c r="I16" s="4">
        <f>I4*IncState!I15</f>
        <v>42705.15346372623</v>
      </c>
      <c r="J16" s="4">
        <f>J4*IncState!J15</f>
        <v>51750.104967343446</v>
      </c>
      <c r="K16" s="4">
        <f>K4*IncState!K15</f>
        <v>62540.001853034541</v>
      </c>
      <c r="L16" s="4">
        <f>L4*IncState!L15</f>
        <v>75373.210233277234</v>
      </c>
    </row>
    <row r="17" spans="1:12" x14ac:dyDescent="0.25">
      <c r="B17" s="4" t="s">
        <v>158</v>
      </c>
      <c r="C17" s="180">
        <f>39125-C16</f>
        <v>27842.62</v>
      </c>
      <c r="D17" s="180">
        <f>332428-D16</f>
        <v>317854</v>
      </c>
      <c r="E17" s="181">
        <f>366120-E16</f>
        <v>346845.74</v>
      </c>
      <c r="F17" s="4">
        <f>MAX(CashFlow!F23,0)</f>
        <v>452928.1336948559</v>
      </c>
      <c r="G17" s="4">
        <f>MAX(CashFlow!G23,0)</f>
        <v>587313.23925706244</v>
      </c>
      <c r="H17" s="4">
        <f>MAX(CashFlow!H23,0)</f>
        <v>776972.8684839264</v>
      </c>
      <c r="I17" s="4">
        <f>MAX(CashFlow!I23,0)</f>
        <v>1041096.8594482666</v>
      </c>
      <c r="J17" s="4">
        <f>MAX(CashFlow!J23,0)</f>
        <v>1403863.0573205608</v>
      </c>
      <c r="K17" s="4">
        <f>MAX(CashFlow!K23,0)</f>
        <v>1895531.5771321808</v>
      </c>
      <c r="L17" s="4">
        <f>MAX(CashFlow!L23,0)</f>
        <v>2553731.295542453</v>
      </c>
    </row>
    <row r="18" spans="1:12" x14ac:dyDescent="0.25">
      <c r="B18" s="4" t="s">
        <v>68</v>
      </c>
      <c r="C18" s="182">
        <f>2827+4908</f>
        <v>7735</v>
      </c>
      <c r="D18" s="182">
        <f>3662+8223</f>
        <v>11885</v>
      </c>
      <c r="E18" s="183">
        <f>4799+8197</f>
        <v>12996</v>
      </c>
      <c r="F18" s="4">
        <f>F5*IncState!F15</f>
        <v>15920.1</v>
      </c>
      <c r="G18" s="4">
        <f>G5*IncState!G15</f>
        <v>19449.586169999999</v>
      </c>
      <c r="H18" s="4">
        <f>H5*IncState!H15</f>
        <v>23697.375789527996</v>
      </c>
      <c r="I18" s="4">
        <f>I5*IncState!I15</f>
        <v>28794.681321855471</v>
      </c>
      <c r="J18" s="4">
        <f>J5*IncState!J15</f>
        <v>34893.394825824464</v>
      </c>
      <c r="K18" s="4">
        <f>K5*IncState!K15</f>
        <v>42168.667647008857</v>
      </c>
      <c r="L18" s="4">
        <f>L5*IncState!L15</f>
        <v>50821.678248175071</v>
      </c>
    </row>
    <row r="19" spans="1:12" x14ac:dyDescent="0.25">
      <c r="B19" s="4" t="s">
        <v>69</v>
      </c>
      <c r="C19" s="182">
        <v>5139</v>
      </c>
      <c r="D19" s="182">
        <v>5637</v>
      </c>
      <c r="E19" s="183">
        <v>7600</v>
      </c>
      <c r="F19" s="4">
        <f>F6*IncState!F16</f>
        <v>9152.451473258343</v>
      </c>
      <c r="G19" s="4">
        <f>G6*IncState!G16</f>
        <v>10989.072929759433</v>
      </c>
      <c r="H19" s="4">
        <f>H6*IncState!H16</f>
        <v>13154.572438028339</v>
      </c>
      <c r="I19" s="4">
        <f>I6*IncState!I16</f>
        <v>15699.162984243752</v>
      </c>
      <c r="J19" s="4">
        <f>J6*IncState!J16</f>
        <v>18678.933617835788</v>
      </c>
      <c r="K19" s="4">
        <f>K6*IncState!K16</f>
        <v>22156.181620654595</v>
      </c>
      <c r="L19" s="4">
        <f>L6*IncState!L16</f>
        <v>26199.688491199176</v>
      </c>
    </row>
    <row r="20" spans="1:12" x14ac:dyDescent="0.25">
      <c r="B20" s="4" t="s">
        <v>70</v>
      </c>
      <c r="C20" s="182">
        <v>6151</v>
      </c>
      <c r="D20" s="182">
        <v>4962</v>
      </c>
      <c r="E20" s="183">
        <v>7438</v>
      </c>
      <c r="F20" s="4">
        <f>F7*IncState!F15</f>
        <v>9111.5500000000011</v>
      </c>
      <c r="G20" s="4">
        <f>G7*IncState!G15</f>
        <v>11131.580635</v>
      </c>
      <c r="H20" s="4">
        <f>H7*IncState!H15</f>
        <v>13562.717845683999</v>
      </c>
      <c r="I20" s="4">
        <f>I7*IncState!I15</f>
        <v>16480.058454290629</v>
      </c>
      <c r="J20" s="4">
        <f>J7*IncState!J15</f>
        <v>19970.534834909384</v>
      </c>
      <c r="K20" s="4">
        <f>K7*IncState!K15</f>
        <v>24134.391347987985</v>
      </c>
      <c r="L20" s="4">
        <f>L7*IncState!L15</f>
        <v>29086.768452595123</v>
      </c>
    </row>
    <row r="21" spans="1:12" s="11" customFormat="1" x14ac:dyDescent="0.25">
      <c r="B21" s="11" t="s">
        <v>71</v>
      </c>
      <c r="C21" s="11">
        <f>SUM(C16:C20)</f>
        <v>58150</v>
      </c>
      <c r="D21" s="11">
        <f>SUM(D16:D20)</f>
        <v>354912</v>
      </c>
      <c r="E21" s="24">
        <f t="shared" ref="E21" si="7">SUM(E16:E20)</f>
        <v>394154</v>
      </c>
      <c r="F21" s="11">
        <f>SUM(F16:F20)</f>
        <v>510723.20366811421</v>
      </c>
      <c r="G21" s="11">
        <f t="shared" ref="G21:L21" si="8">SUM(G16:G20)</f>
        <v>657728.99920827185</v>
      </c>
      <c r="H21" s="11">
        <f t="shared" si="8"/>
        <v>862532.91638888943</v>
      </c>
      <c r="I21" s="11">
        <f t="shared" si="8"/>
        <v>1144775.9156723828</v>
      </c>
      <c r="J21" s="11">
        <f t="shared" si="8"/>
        <v>1529156.0255664741</v>
      </c>
      <c r="K21" s="11">
        <f t="shared" si="8"/>
        <v>2046530.8196008669</v>
      </c>
      <c r="L21" s="11">
        <f t="shared" si="8"/>
        <v>2735212.6409676992</v>
      </c>
    </row>
    <row r="22" spans="1:12" x14ac:dyDescent="0.25">
      <c r="A22" s="7"/>
      <c r="E22" s="27"/>
      <c r="I22" s="4"/>
      <c r="J22" s="4"/>
      <c r="K22" s="4"/>
      <c r="L22" s="4"/>
    </row>
    <row r="23" spans="1:12" x14ac:dyDescent="0.25">
      <c r="B23" s="4" t="s">
        <v>72</v>
      </c>
      <c r="C23" s="182">
        <f>242983+273876</f>
        <v>516859</v>
      </c>
      <c r="D23" s="182">
        <f>330730+289451</f>
        <v>620181</v>
      </c>
      <c r="E23" s="183">
        <f>372902+321832</f>
        <v>694734</v>
      </c>
      <c r="F23" s="4">
        <f>Calcs!F9</f>
        <v>753681.35692023835</v>
      </c>
      <c r="G23" s="4">
        <f>Calcs!G9</f>
        <v>827738.52285603387</v>
      </c>
      <c r="H23" s="4">
        <f>Calcs!H9</f>
        <v>917995.29889915953</v>
      </c>
      <c r="I23" s="4">
        <f>Calcs!I9</f>
        <v>1025533.5768474558</v>
      </c>
      <c r="J23" s="4">
        <f>Calcs!J9</f>
        <v>1151367.2326808474</v>
      </c>
      <c r="K23" s="4">
        <f>Calcs!K9</f>
        <v>1296365.2573368256</v>
      </c>
      <c r="L23" s="4">
        <f>Calcs!L9</f>
        <v>1461155.0943082911</v>
      </c>
    </row>
    <row r="24" spans="1:12" x14ac:dyDescent="0.25">
      <c r="B24" s="4" t="s">
        <v>159</v>
      </c>
      <c r="C24" s="182">
        <f>1944+1382</f>
        <v>3326</v>
      </c>
      <c r="D24" s="182">
        <f>1944+1355</f>
        <v>3299</v>
      </c>
      <c r="E24" s="183">
        <f>1944+1355</f>
        <v>3299</v>
      </c>
      <c r="F24" s="131">
        <f>E24-IncState!F21</f>
        <v>3299</v>
      </c>
      <c r="G24" s="131">
        <f>F24-IncState!G21</f>
        <v>3299</v>
      </c>
      <c r="H24" s="131">
        <f>G24-IncState!H21</f>
        <v>3299</v>
      </c>
      <c r="I24" s="131">
        <f>H24-IncState!I21</f>
        <v>3299</v>
      </c>
      <c r="J24" s="131">
        <f>I24-IncState!J21</f>
        <v>3299</v>
      </c>
      <c r="K24" s="131">
        <f>J24-IncState!K21</f>
        <v>3299</v>
      </c>
      <c r="L24" s="131">
        <f>K24-IncState!L21</f>
        <v>3299</v>
      </c>
    </row>
    <row r="25" spans="1:12" x14ac:dyDescent="0.25">
      <c r="B25" s="4" t="s">
        <v>160</v>
      </c>
      <c r="C25" s="182">
        <v>5548</v>
      </c>
      <c r="D25" s="182">
        <v>5365</v>
      </c>
      <c r="E25" s="183">
        <f>71537+5945</f>
        <v>77482</v>
      </c>
      <c r="F25" s="4">
        <f>F9*IncState!F15</f>
        <v>11805.484250000001</v>
      </c>
      <c r="G25" s="4">
        <f>G9*IncState!G15</f>
        <v>14422.760108225002</v>
      </c>
      <c r="H25" s="4">
        <f>H9*IncState!H15</f>
        <v>17572.690915861338</v>
      </c>
      <c r="I25" s="4">
        <f>I9*IncState!I15</f>
        <v>21352.576731863115</v>
      </c>
      <c r="J25" s="4">
        <f>J9*IncState!J15</f>
        <v>25875.052483671723</v>
      </c>
      <c r="K25" s="4">
        <f>K9*IncState!K15</f>
        <v>31270.00092651727</v>
      </c>
      <c r="L25" s="4">
        <f>L9*IncState!L15</f>
        <v>37686.605116638617</v>
      </c>
    </row>
    <row r="26" spans="1:12" s="11" customFormat="1" x14ac:dyDescent="0.25">
      <c r="B26" s="11" t="s">
        <v>73</v>
      </c>
      <c r="C26" s="11">
        <f>SUM(C23:C25)</f>
        <v>525733</v>
      </c>
      <c r="D26" s="11">
        <f>SUM(D23:D25)</f>
        <v>628845</v>
      </c>
      <c r="E26" s="24">
        <f>SUM(E23:E25)</f>
        <v>775515</v>
      </c>
      <c r="F26" s="11">
        <f>SUM(F23:F25)</f>
        <v>768785.84117023833</v>
      </c>
      <c r="G26" s="11">
        <f t="shared" ref="G26:L26" si="9">SUM(G23:G25)</f>
        <v>845460.28296425892</v>
      </c>
      <c r="H26" s="11">
        <f t="shared" si="9"/>
        <v>938866.98981502082</v>
      </c>
      <c r="I26" s="11">
        <f t="shared" si="9"/>
        <v>1050185.1535793189</v>
      </c>
      <c r="J26" s="11">
        <f t="shared" si="9"/>
        <v>1180541.2851645192</v>
      </c>
      <c r="K26" s="11">
        <f t="shared" si="9"/>
        <v>1330934.2582633428</v>
      </c>
      <c r="L26" s="11">
        <f t="shared" si="9"/>
        <v>1502140.6994249297</v>
      </c>
    </row>
    <row r="27" spans="1:12" x14ac:dyDescent="0.25">
      <c r="E27" s="27"/>
      <c r="I27" s="4"/>
      <c r="J27" s="4"/>
      <c r="K27" s="4"/>
      <c r="L27" s="4"/>
    </row>
    <row r="28" spans="1:12" s="11" customFormat="1" x14ac:dyDescent="0.25">
      <c r="A28" s="11" t="s">
        <v>124</v>
      </c>
      <c r="B28" s="17" t="s">
        <v>74</v>
      </c>
      <c r="C28" s="18">
        <f>SUM(C26,C21)</f>
        <v>583883</v>
      </c>
      <c r="D28" s="18">
        <f>SUM(D26,D21)</f>
        <v>983757</v>
      </c>
      <c r="E28" s="18">
        <f>SUM(E26,E21)</f>
        <v>1169669</v>
      </c>
      <c r="F28" s="18">
        <f>SUM(F26,F21)</f>
        <v>1279509.0448383526</v>
      </c>
      <c r="G28" s="18">
        <f t="shared" ref="G28:L28" si="10">SUM(G26,G21)</f>
        <v>1503189.2821725309</v>
      </c>
      <c r="H28" s="18">
        <f t="shared" si="10"/>
        <v>1801399.9062039102</v>
      </c>
      <c r="I28" s="18">
        <f t="shared" si="10"/>
        <v>2194961.0692517017</v>
      </c>
      <c r="J28" s="18">
        <f t="shared" si="10"/>
        <v>2709697.3107309933</v>
      </c>
      <c r="K28" s="18">
        <f t="shared" si="10"/>
        <v>3377465.0778642097</v>
      </c>
      <c r="L28" s="18">
        <f t="shared" si="10"/>
        <v>4237353.3403926287</v>
      </c>
    </row>
    <row r="29" spans="1:12" x14ac:dyDescent="0.25">
      <c r="A29" s="11"/>
      <c r="E29" s="27"/>
      <c r="I29" s="4"/>
      <c r="J29" s="4"/>
      <c r="K29" s="4"/>
      <c r="L29" s="4"/>
    </row>
    <row r="30" spans="1:12" x14ac:dyDescent="0.25">
      <c r="B30" s="4" t="s">
        <v>75</v>
      </c>
      <c r="C30" s="9">
        <v>0</v>
      </c>
      <c r="D30" s="9">
        <v>0</v>
      </c>
      <c r="E30" s="45">
        <v>0</v>
      </c>
      <c r="F30" s="4">
        <f>MIN(CashFlow!F23,0)</f>
        <v>0</v>
      </c>
      <c r="G30" s="4">
        <f>MIN(CashFlow!G23,0)</f>
        <v>0</v>
      </c>
      <c r="H30" s="4">
        <f>MIN(CashFlow!H23,0)</f>
        <v>0</v>
      </c>
      <c r="I30" s="4">
        <f>MIN(CashFlow!I23,0)</f>
        <v>0</v>
      </c>
      <c r="J30" s="4">
        <f>MIN(CashFlow!J23,0)</f>
        <v>0</v>
      </c>
      <c r="K30" s="4">
        <f>MIN(CashFlow!K23,0)</f>
        <v>0</v>
      </c>
      <c r="L30" s="4">
        <f>MIN(CashFlow!L23,0)</f>
        <v>0</v>
      </c>
    </row>
    <row r="31" spans="1:12" x14ac:dyDescent="0.25">
      <c r="B31" s="4" t="s">
        <v>150</v>
      </c>
      <c r="C31" s="182">
        <f>14311+40468</f>
        <v>54779</v>
      </c>
      <c r="D31" s="9">
        <f>17234+59219</f>
        <v>76453</v>
      </c>
      <c r="E31" s="45">
        <f>25573+69822</f>
        <v>95395</v>
      </c>
      <c r="F31" s="4">
        <f>F11*IncState!F16</f>
        <v>114881.33003835258</v>
      </c>
      <c r="G31" s="4">
        <f>G11*IncState!G16</f>
        <v>137934.55422821068</v>
      </c>
      <c r="H31" s="4">
        <f>H11*IncState!H16</f>
        <v>165115.84706917283</v>
      </c>
      <c r="I31" s="4">
        <f>I11*IncState!I16</f>
        <v>197055.48064235956</v>
      </c>
      <c r="J31" s="4">
        <f>J11*IncState!J16</f>
        <v>234457.48322019013</v>
      </c>
      <c r="K31" s="4">
        <f>K11*IncState!K16</f>
        <v>278103.80864504538</v>
      </c>
      <c r="L31" s="4">
        <f>L11*IncState!L16</f>
        <v>328857.80047604541</v>
      </c>
    </row>
    <row r="32" spans="1:12" x14ac:dyDescent="0.25">
      <c r="B32" s="4" t="s">
        <v>76</v>
      </c>
      <c r="C32" s="182">
        <v>29539</v>
      </c>
      <c r="D32" s="9">
        <v>32583</v>
      </c>
      <c r="E32" s="45">
        <v>37241</v>
      </c>
      <c r="F32" s="4">
        <f>F12*IncState!F15</f>
        <v>45620.225000000006</v>
      </c>
      <c r="G32" s="4">
        <f>G12*IncState!G15</f>
        <v>55734.228882500007</v>
      </c>
      <c r="H32" s="4">
        <f>H12*IncState!H15</f>
        <v>67906.584470438</v>
      </c>
      <c r="I32" s="4">
        <f>I12*IncState!I15</f>
        <v>82513.290790029219</v>
      </c>
      <c r="J32" s="4">
        <f>J12*IncState!J15</f>
        <v>99989.605779357415</v>
      </c>
      <c r="K32" s="4">
        <f>K12*IncState!K15</f>
        <v>120837.43858435341</v>
      </c>
      <c r="L32" s="4">
        <f>L12*IncState!L15</f>
        <v>145633.28098186274</v>
      </c>
    </row>
    <row r="33" spans="1:12" s="11" customFormat="1" x14ac:dyDescent="0.25">
      <c r="B33" s="11" t="s">
        <v>77</v>
      </c>
      <c r="C33" s="11">
        <f t="shared" ref="C33:E33" si="11">SUM(C30:C32)</f>
        <v>84318</v>
      </c>
      <c r="D33" s="11">
        <f t="shared" si="11"/>
        <v>109036</v>
      </c>
      <c r="E33" s="24">
        <f t="shared" si="11"/>
        <v>132636</v>
      </c>
      <c r="F33" s="11">
        <f>SUM(F30:F32)</f>
        <v>160501.55503835258</v>
      </c>
      <c r="G33" s="11">
        <f t="shared" ref="G33:L33" si="12">SUM(G30:G32)</f>
        <v>193668.78311071068</v>
      </c>
      <c r="H33" s="11">
        <f t="shared" si="12"/>
        <v>233022.43153961084</v>
      </c>
      <c r="I33" s="11">
        <f t="shared" si="12"/>
        <v>279568.77143238881</v>
      </c>
      <c r="J33" s="11">
        <f t="shared" si="12"/>
        <v>334447.08899954753</v>
      </c>
      <c r="K33" s="11">
        <f t="shared" si="12"/>
        <v>398941.24722939881</v>
      </c>
      <c r="L33" s="11">
        <f t="shared" si="12"/>
        <v>474491.08145790815</v>
      </c>
    </row>
    <row r="34" spans="1:12" x14ac:dyDescent="0.25">
      <c r="B34" s="11"/>
      <c r="E34" s="27"/>
      <c r="I34" s="4"/>
      <c r="J34" s="4"/>
      <c r="K34" s="4"/>
      <c r="L34" s="4"/>
    </row>
    <row r="35" spans="1:12" x14ac:dyDescent="0.25">
      <c r="B35" s="4" t="s">
        <v>78</v>
      </c>
      <c r="C35" s="182">
        <v>0</v>
      </c>
      <c r="D35" s="9">
        <v>0</v>
      </c>
      <c r="E35" s="45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</row>
    <row r="36" spans="1:12" x14ac:dyDescent="0.25">
      <c r="B36" s="4" t="s">
        <v>79</v>
      </c>
      <c r="C36" s="182">
        <f>28+538+285194</f>
        <v>285760</v>
      </c>
      <c r="D36" s="9">
        <f>79+303615+225</f>
        <v>303919</v>
      </c>
      <c r="E36" s="45">
        <f>341467</f>
        <v>341467</v>
      </c>
      <c r="F36" s="4">
        <f>BalSheet!F13*IncState!F15</f>
        <v>418297.07500000007</v>
      </c>
      <c r="G36" s="4">
        <f>BalSheet!G13*IncState!G15</f>
        <v>511033.53652750008</v>
      </c>
      <c r="H36" s="4">
        <f>BalSheet!H13*IncState!H15</f>
        <v>622643.26090510597</v>
      </c>
      <c r="I36" s="4">
        <f>BalSheet!I13*IncState!I15</f>
        <v>756573.82632579433</v>
      </c>
      <c r="J36" s="4">
        <f>BalSheet!J13*IncState!J15</f>
        <v>916816.16274159763</v>
      </c>
      <c r="K36" s="4">
        <f>BalSheet!K13*IncState!K15</f>
        <v>1107972.3326732204</v>
      </c>
      <c r="L36" s="4">
        <f>BalSheet!L13*IncState!L15</f>
        <v>1335328.2553377654</v>
      </c>
    </row>
    <row r="37" spans="1:12" x14ac:dyDescent="0.25">
      <c r="B37" s="11" t="s">
        <v>80</v>
      </c>
      <c r="C37" s="11">
        <f t="shared" ref="C37:E37" si="13">SUM(C35:C36)</f>
        <v>285760</v>
      </c>
      <c r="D37" s="11">
        <f t="shared" si="13"/>
        <v>303919</v>
      </c>
      <c r="E37" s="24">
        <f t="shared" si="13"/>
        <v>341467</v>
      </c>
      <c r="F37" s="11">
        <f>SUM(F35:F36)</f>
        <v>418297.07500000007</v>
      </c>
      <c r="G37" s="11">
        <f t="shared" ref="G37:L37" si="14">SUM(G35:G36)</f>
        <v>511033.53652750008</v>
      </c>
      <c r="H37" s="11">
        <f t="shared" si="14"/>
        <v>622643.26090510597</v>
      </c>
      <c r="I37" s="11">
        <f t="shared" si="14"/>
        <v>756573.82632579433</v>
      </c>
      <c r="J37" s="11">
        <f t="shared" si="14"/>
        <v>916816.16274159763</v>
      </c>
      <c r="K37" s="11">
        <f t="shared" si="14"/>
        <v>1107972.3326732204</v>
      </c>
      <c r="L37" s="11">
        <f t="shared" si="14"/>
        <v>1335328.2553377654</v>
      </c>
    </row>
    <row r="38" spans="1:12" x14ac:dyDescent="0.25">
      <c r="E38" s="27"/>
      <c r="I38" s="4"/>
      <c r="J38" s="4"/>
      <c r="K38" s="4"/>
      <c r="L38" s="4"/>
    </row>
    <row r="39" spans="1:12" x14ac:dyDescent="0.25">
      <c r="B39" s="4" t="s">
        <v>17</v>
      </c>
      <c r="C39" s="184">
        <v>213805</v>
      </c>
      <c r="D39" s="184">
        <v>570802</v>
      </c>
      <c r="E39" s="195">
        <v>695566</v>
      </c>
      <c r="F39" s="4">
        <f>Calcs!F16</f>
        <v>700710.41480000003</v>
      </c>
      <c r="G39" s="4">
        <f>Calcs!G16</f>
        <v>798486.96253431996</v>
      </c>
      <c r="H39" s="4">
        <f>Calcs!H16</f>
        <v>945734.21375919355</v>
      </c>
      <c r="I39" s="4">
        <f>Calcs!I16</f>
        <v>1158818.4714935184</v>
      </c>
      <c r="J39" s="4">
        <f>Calcs!J16</f>
        <v>1458434.058989848</v>
      </c>
      <c r="K39" s="4">
        <f>Calcs!K16</f>
        <v>1870551.4979615903</v>
      </c>
      <c r="L39" s="4">
        <f>Calcs!L16</f>
        <v>2427534.0035969559</v>
      </c>
    </row>
    <row r="40" spans="1:12" s="11" customFormat="1" x14ac:dyDescent="0.25">
      <c r="A40" s="11" t="s">
        <v>124</v>
      </c>
      <c r="B40" s="17" t="s">
        <v>81</v>
      </c>
      <c r="C40" s="18">
        <f>SUM(C39,C37,C33)</f>
        <v>583883</v>
      </c>
      <c r="D40" s="18">
        <f>SUM(D39,D37,D33)</f>
        <v>983757</v>
      </c>
      <c r="E40" s="18">
        <f t="shared" ref="E40:F40" si="15">SUM(E39,E37,E33)</f>
        <v>1169669</v>
      </c>
      <c r="F40" s="18">
        <f t="shared" si="15"/>
        <v>1279509.0448383526</v>
      </c>
      <c r="G40" s="18">
        <f t="shared" ref="G40:L40" si="16">SUM(G39,G37,G33)</f>
        <v>1503189.2821725309</v>
      </c>
      <c r="H40" s="18">
        <f t="shared" si="16"/>
        <v>1801399.9062039102</v>
      </c>
      <c r="I40" s="18">
        <f t="shared" si="16"/>
        <v>2194961.0692517012</v>
      </c>
      <c r="J40" s="18">
        <f t="shared" si="16"/>
        <v>2709697.3107309933</v>
      </c>
      <c r="K40" s="18">
        <f t="shared" si="16"/>
        <v>3377465.0778642097</v>
      </c>
      <c r="L40" s="18">
        <f t="shared" si="16"/>
        <v>4237353.3403926296</v>
      </c>
    </row>
    <row r="41" spans="1:12" x14ac:dyDescent="0.25">
      <c r="E41" s="27"/>
      <c r="I41" s="4"/>
      <c r="J41" s="4"/>
      <c r="K41" s="4"/>
      <c r="L41" s="4"/>
    </row>
    <row r="42" spans="1:12" x14ac:dyDescent="0.25">
      <c r="A42" s="4" t="s">
        <v>124</v>
      </c>
      <c r="B42" s="11" t="s">
        <v>82</v>
      </c>
      <c r="C42" s="46">
        <f>C40-C28</f>
        <v>0</v>
      </c>
      <c r="D42" s="46">
        <f t="shared" ref="D42:J42" si="17">D40-D28</f>
        <v>0</v>
      </c>
      <c r="E42" s="150">
        <f t="shared" si="17"/>
        <v>0</v>
      </c>
      <c r="F42" s="46">
        <f t="shared" si="17"/>
        <v>0</v>
      </c>
      <c r="G42" s="46">
        <f t="shared" ref="G42:L42" si="18">G40-G28</f>
        <v>0</v>
      </c>
      <c r="H42" s="46">
        <f t="shared" si="18"/>
        <v>0</v>
      </c>
      <c r="I42" s="46">
        <f t="shared" si="18"/>
        <v>0</v>
      </c>
      <c r="J42" s="46">
        <f t="shared" si="18"/>
        <v>0</v>
      </c>
      <c r="K42" s="46">
        <f t="shared" si="18"/>
        <v>0</v>
      </c>
      <c r="L42" s="46">
        <f t="shared" si="18"/>
        <v>0</v>
      </c>
    </row>
    <row r="43" spans="1:12" x14ac:dyDescent="0.25">
      <c r="I43" s="4"/>
      <c r="J43" s="4"/>
      <c r="K43" s="4"/>
      <c r="L43" s="4"/>
    </row>
    <row r="44" spans="1:12" x14ac:dyDescent="0.25">
      <c r="H44" s="6"/>
    </row>
    <row r="45" spans="1:12" x14ac:dyDescent="0.25">
      <c r="H45" s="6"/>
    </row>
    <row r="46" spans="1:12" x14ac:dyDescent="0.25">
      <c r="H46" s="6"/>
    </row>
    <row r="47" spans="1:12" x14ac:dyDescent="0.25">
      <c r="H47" s="6"/>
    </row>
    <row r="48" spans="1:12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  <row r="53" spans="8:8" x14ac:dyDescent="0.25">
      <c r="H53" s="6"/>
    </row>
    <row r="54" spans="8:8" x14ac:dyDescent="0.25">
      <c r="H54" s="6"/>
    </row>
    <row r="55" spans="8:8" x14ac:dyDescent="0.25">
      <c r="H55" s="6"/>
    </row>
  </sheetData>
  <conditionalFormatting sqref="F4:L14">
    <cfRule type="expression" dxfId="0" priority="36">
      <formula>$E$13&gt;1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L24"/>
  <sheetViews>
    <sheetView showGridLines="0" zoomScaleNormal="100" workbookViewId="0">
      <selection activeCell="F24" sqref="F4:L24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26" t="str">
        <f>CoName</f>
        <v>Cava Group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2" s="2" customFormat="1" x14ac:dyDescent="0.25">
      <c r="A2" s="174" t="s">
        <v>83</v>
      </c>
      <c r="B2" s="175"/>
      <c r="C2" s="179">
        <v>2022</v>
      </c>
      <c r="D2" s="179">
        <f>C2+1</f>
        <v>2023</v>
      </c>
      <c r="E2" s="179">
        <f t="shared" ref="E2:J2" si="0">D2+1</f>
        <v>2024</v>
      </c>
      <c r="F2" s="179">
        <f t="shared" si="0"/>
        <v>2025</v>
      </c>
      <c r="G2" s="179">
        <f t="shared" si="0"/>
        <v>2026</v>
      </c>
      <c r="H2" s="179">
        <f t="shared" si="0"/>
        <v>2027</v>
      </c>
      <c r="I2" s="179">
        <f t="shared" si="0"/>
        <v>2028</v>
      </c>
      <c r="J2" s="179">
        <f t="shared" si="0"/>
        <v>2029</v>
      </c>
      <c r="K2" s="179">
        <f t="shared" ref="K2" si="1">J2+1</f>
        <v>2030</v>
      </c>
      <c r="L2" s="179">
        <f t="shared" ref="L2" si="2">K2+1</f>
        <v>2031</v>
      </c>
    </row>
    <row r="3" spans="1:12" x14ac:dyDescent="0.25">
      <c r="B3" s="4" t="s">
        <v>155</v>
      </c>
      <c r="F3" s="4">
        <f>IncState!F33</f>
        <v>5144.4148000000041</v>
      </c>
      <c r="G3" s="4">
        <f>IncState!G33</f>
        <v>97776.547734319975</v>
      </c>
      <c r="H3" s="4">
        <f>IncState!H33</f>
        <v>147247.25122487359</v>
      </c>
      <c r="I3" s="4">
        <f>IncState!I33</f>
        <v>213084.25773432496</v>
      </c>
      <c r="J3" s="4">
        <f>IncState!J33</f>
        <v>299615.58749632945</v>
      </c>
      <c r="K3" s="4">
        <f>IncState!K33</f>
        <v>412117.43897174223</v>
      </c>
      <c r="L3" s="4">
        <f>IncState!L33</f>
        <v>556982.50563536549</v>
      </c>
    </row>
    <row r="4" spans="1:12" x14ac:dyDescent="0.25">
      <c r="B4" s="4" t="s">
        <v>15</v>
      </c>
      <c r="F4" s="4">
        <f>IncState!F20</f>
        <v>67610.375954761592</v>
      </c>
      <c r="G4" s="4">
        <f>IncState!G20</f>
        <v>73347.036263479516</v>
      </c>
      <c r="H4" s="4">
        <f>IncState!H20</f>
        <v>80554.158458540216</v>
      </c>
      <c r="I4" s="4">
        <f>IncState!I20</f>
        <v>89337.800198746452</v>
      </c>
      <c r="J4" s="4">
        <f>IncState!J20</f>
        <v>99803.249423358982</v>
      </c>
      <c r="K4" s="4">
        <f>IncState!K20</f>
        <v>112049.17488354618</v>
      </c>
      <c r="L4" s="4">
        <f>IncState!L20</f>
        <v>126160.1453552497</v>
      </c>
    </row>
    <row r="5" spans="1:12" x14ac:dyDescent="0.25">
      <c r="B5" s="4" t="s">
        <v>53</v>
      </c>
      <c r="F5" s="4">
        <f>IncState!F21</f>
        <v>0</v>
      </c>
      <c r="G5" s="4">
        <f>IncState!G21</f>
        <v>0</v>
      </c>
      <c r="H5" s="4">
        <f>IncState!H21</f>
        <v>0</v>
      </c>
      <c r="I5" s="4">
        <f>IncState!I21</f>
        <v>0</v>
      </c>
      <c r="J5" s="4">
        <f>IncState!J21</f>
        <v>0</v>
      </c>
      <c r="K5" s="4">
        <f>IncState!K21</f>
        <v>0</v>
      </c>
      <c r="L5" s="4">
        <f>IncState!L21</f>
        <v>0</v>
      </c>
    </row>
    <row r="6" spans="1:12" x14ac:dyDescent="0.25">
      <c r="B6" s="4" t="s">
        <v>89</v>
      </c>
      <c r="F6" s="4">
        <f>Calcs!F25</f>
        <v>17378.745065094248</v>
      </c>
      <c r="G6" s="4">
        <f>Calcs!G25</f>
        <v>20546.538094406991</v>
      </c>
      <c r="H6" s="4">
        <f>Calcs!H25</f>
        <v>24209.36047514659</v>
      </c>
      <c r="I6" s="4">
        <f>Calcs!I25</f>
        <v>28427.331573624921</v>
      </c>
      <c r="J6" s="4">
        <f>Calcs!J25</f>
        <v>33264.405545361689</v>
      </c>
      <c r="K6" s="4">
        <f>Calcs!K25</f>
        <v>38787.884007078421</v>
      </c>
      <c r="L6" s="4">
        <f>Calcs!L25</f>
        <v>45067.731271948665</v>
      </c>
    </row>
    <row r="7" spans="1:12" x14ac:dyDescent="0.25">
      <c r="B7" s="4" t="s">
        <v>183</v>
      </c>
      <c r="F7" s="4">
        <f>BalSheet!E25-BalSheet!F25</f>
        <v>65676.515749999991</v>
      </c>
      <c r="G7" s="4">
        <f>BalSheet!F25-BalSheet!G25</f>
        <v>-2617.2758582250008</v>
      </c>
      <c r="H7" s="4">
        <f>BalSheet!G25-BalSheet!H25</f>
        <v>-3149.9308076363359</v>
      </c>
      <c r="I7" s="4">
        <f>BalSheet!H25-BalSheet!I25</f>
        <v>-3779.8858160017771</v>
      </c>
      <c r="J7" s="4">
        <f>BalSheet!I25-BalSheet!J25</f>
        <v>-4522.475751808608</v>
      </c>
      <c r="K7" s="4">
        <f>BalSheet!J25-BalSheet!K25</f>
        <v>-5394.9484428455471</v>
      </c>
      <c r="L7" s="4">
        <f>BalSheet!K25-BalSheet!L25</f>
        <v>-6416.6041901213466</v>
      </c>
    </row>
    <row r="8" spans="1:12" x14ac:dyDescent="0.25">
      <c r="B8" s="4" t="s">
        <v>184</v>
      </c>
      <c r="F8" s="4">
        <f>BalSheet!F36-BalSheet!E36</f>
        <v>76830.07500000007</v>
      </c>
      <c r="G8" s="4">
        <f>BalSheet!G36-BalSheet!F36</f>
        <v>92736.461527500011</v>
      </c>
      <c r="H8" s="4">
        <f>BalSheet!H36-BalSheet!G36</f>
        <v>111609.72437760589</v>
      </c>
      <c r="I8" s="4">
        <f>BalSheet!I36-BalSheet!H36</f>
        <v>133930.56542068836</v>
      </c>
      <c r="J8" s="4">
        <f>BalSheet!J36-BalSheet!I36</f>
        <v>160242.33641580329</v>
      </c>
      <c r="K8" s="4">
        <f>BalSheet!K36-BalSheet!J36</f>
        <v>191156.1699316228</v>
      </c>
      <c r="L8" s="4">
        <f>BalSheet!L36-BalSheet!K36</f>
        <v>227355.92266454501</v>
      </c>
    </row>
    <row r="9" spans="1:12" s="11" customFormat="1" x14ac:dyDescent="0.25">
      <c r="B9" s="11" t="s">
        <v>185</v>
      </c>
      <c r="F9" s="11">
        <f>SUM(F3:F8)</f>
        <v>232640.1265698559</v>
      </c>
      <c r="G9" s="11">
        <f t="shared" ref="G9:L9" si="3">SUM(G3:G8)</f>
        <v>281789.3077614815</v>
      </c>
      <c r="H9" s="11">
        <f t="shared" si="3"/>
        <v>360470.56372852996</v>
      </c>
      <c r="I9" s="11">
        <f t="shared" si="3"/>
        <v>461000.06911138288</v>
      </c>
      <c r="J9" s="11">
        <f t="shared" si="3"/>
        <v>588403.10312904487</v>
      </c>
      <c r="K9" s="11">
        <f t="shared" si="3"/>
        <v>748715.71935114416</v>
      </c>
      <c r="L9" s="11">
        <f t="shared" si="3"/>
        <v>949149.7007369874</v>
      </c>
    </row>
    <row r="10" spans="1:12" x14ac:dyDescent="0.25">
      <c r="I10" s="4"/>
      <c r="J10" s="4"/>
      <c r="K10" s="4"/>
      <c r="L10" s="4"/>
    </row>
    <row r="11" spans="1:12" x14ac:dyDescent="0.25">
      <c r="B11" s="4" t="s">
        <v>14</v>
      </c>
      <c r="F11" s="4">
        <f>-Calcs!F7</f>
        <v>-126557.73287499999</v>
      </c>
      <c r="G11" s="4">
        <f>-Calcs!G7</f>
        <v>-147404.20219927499</v>
      </c>
      <c r="H11" s="4">
        <f>-Calcs!H7</f>
        <v>-170810.93450166594</v>
      </c>
      <c r="I11" s="4">
        <f>-Calcs!I7</f>
        <v>-196876.07814704275</v>
      </c>
      <c r="J11" s="4">
        <f>-Calcs!J7</f>
        <v>-225636.90525675053</v>
      </c>
      <c r="K11" s="4">
        <f>-Calcs!K7</f>
        <v>-257047.1995395243</v>
      </c>
      <c r="L11" s="4">
        <f>-Calcs!L7</f>
        <v>-290949.98232671537</v>
      </c>
    </row>
    <row r="12" spans="1:12" s="11" customFormat="1" x14ac:dyDescent="0.25">
      <c r="B12" s="11" t="s">
        <v>186</v>
      </c>
      <c r="F12" s="11">
        <f>F11</f>
        <v>-126557.73287499999</v>
      </c>
      <c r="G12" s="11">
        <f t="shared" ref="G12:L12" si="4">G11</f>
        <v>-147404.20219927499</v>
      </c>
      <c r="H12" s="11">
        <f t="shared" si="4"/>
        <v>-170810.93450166594</v>
      </c>
      <c r="I12" s="11">
        <f t="shared" si="4"/>
        <v>-196876.07814704275</v>
      </c>
      <c r="J12" s="11">
        <f t="shared" si="4"/>
        <v>-225636.90525675053</v>
      </c>
      <c r="K12" s="11">
        <f t="shared" si="4"/>
        <v>-257047.1995395243</v>
      </c>
      <c r="L12" s="11">
        <f t="shared" si="4"/>
        <v>-290949.98232671537</v>
      </c>
    </row>
    <row r="13" spans="1:12" x14ac:dyDescent="0.25">
      <c r="I13" s="4"/>
      <c r="J13" s="4"/>
      <c r="K13" s="4"/>
      <c r="L13" s="4"/>
    </row>
    <row r="14" spans="1:12" x14ac:dyDescent="0.25">
      <c r="B14" s="4" t="s">
        <v>187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</row>
    <row r="15" spans="1:12" x14ac:dyDescent="0.25">
      <c r="B15" s="4" t="s">
        <v>188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</row>
    <row r="16" spans="1:12" x14ac:dyDescent="0.25">
      <c r="B16" s="4" t="s">
        <v>189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</row>
    <row r="17" spans="2:12" s="11" customFormat="1" x14ac:dyDescent="0.25">
      <c r="B17" s="11" t="s">
        <v>190</v>
      </c>
      <c r="F17" s="11">
        <f>SUM(F14:F16)</f>
        <v>0</v>
      </c>
      <c r="G17" s="11">
        <f t="shared" ref="G17:L17" si="5">SUM(G14:G16)</f>
        <v>0</v>
      </c>
      <c r="H17" s="11">
        <f t="shared" si="5"/>
        <v>0</v>
      </c>
      <c r="I17" s="11">
        <f t="shared" si="5"/>
        <v>0</v>
      </c>
      <c r="J17" s="11">
        <f t="shared" si="5"/>
        <v>0</v>
      </c>
      <c r="K17" s="11">
        <f t="shared" si="5"/>
        <v>0</v>
      </c>
      <c r="L17" s="11">
        <f t="shared" si="5"/>
        <v>0</v>
      </c>
    </row>
    <row r="18" spans="2:12" x14ac:dyDescent="0.25">
      <c r="I18" s="4"/>
      <c r="J18" s="4"/>
      <c r="K18" s="4"/>
      <c r="L18" s="4"/>
    </row>
    <row r="19" spans="2:12" x14ac:dyDescent="0.25">
      <c r="B19" s="4" t="s">
        <v>191</v>
      </c>
      <c r="F19" s="4">
        <f>SUM(F17,F12,F9)</f>
        <v>106082.39369485591</v>
      </c>
      <c r="G19" s="4">
        <f t="shared" ref="G19:L19" si="6">SUM(G17,G12,G9)</f>
        <v>134385.1055622065</v>
      </c>
      <c r="H19" s="4">
        <f t="shared" si="6"/>
        <v>189659.62922686402</v>
      </c>
      <c r="I19" s="4">
        <f t="shared" si="6"/>
        <v>264123.99096434016</v>
      </c>
      <c r="J19" s="4">
        <f t="shared" si="6"/>
        <v>362766.19787229435</v>
      </c>
      <c r="K19" s="4">
        <f t="shared" si="6"/>
        <v>491668.51981161989</v>
      </c>
      <c r="L19" s="4">
        <f t="shared" si="6"/>
        <v>658199.71841027203</v>
      </c>
    </row>
    <row r="20" spans="2:12" x14ac:dyDescent="0.25">
      <c r="I20" s="4"/>
      <c r="J20" s="4"/>
      <c r="K20" s="4"/>
      <c r="L20" s="4"/>
    </row>
    <row r="21" spans="2:12" x14ac:dyDescent="0.25">
      <c r="B21" s="4" t="s">
        <v>19</v>
      </c>
      <c r="F21" s="4">
        <f>BalSheet!E17</f>
        <v>346845.74</v>
      </c>
      <c r="G21" s="4">
        <f>BalSheet!F17</f>
        <v>452928.1336948559</v>
      </c>
      <c r="H21" s="4">
        <f>BalSheet!G17</f>
        <v>587313.23925706244</v>
      </c>
      <c r="I21" s="4">
        <f>BalSheet!H17</f>
        <v>776972.8684839264</v>
      </c>
      <c r="J21" s="4">
        <f>BalSheet!I17</f>
        <v>1041096.8594482666</v>
      </c>
      <c r="K21" s="4">
        <f>BalSheet!J17</f>
        <v>1403863.0573205608</v>
      </c>
      <c r="L21" s="4">
        <f>BalSheet!K17</f>
        <v>1895531.5771321808</v>
      </c>
    </row>
    <row r="22" spans="2:12" x14ac:dyDescent="0.25">
      <c r="B22" s="4" t="str">
        <f>B19</f>
        <v>Net changes in Cash</v>
      </c>
      <c r="F22" s="4">
        <f>F19</f>
        <v>106082.39369485591</v>
      </c>
      <c r="G22" s="4">
        <f t="shared" ref="G22:L22" si="7">G19</f>
        <v>134385.1055622065</v>
      </c>
      <c r="H22" s="4">
        <f t="shared" si="7"/>
        <v>189659.62922686402</v>
      </c>
      <c r="I22" s="4">
        <f t="shared" si="7"/>
        <v>264123.99096434016</v>
      </c>
      <c r="J22" s="4">
        <f t="shared" si="7"/>
        <v>362766.19787229435</v>
      </c>
      <c r="K22" s="4">
        <f t="shared" si="7"/>
        <v>491668.51981161989</v>
      </c>
      <c r="L22" s="4">
        <f t="shared" si="7"/>
        <v>658199.71841027203</v>
      </c>
    </row>
    <row r="23" spans="2:12" x14ac:dyDescent="0.25">
      <c r="B23" s="4" t="s">
        <v>192</v>
      </c>
      <c r="F23" s="4">
        <f>SUM(F21:F22)</f>
        <v>452928.1336948559</v>
      </c>
      <c r="G23" s="4">
        <f t="shared" ref="G23:L23" si="8">SUM(G21:G22)</f>
        <v>587313.23925706244</v>
      </c>
      <c r="H23" s="4">
        <f t="shared" si="8"/>
        <v>776972.8684839264</v>
      </c>
      <c r="I23" s="4">
        <f t="shared" si="8"/>
        <v>1041096.8594482666</v>
      </c>
      <c r="J23" s="4">
        <f t="shared" si="8"/>
        <v>1403863.0573205608</v>
      </c>
      <c r="K23" s="4">
        <f t="shared" si="8"/>
        <v>1895531.5771321808</v>
      </c>
      <c r="L23" s="4">
        <f t="shared" si="8"/>
        <v>2553731.295542453</v>
      </c>
    </row>
    <row r="24" spans="2:12" x14ac:dyDescent="0.25">
      <c r="I24" s="4"/>
      <c r="J24" s="4"/>
      <c r="K24" s="4"/>
      <c r="L24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L30"/>
  <sheetViews>
    <sheetView showGridLines="0" zoomScaleNormal="100" workbookViewId="0">
      <selection activeCell="F14" sqref="F14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2" width="11.7109375" style="6" customWidth="1"/>
    <col min="13" max="253" width="8.85546875" style="4"/>
    <col min="254" max="254" width="1.7109375" style="4" customWidth="1"/>
    <col min="255" max="255" width="40.7109375" style="4" customWidth="1"/>
    <col min="256" max="261" width="10.7109375" style="4" customWidth="1"/>
    <col min="262" max="263" width="9.42578125" style="4" bestFit="1" customWidth="1"/>
    <col min="264" max="509" width="8.85546875" style="4"/>
    <col min="510" max="510" width="1.7109375" style="4" customWidth="1"/>
    <col min="511" max="511" width="40.7109375" style="4" customWidth="1"/>
    <col min="512" max="517" width="10.7109375" style="4" customWidth="1"/>
    <col min="518" max="519" width="9.42578125" style="4" bestFit="1" customWidth="1"/>
    <col min="520" max="765" width="8.85546875" style="4"/>
    <col min="766" max="766" width="1.7109375" style="4" customWidth="1"/>
    <col min="767" max="767" width="40.7109375" style="4" customWidth="1"/>
    <col min="768" max="773" width="10.7109375" style="4" customWidth="1"/>
    <col min="774" max="775" width="9.42578125" style="4" bestFit="1" customWidth="1"/>
    <col min="776" max="1021" width="8.85546875" style="4"/>
    <col min="1022" max="1022" width="1.7109375" style="4" customWidth="1"/>
    <col min="1023" max="1023" width="40.7109375" style="4" customWidth="1"/>
    <col min="1024" max="1029" width="10.7109375" style="4" customWidth="1"/>
    <col min="1030" max="1031" width="9.42578125" style="4" bestFit="1" customWidth="1"/>
    <col min="1032" max="1277" width="8.85546875" style="4"/>
    <col min="1278" max="1278" width="1.7109375" style="4" customWidth="1"/>
    <col min="1279" max="1279" width="40.7109375" style="4" customWidth="1"/>
    <col min="1280" max="1285" width="10.7109375" style="4" customWidth="1"/>
    <col min="1286" max="1287" width="9.42578125" style="4" bestFit="1" customWidth="1"/>
    <col min="1288" max="1533" width="8.85546875" style="4"/>
    <col min="1534" max="1534" width="1.7109375" style="4" customWidth="1"/>
    <col min="1535" max="1535" width="40.7109375" style="4" customWidth="1"/>
    <col min="1536" max="1541" width="10.7109375" style="4" customWidth="1"/>
    <col min="1542" max="1543" width="9.42578125" style="4" bestFit="1" customWidth="1"/>
    <col min="1544" max="1789" width="8.85546875" style="4"/>
    <col min="1790" max="1790" width="1.7109375" style="4" customWidth="1"/>
    <col min="1791" max="1791" width="40.7109375" style="4" customWidth="1"/>
    <col min="1792" max="1797" width="10.7109375" style="4" customWidth="1"/>
    <col min="1798" max="1799" width="9.42578125" style="4" bestFit="1" customWidth="1"/>
    <col min="1800" max="2045" width="8.85546875" style="4"/>
    <col min="2046" max="2046" width="1.7109375" style="4" customWidth="1"/>
    <col min="2047" max="2047" width="40.7109375" style="4" customWidth="1"/>
    <col min="2048" max="2053" width="10.7109375" style="4" customWidth="1"/>
    <col min="2054" max="2055" width="9.42578125" style="4" bestFit="1" customWidth="1"/>
    <col min="2056" max="2301" width="8.85546875" style="4"/>
    <col min="2302" max="2302" width="1.7109375" style="4" customWidth="1"/>
    <col min="2303" max="2303" width="40.7109375" style="4" customWidth="1"/>
    <col min="2304" max="2309" width="10.7109375" style="4" customWidth="1"/>
    <col min="2310" max="2311" width="9.42578125" style="4" bestFit="1" customWidth="1"/>
    <col min="2312" max="2557" width="8.85546875" style="4"/>
    <col min="2558" max="2558" width="1.7109375" style="4" customWidth="1"/>
    <col min="2559" max="2559" width="40.7109375" style="4" customWidth="1"/>
    <col min="2560" max="2565" width="10.7109375" style="4" customWidth="1"/>
    <col min="2566" max="2567" width="9.42578125" style="4" bestFit="1" customWidth="1"/>
    <col min="2568" max="2813" width="8.85546875" style="4"/>
    <col min="2814" max="2814" width="1.7109375" style="4" customWidth="1"/>
    <col min="2815" max="2815" width="40.7109375" style="4" customWidth="1"/>
    <col min="2816" max="2821" width="10.7109375" style="4" customWidth="1"/>
    <col min="2822" max="2823" width="9.42578125" style="4" bestFit="1" customWidth="1"/>
    <col min="2824" max="3069" width="8.85546875" style="4"/>
    <col min="3070" max="3070" width="1.7109375" style="4" customWidth="1"/>
    <col min="3071" max="3071" width="40.7109375" style="4" customWidth="1"/>
    <col min="3072" max="3077" width="10.7109375" style="4" customWidth="1"/>
    <col min="3078" max="3079" width="9.42578125" style="4" bestFit="1" customWidth="1"/>
    <col min="3080" max="3325" width="8.85546875" style="4"/>
    <col min="3326" max="3326" width="1.7109375" style="4" customWidth="1"/>
    <col min="3327" max="3327" width="40.7109375" style="4" customWidth="1"/>
    <col min="3328" max="3333" width="10.7109375" style="4" customWidth="1"/>
    <col min="3334" max="3335" width="9.42578125" style="4" bestFit="1" customWidth="1"/>
    <col min="3336" max="3581" width="8.85546875" style="4"/>
    <col min="3582" max="3582" width="1.7109375" style="4" customWidth="1"/>
    <col min="3583" max="3583" width="40.7109375" style="4" customWidth="1"/>
    <col min="3584" max="3589" width="10.7109375" style="4" customWidth="1"/>
    <col min="3590" max="3591" width="9.42578125" style="4" bestFit="1" customWidth="1"/>
    <col min="3592" max="3837" width="8.85546875" style="4"/>
    <col min="3838" max="3838" width="1.7109375" style="4" customWidth="1"/>
    <col min="3839" max="3839" width="40.7109375" style="4" customWidth="1"/>
    <col min="3840" max="3845" width="10.7109375" style="4" customWidth="1"/>
    <col min="3846" max="3847" width="9.42578125" style="4" bestFit="1" customWidth="1"/>
    <col min="3848" max="4093" width="8.85546875" style="4"/>
    <col min="4094" max="4094" width="1.7109375" style="4" customWidth="1"/>
    <col min="4095" max="4095" width="40.7109375" style="4" customWidth="1"/>
    <col min="4096" max="4101" width="10.7109375" style="4" customWidth="1"/>
    <col min="4102" max="4103" width="9.42578125" style="4" bestFit="1" customWidth="1"/>
    <col min="4104" max="4349" width="8.85546875" style="4"/>
    <col min="4350" max="4350" width="1.7109375" style="4" customWidth="1"/>
    <col min="4351" max="4351" width="40.7109375" style="4" customWidth="1"/>
    <col min="4352" max="4357" width="10.7109375" style="4" customWidth="1"/>
    <col min="4358" max="4359" width="9.42578125" style="4" bestFit="1" customWidth="1"/>
    <col min="4360" max="4605" width="8.85546875" style="4"/>
    <col min="4606" max="4606" width="1.7109375" style="4" customWidth="1"/>
    <col min="4607" max="4607" width="40.7109375" style="4" customWidth="1"/>
    <col min="4608" max="4613" width="10.7109375" style="4" customWidth="1"/>
    <col min="4614" max="4615" width="9.42578125" style="4" bestFit="1" customWidth="1"/>
    <col min="4616" max="4861" width="8.85546875" style="4"/>
    <col min="4862" max="4862" width="1.7109375" style="4" customWidth="1"/>
    <col min="4863" max="4863" width="40.7109375" style="4" customWidth="1"/>
    <col min="4864" max="4869" width="10.7109375" style="4" customWidth="1"/>
    <col min="4870" max="4871" width="9.42578125" style="4" bestFit="1" customWidth="1"/>
    <col min="4872" max="5117" width="8.85546875" style="4"/>
    <col min="5118" max="5118" width="1.7109375" style="4" customWidth="1"/>
    <col min="5119" max="5119" width="40.7109375" style="4" customWidth="1"/>
    <col min="5120" max="5125" width="10.7109375" style="4" customWidth="1"/>
    <col min="5126" max="5127" width="9.42578125" style="4" bestFit="1" customWidth="1"/>
    <col min="5128" max="5373" width="8.85546875" style="4"/>
    <col min="5374" max="5374" width="1.7109375" style="4" customWidth="1"/>
    <col min="5375" max="5375" width="40.7109375" style="4" customWidth="1"/>
    <col min="5376" max="5381" width="10.7109375" style="4" customWidth="1"/>
    <col min="5382" max="5383" width="9.42578125" style="4" bestFit="1" customWidth="1"/>
    <col min="5384" max="5629" width="8.85546875" style="4"/>
    <col min="5630" max="5630" width="1.7109375" style="4" customWidth="1"/>
    <col min="5631" max="5631" width="40.7109375" style="4" customWidth="1"/>
    <col min="5632" max="5637" width="10.7109375" style="4" customWidth="1"/>
    <col min="5638" max="5639" width="9.42578125" style="4" bestFit="1" customWidth="1"/>
    <col min="5640" max="5885" width="8.85546875" style="4"/>
    <col min="5886" max="5886" width="1.7109375" style="4" customWidth="1"/>
    <col min="5887" max="5887" width="40.7109375" style="4" customWidth="1"/>
    <col min="5888" max="5893" width="10.7109375" style="4" customWidth="1"/>
    <col min="5894" max="5895" width="9.42578125" style="4" bestFit="1" customWidth="1"/>
    <col min="5896" max="6141" width="8.85546875" style="4"/>
    <col min="6142" max="6142" width="1.7109375" style="4" customWidth="1"/>
    <col min="6143" max="6143" width="40.7109375" style="4" customWidth="1"/>
    <col min="6144" max="6149" width="10.7109375" style="4" customWidth="1"/>
    <col min="6150" max="6151" width="9.42578125" style="4" bestFit="1" customWidth="1"/>
    <col min="6152" max="6397" width="8.85546875" style="4"/>
    <col min="6398" max="6398" width="1.7109375" style="4" customWidth="1"/>
    <col min="6399" max="6399" width="40.7109375" style="4" customWidth="1"/>
    <col min="6400" max="6405" width="10.7109375" style="4" customWidth="1"/>
    <col min="6406" max="6407" width="9.42578125" style="4" bestFit="1" customWidth="1"/>
    <col min="6408" max="6653" width="8.85546875" style="4"/>
    <col min="6654" max="6654" width="1.7109375" style="4" customWidth="1"/>
    <col min="6655" max="6655" width="40.7109375" style="4" customWidth="1"/>
    <col min="6656" max="6661" width="10.7109375" style="4" customWidth="1"/>
    <col min="6662" max="6663" width="9.42578125" style="4" bestFit="1" customWidth="1"/>
    <col min="6664" max="6909" width="8.85546875" style="4"/>
    <col min="6910" max="6910" width="1.7109375" style="4" customWidth="1"/>
    <col min="6911" max="6911" width="40.7109375" style="4" customWidth="1"/>
    <col min="6912" max="6917" width="10.7109375" style="4" customWidth="1"/>
    <col min="6918" max="6919" width="9.42578125" style="4" bestFit="1" customWidth="1"/>
    <col min="6920" max="7165" width="8.85546875" style="4"/>
    <col min="7166" max="7166" width="1.7109375" style="4" customWidth="1"/>
    <col min="7167" max="7167" width="40.7109375" style="4" customWidth="1"/>
    <col min="7168" max="7173" width="10.7109375" style="4" customWidth="1"/>
    <col min="7174" max="7175" width="9.42578125" style="4" bestFit="1" customWidth="1"/>
    <col min="7176" max="7421" width="8.85546875" style="4"/>
    <col min="7422" max="7422" width="1.7109375" style="4" customWidth="1"/>
    <col min="7423" max="7423" width="40.7109375" style="4" customWidth="1"/>
    <col min="7424" max="7429" width="10.7109375" style="4" customWidth="1"/>
    <col min="7430" max="7431" width="9.42578125" style="4" bestFit="1" customWidth="1"/>
    <col min="7432" max="7677" width="8.85546875" style="4"/>
    <col min="7678" max="7678" width="1.7109375" style="4" customWidth="1"/>
    <col min="7679" max="7679" width="40.7109375" style="4" customWidth="1"/>
    <col min="7680" max="7685" width="10.7109375" style="4" customWidth="1"/>
    <col min="7686" max="7687" width="9.42578125" style="4" bestFit="1" customWidth="1"/>
    <col min="7688" max="7933" width="8.85546875" style="4"/>
    <col min="7934" max="7934" width="1.7109375" style="4" customWidth="1"/>
    <col min="7935" max="7935" width="40.7109375" style="4" customWidth="1"/>
    <col min="7936" max="7941" width="10.7109375" style="4" customWidth="1"/>
    <col min="7942" max="7943" width="9.42578125" style="4" bestFit="1" customWidth="1"/>
    <col min="7944" max="8189" width="8.85546875" style="4"/>
    <col min="8190" max="8190" width="1.7109375" style="4" customWidth="1"/>
    <col min="8191" max="8191" width="40.7109375" style="4" customWidth="1"/>
    <col min="8192" max="8197" width="10.7109375" style="4" customWidth="1"/>
    <col min="8198" max="8199" width="9.42578125" style="4" bestFit="1" customWidth="1"/>
    <col min="8200" max="8445" width="8.85546875" style="4"/>
    <col min="8446" max="8446" width="1.7109375" style="4" customWidth="1"/>
    <col min="8447" max="8447" width="40.7109375" style="4" customWidth="1"/>
    <col min="8448" max="8453" width="10.7109375" style="4" customWidth="1"/>
    <col min="8454" max="8455" width="9.42578125" style="4" bestFit="1" customWidth="1"/>
    <col min="8456" max="8701" width="8.85546875" style="4"/>
    <col min="8702" max="8702" width="1.7109375" style="4" customWidth="1"/>
    <col min="8703" max="8703" width="40.7109375" style="4" customWidth="1"/>
    <col min="8704" max="8709" width="10.7109375" style="4" customWidth="1"/>
    <col min="8710" max="8711" width="9.42578125" style="4" bestFit="1" customWidth="1"/>
    <col min="8712" max="8957" width="8.85546875" style="4"/>
    <col min="8958" max="8958" width="1.7109375" style="4" customWidth="1"/>
    <col min="8959" max="8959" width="40.7109375" style="4" customWidth="1"/>
    <col min="8960" max="8965" width="10.7109375" style="4" customWidth="1"/>
    <col min="8966" max="8967" width="9.42578125" style="4" bestFit="1" customWidth="1"/>
    <col min="8968" max="9213" width="8.85546875" style="4"/>
    <col min="9214" max="9214" width="1.7109375" style="4" customWidth="1"/>
    <col min="9215" max="9215" width="40.7109375" style="4" customWidth="1"/>
    <col min="9216" max="9221" width="10.7109375" style="4" customWidth="1"/>
    <col min="9222" max="9223" width="9.42578125" style="4" bestFit="1" customWidth="1"/>
    <col min="9224" max="9469" width="8.85546875" style="4"/>
    <col min="9470" max="9470" width="1.7109375" style="4" customWidth="1"/>
    <col min="9471" max="9471" width="40.7109375" style="4" customWidth="1"/>
    <col min="9472" max="9477" width="10.7109375" style="4" customWidth="1"/>
    <col min="9478" max="9479" width="9.42578125" style="4" bestFit="1" customWidth="1"/>
    <col min="9480" max="9725" width="8.85546875" style="4"/>
    <col min="9726" max="9726" width="1.7109375" style="4" customWidth="1"/>
    <col min="9727" max="9727" width="40.7109375" style="4" customWidth="1"/>
    <col min="9728" max="9733" width="10.7109375" style="4" customWidth="1"/>
    <col min="9734" max="9735" width="9.42578125" style="4" bestFit="1" customWidth="1"/>
    <col min="9736" max="9981" width="8.85546875" style="4"/>
    <col min="9982" max="9982" width="1.7109375" style="4" customWidth="1"/>
    <col min="9983" max="9983" width="40.7109375" style="4" customWidth="1"/>
    <col min="9984" max="9989" width="10.7109375" style="4" customWidth="1"/>
    <col min="9990" max="9991" width="9.42578125" style="4" bestFit="1" customWidth="1"/>
    <col min="9992" max="10237" width="8.85546875" style="4"/>
    <col min="10238" max="10238" width="1.7109375" style="4" customWidth="1"/>
    <col min="10239" max="10239" width="40.7109375" style="4" customWidth="1"/>
    <col min="10240" max="10245" width="10.7109375" style="4" customWidth="1"/>
    <col min="10246" max="10247" width="9.42578125" style="4" bestFit="1" customWidth="1"/>
    <col min="10248" max="10493" width="8.85546875" style="4"/>
    <col min="10494" max="10494" width="1.7109375" style="4" customWidth="1"/>
    <col min="10495" max="10495" width="40.7109375" style="4" customWidth="1"/>
    <col min="10496" max="10501" width="10.7109375" style="4" customWidth="1"/>
    <col min="10502" max="10503" width="9.42578125" style="4" bestFit="1" customWidth="1"/>
    <col min="10504" max="10749" width="8.85546875" style="4"/>
    <col min="10750" max="10750" width="1.7109375" style="4" customWidth="1"/>
    <col min="10751" max="10751" width="40.7109375" style="4" customWidth="1"/>
    <col min="10752" max="10757" width="10.7109375" style="4" customWidth="1"/>
    <col min="10758" max="10759" width="9.42578125" style="4" bestFit="1" customWidth="1"/>
    <col min="10760" max="11005" width="8.85546875" style="4"/>
    <col min="11006" max="11006" width="1.7109375" style="4" customWidth="1"/>
    <col min="11007" max="11007" width="40.7109375" style="4" customWidth="1"/>
    <col min="11008" max="11013" width="10.7109375" style="4" customWidth="1"/>
    <col min="11014" max="11015" width="9.42578125" style="4" bestFit="1" customWidth="1"/>
    <col min="11016" max="11261" width="8.85546875" style="4"/>
    <col min="11262" max="11262" width="1.7109375" style="4" customWidth="1"/>
    <col min="11263" max="11263" width="40.7109375" style="4" customWidth="1"/>
    <col min="11264" max="11269" width="10.7109375" style="4" customWidth="1"/>
    <col min="11270" max="11271" width="9.42578125" style="4" bestFit="1" customWidth="1"/>
    <col min="11272" max="11517" width="8.85546875" style="4"/>
    <col min="11518" max="11518" width="1.7109375" style="4" customWidth="1"/>
    <col min="11519" max="11519" width="40.7109375" style="4" customWidth="1"/>
    <col min="11520" max="11525" width="10.7109375" style="4" customWidth="1"/>
    <col min="11526" max="11527" width="9.42578125" style="4" bestFit="1" customWidth="1"/>
    <col min="11528" max="11773" width="8.85546875" style="4"/>
    <col min="11774" max="11774" width="1.7109375" style="4" customWidth="1"/>
    <col min="11775" max="11775" width="40.7109375" style="4" customWidth="1"/>
    <col min="11776" max="11781" width="10.7109375" style="4" customWidth="1"/>
    <col min="11782" max="11783" width="9.42578125" style="4" bestFit="1" customWidth="1"/>
    <col min="11784" max="12029" width="8.85546875" style="4"/>
    <col min="12030" max="12030" width="1.7109375" style="4" customWidth="1"/>
    <col min="12031" max="12031" width="40.7109375" style="4" customWidth="1"/>
    <col min="12032" max="12037" width="10.7109375" style="4" customWidth="1"/>
    <col min="12038" max="12039" width="9.42578125" style="4" bestFit="1" customWidth="1"/>
    <col min="12040" max="12285" width="8.85546875" style="4"/>
    <col min="12286" max="12286" width="1.7109375" style="4" customWidth="1"/>
    <col min="12287" max="12287" width="40.7109375" style="4" customWidth="1"/>
    <col min="12288" max="12293" width="10.7109375" style="4" customWidth="1"/>
    <col min="12294" max="12295" width="9.42578125" style="4" bestFit="1" customWidth="1"/>
    <col min="12296" max="12541" width="8.85546875" style="4"/>
    <col min="12542" max="12542" width="1.7109375" style="4" customWidth="1"/>
    <col min="12543" max="12543" width="40.7109375" style="4" customWidth="1"/>
    <col min="12544" max="12549" width="10.7109375" style="4" customWidth="1"/>
    <col min="12550" max="12551" width="9.42578125" style="4" bestFit="1" customWidth="1"/>
    <col min="12552" max="12797" width="8.85546875" style="4"/>
    <col min="12798" max="12798" width="1.7109375" style="4" customWidth="1"/>
    <col min="12799" max="12799" width="40.7109375" style="4" customWidth="1"/>
    <col min="12800" max="12805" width="10.7109375" style="4" customWidth="1"/>
    <col min="12806" max="12807" width="9.42578125" style="4" bestFit="1" customWidth="1"/>
    <col min="12808" max="13053" width="8.85546875" style="4"/>
    <col min="13054" max="13054" width="1.7109375" style="4" customWidth="1"/>
    <col min="13055" max="13055" width="40.7109375" style="4" customWidth="1"/>
    <col min="13056" max="13061" width="10.7109375" style="4" customWidth="1"/>
    <col min="13062" max="13063" width="9.42578125" style="4" bestFit="1" customWidth="1"/>
    <col min="13064" max="13309" width="8.85546875" style="4"/>
    <col min="13310" max="13310" width="1.7109375" style="4" customWidth="1"/>
    <col min="13311" max="13311" width="40.7109375" style="4" customWidth="1"/>
    <col min="13312" max="13317" width="10.7109375" style="4" customWidth="1"/>
    <col min="13318" max="13319" width="9.42578125" style="4" bestFit="1" customWidth="1"/>
    <col min="13320" max="13565" width="8.85546875" style="4"/>
    <col min="13566" max="13566" width="1.7109375" style="4" customWidth="1"/>
    <col min="13567" max="13567" width="40.7109375" style="4" customWidth="1"/>
    <col min="13568" max="13573" width="10.7109375" style="4" customWidth="1"/>
    <col min="13574" max="13575" width="9.42578125" style="4" bestFit="1" customWidth="1"/>
    <col min="13576" max="13821" width="8.85546875" style="4"/>
    <col min="13822" max="13822" width="1.7109375" style="4" customWidth="1"/>
    <col min="13823" max="13823" width="40.7109375" style="4" customWidth="1"/>
    <col min="13824" max="13829" width="10.7109375" style="4" customWidth="1"/>
    <col min="13830" max="13831" width="9.42578125" style="4" bestFit="1" customWidth="1"/>
    <col min="13832" max="14077" width="8.85546875" style="4"/>
    <col min="14078" max="14078" width="1.7109375" style="4" customWidth="1"/>
    <col min="14079" max="14079" width="40.7109375" style="4" customWidth="1"/>
    <col min="14080" max="14085" width="10.7109375" style="4" customWidth="1"/>
    <col min="14086" max="14087" width="9.42578125" style="4" bestFit="1" customWidth="1"/>
    <col min="14088" max="14333" width="8.85546875" style="4"/>
    <col min="14334" max="14334" width="1.7109375" style="4" customWidth="1"/>
    <col min="14335" max="14335" width="40.7109375" style="4" customWidth="1"/>
    <col min="14336" max="14341" width="10.7109375" style="4" customWidth="1"/>
    <col min="14342" max="14343" width="9.42578125" style="4" bestFit="1" customWidth="1"/>
    <col min="14344" max="14589" width="8.85546875" style="4"/>
    <col min="14590" max="14590" width="1.7109375" style="4" customWidth="1"/>
    <col min="14591" max="14591" width="40.7109375" style="4" customWidth="1"/>
    <col min="14592" max="14597" width="10.7109375" style="4" customWidth="1"/>
    <col min="14598" max="14599" width="9.42578125" style="4" bestFit="1" customWidth="1"/>
    <col min="14600" max="14845" width="8.85546875" style="4"/>
    <col min="14846" max="14846" width="1.7109375" style="4" customWidth="1"/>
    <col min="14847" max="14847" width="40.7109375" style="4" customWidth="1"/>
    <col min="14848" max="14853" width="10.7109375" style="4" customWidth="1"/>
    <col min="14854" max="14855" width="9.42578125" style="4" bestFit="1" customWidth="1"/>
    <col min="14856" max="15101" width="8.85546875" style="4"/>
    <col min="15102" max="15102" width="1.7109375" style="4" customWidth="1"/>
    <col min="15103" max="15103" width="40.7109375" style="4" customWidth="1"/>
    <col min="15104" max="15109" width="10.7109375" style="4" customWidth="1"/>
    <col min="15110" max="15111" width="9.42578125" style="4" bestFit="1" customWidth="1"/>
    <col min="15112" max="15357" width="8.85546875" style="4"/>
    <col min="15358" max="15358" width="1.7109375" style="4" customWidth="1"/>
    <col min="15359" max="15359" width="40.7109375" style="4" customWidth="1"/>
    <col min="15360" max="15365" width="10.7109375" style="4" customWidth="1"/>
    <col min="15366" max="15367" width="9.42578125" style="4" bestFit="1" customWidth="1"/>
    <col min="15368" max="15613" width="8.85546875" style="4"/>
    <col min="15614" max="15614" width="1.7109375" style="4" customWidth="1"/>
    <col min="15615" max="15615" width="40.7109375" style="4" customWidth="1"/>
    <col min="15616" max="15621" width="10.7109375" style="4" customWidth="1"/>
    <col min="15622" max="15623" width="9.42578125" style="4" bestFit="1" customWidth="1"/>
    <col min="15624" max="15869" width="8.85546875" style="4"/>
    <col min="15870" max="15870" width="1.7109375" style="4" customWidth="1"/>
    <col min="15871" max="15871" width="40.7109375" style="4" customWidth="1"/>
    <col min="15872" max="15877" width="10.7109375" style="4" customWidth="1"/>
    <col min="15878" max="15879" width="9.42578125" style="4" bestFit="1" customWidth="1"/>
    <col min="15880" max="16125" width="8.85546875" style="4"/>
    <col min="16126" max="16126" width="1.7109375" style="4" customWidth="1"/>
    <col min="16127" max="16127" width="40.7109375" style="4" customWidth="1"/>
    <col min="16128" max="16133" width="10.7109375" style="4" customWidth="1"/>
    <col min="16134" max="16135" width="9.42578125" style="4" bestFit="1" customWidth="1"/>
    <col min="16136" max="16384" width="8.85546875" style="4"/>
  </cols>
  <sheetData>
    <row r="1" spans="1:12" s="2" customFormat="1" ht="19.5" x14ac:dyDescent="0.3">
      <c r="A1" s="226" t="str">
        <f>CoName</f>
        <v>Cava Group Inc.</v>
      </c>
      <c r="B1" s="3"/>
      <c r="C1" s="41" t="s">
        <v>0</v>
      </c>
      <c r="D1" s="41" t="s">
        <v>0</v>
      </c>
      <c r="E1" s="41" t="s">
        <v>0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 t="s">
        <v>1</v>
      </c>
      <c r="L1" s="41" t="s">
        <v>1</v>
      </c>
    </row>
    <row r="2" spans="1:12" s="2" customFormat="1" ht="16.350000000000001" customHeight="1" x14ac:dyDescent="0.25">
      <c r="A2" s="174" t="s">
        <v>86</v>
      </c>
      <c r="B2" s="175"/>
      <c r="C2" s="179">
        <v>2022</v>
      </c>
      <c r="D2" s="179">
        <f>C2+1</f>
        <v>2023</v>
      </c>
      <c r="E2" s="179">
        <f t="shared" ref="E2:J2" si="0">D2+1</f>
        <v>2024</v>
      </c>
      <c r="F2" s="179">
        <f t="shared" si="0"/>
        <v>2025</v>
      </c>
      <c r="G2" s="179">
        <f t="shared" si="0"/>
        <v>2026</v>
      </c>
      <c r="H2" s="179">
        <f t="shared" si="0"/>
        <v>2027</v>
      </c>
      <c r="I2" s="179">
        <f t="shared" si="0"/>
        <v>2028</v>
      </c>
      <c r="J2" s="179">
        <f t="shared" si="0"/>
        <v>2029</v>
      </c>
      <c r="K2" s="179">
        <f t="shared" ref="K2" si="1">J2+1</f>
        <v>2030</v>
      </c>
      <c r="L2" s="179">
        <f t="shared" ref="L2" si="2">K2+1</f>
        <v>2031</v>
      </c>
    </row>
    <row r="3" spans="1:12" x14ac:dyDescent="0.25">
      <c r="A3" s="11" t="s">
        <v>124</v>
      </c>
      <c r="B3" s="4" t="s">
        <v>87</v>
      </c>
      <c r="D3" s="213"/>
      <c r="E3" s="23"/>
      <c r="F3" s="214">
        <f>IncState!F15</f>
        <v>1180548.425</v>
      </c>
      <c r="G3" s="214">
        <f>IncState!G15</f>
        <v>1442276.0108225001</v>
      </c>
      <c r="H3" s="214">
        <f>IncState!H15</f>
        <v>1757269.0915861339</v>
      </c>
      <c r="I3" s="214">
        <f>IncState!I15</f>
        <v>2135257.6731863115</v>
      </c>
      <c r="J3" s="214">
        <f>IncState!J15</f>
        <v>2587505.2483671722</v>
      </c>
      <c r="K3" s="214">
        <f>IncState!K15</f>
        <v>3127000.0926517271</v>
      </c>
      <c r="L3" s="214">
        <f>IncState!L15</f>
        <v>3768660.5116638616</v>
      </c>
    </row>
    <row r="4" spans="1:12" x14ac:dyDescent="0.25">
      <c r="B4" s="4" t="s">
        <v>54</v>
      </c>
      <c r="E4" s="27"/>
      <c r="F4" s="4">
        <f>IncState!F18</f>
        <v>76430.518500000006</v>
      </c>
      <c r="G4" s="4">
        <f>IncState!G18</f>
        <v>122220.68466789997</v>
      </c>
      <c r="H4" s="4">
        <f>IncState!H18</f>
        <v>184059.06403109198</v>
      </c>
      <c r="I4" s="4">
        <f>IncState!I18</f>
        <v>266355.32216790621</v>
      </c>
      <c r="J4" s="4">
        <f>IncState!J18</f>
        <v>374519.48437041184</v>
      </c>
      <c r="K4" s="4">
        <f>IncState!K18</f>
        <v>515146.7987146778</v>
      </c>
      <c r="L4" s="4">
        <f>IncState!L18</f>
        <v>696228.13204420684</v>
      </c>
    </row>
    <row r="5" spans="1:12" x14ac:dyDescent="0.25">
      <c r="B5" s="30" t="s">
        <v>92</v>
      </c>
      <c r="C5" s="30"/>
      <c r="D5" s="30"/>
      <c r="E5" s="39"/>
      <c r="F5" s="43">
        <f>Assumptions!F16</f>
        <v>0.2</v>
      </c>
      <c r="G5" s="43">
        <f>Assumptions!G16</f>
        <v>0.2</v>
      </c>
      <c r="H5" s="43">
        <f>Assumptions!H16</f>
        <v>0.2</v>
      </c>
      <c r="I5" s="43">
        <f>Assumptions!I16</f>
        <v>0.2</v>
      </c>
      <c r="J5" s="43">
        <f>Assumptions!J16</f>
        <v>0.2</v>
      </c>
      <c r="K5" s="43">
        <f>Assumptions!K16</f>
        <v>0.2</v>
      </c>
      <c r="L5" s="43">
        <f>Assumptions!L16</f>
        <v>0.2</v>
      </c>
    </row>
    <row r="6" spans="1:12" x14ac:dyDescent="0.25">
      <c r="C6" s="5"/>
      <c r="D6" s="5"/>
      <c r="E6" s="23"/>
      <c r="F6" s="5"/>
      <c r="G6" s="5"/>
      <c r="H6" s="5"/>
      <c r="I6" s="5"/>
      <c r="J6" s="5"/>
      <c r="K6" s="5"/>
      <c r="L6" s="5"/>
    </row>
    <row r="7" spans="1:12" x14ac:dyDescent="0.25">
      <c r="A7" s="24" t="s">
        <v>124</v>
      </c>
      <c r="B7" s="21" t="s">
        <v>88</v>
      </c>
      <c r="C7" s="118"/>
      <c r="D7" s="118"/>
      <c r="E7" s="118"/>
      <c r="F7" s="133">
        <f t="shared" ref="F7:J7" si="3">F4*(1-F5)</f>
        <v>61144.414800000006</v>
      </c>
      <c r="G7" s="133">
        <f t="shared" ref="G7:L7" si="4">G4*(1-G5)</f>
        <v>97776.547734319989</v>
      </c>
      <c r="H7" s="133">
        <f t="shared" si="4"/>
        <v>147247.25122487359</v>
      </c>
      <c r="I7" s="133">
        <f t="shared" si="4"/>
        <v>213084.25773432499</v>
      </c>
      <c r="J7" s="133">
        <f t="shared" si="4"/>
        <v>299615.58749632951</v>
      </c>
      <c r="K7" s="133">
        <f t="shared" si="4"/>
        <v>412117.43897174229</v>
      </c>
      <c r="L7" s="133">
        <f t="shared" si="4"/>
        <v>556982.50563536549</v>
      </c>
    </row>
    <row r="8" spans="1:12" x14ac:dyDescent="0.25">
      <c r="B8" s="4" t="s">
        <v>15</v>
      </c>
      <c r="C8" s="118"/>
      <c r="D8" s="118"/>
      <c r="E8" s="119"/>
      <c r="F8" s="134">
        <f>CashFlow!F4</f>
        <v>67610.375954761592</v>
      </c>
      <c r="G8" s="134">
        <f>CashFlow!G4</f>
        <v>73347.036263479516</v>
      </c>
      <c r="H8" s="134">
        <f>CashFlow!H4</f>
        <v>80554.158458540216</v>
      </c>
      <c r="I8" s="134">
        <f>CashFlow!I4</f>
        <v>89337.800198746452</v>
      </c>
      <c r="J8" s="134">
        <f>CashFlow!J4</f>
        <v>99803.249423358982</v>
      </c>
      <c r="K8" s="134">
        <f>CashFlow!K4</f>
        <v>112049.17488354618</v>
      </c>
      <c r="L8" s="134">
        <f>CashFlow!L4</f>
        <v>126160.1453552497</v>
      </c>
    </row>
    <row r="9" spans="1:12" x14ac:dyDescent="0.25">
      <c r="B9" s="4" t="s">
        <v>53</v>
      </c>
      <c r="C9" s="5"/>
      <c r="D9" s="5"/>
      <c r="E9" s="23"/>
      <c r="F9" s="135">
        <f>CashFlow!F5</f>
        <v>0</v>
      </c>
      <c r="G9" s="135">
        <f>CashFlow!G5</f>
        <v>0</v>
      </c>
      <c r="H9" s="135">
        <f>CashFlow!H5</f>
        <v>0</v>
      </c>
      <c r="I9" s="135">
        <f>CashFlow!I5</f>
        <v>0</v>
      </c>
      <c r="J9" s="135">
        <f>CashFlow!J5</f>
        <v>0</v>
      </c>
      <c r="K9" s="135">
        <f>CashFlow!K5</f>
        <v>0</v>
      </c>
      <c r="L9" s="135">
        <f>CashFlow!L5</f>
        <v>0</v>
      </c>
    </row>
    <row r="10" spans="1:12" x14ac:dyDescent="0.25">
      <c r="B10" s="4" t="s">
        <v>89</v>
      </c>
      <c r="C10" s="5"/>
      <c r="D10" s="5"/>
      <c r="E10" s="23"/>
      <c r="F10" s="135">
        <f>CashFlow!F6</f>
        <v>17378.745065094248</v>
      </c>
      <c r="G10" s="135">
        <f>CashFlow!G6</f>
        <v>20546.538094406991</v>
      </c>
      <c r="H10" s="135">
        <f>CashFlow!H6</f>
        <v>24209.36047514659</v>
      </c>
      <c r="I10" s="135">
        <f>CashFlow!I6</f>
        <v>28427.331573624921</v>
      </c>
      <c r="J10" s="135">
        <f>CashFlow!J6</f>
        <v>33264.405545361689</v>
      </c>
      <c r="K10" s="135">
        <f>CashFlow!K6</f>
        <v>38787.884007078421</v>
      </c>
      <c r="L10" s="135">
        <f>CashFlow!L6</f>
        <v>45067.731271948665</v>
      </c>
    </row>
    <row r="11" spans="1:12" x14ac:dyDescent="0.25">
      <c r="B11" s="4" t="s">
        <v>162</v>
      </c>
      <c r="C11" s="5"/>
      <c r="D11" s="5"/>
      <c r="E11" s="23"/>
      <c r="F11" s="135">
        <f>CashFlow!F7</f>
        <v>65676.515749999991</v>
      </c>
      <c r="G11" s="135">
        <f>CashFlow!G7</f>
        <v>-2617.2758582250008</v>
      </c>
      <c r="H11" s="135">
        <f>CashFlow!H7</f>
        <v>-3149.9308076363359</v>
      </c>
      <c r="I11" s="135">
        <f>CashFlow!I7</f>
        <v>-3779.8858160017771</v>
      </c>
      <c r="J11" s="135">
        <f>CashFlow!J7</f>
        <v>-4522.475751808608</v>
      </c>
      <c r="K11" s="135">
        <f>CashFlow!K7</f>
        <v>-5394.9484428455471</v>
      </c>
      <c r="L11" s="135">
        <f>CashFlow!L7</f>
        <v>-6416.6041901213466</v>
      </c>
    </row>
    <row r="12" spans="1:12" x14ac:dyDescent="0.25">
      <c r="B12" s="4" t="s">
        <v>163</v>
      </c>
      <c r="E12" s="27"/>
      <c r="F12" s="135">
        <f>CashFlow!F8</f>
        <v>76830.07500000007</v>
      </c>
      <c r="G12" s="135">
        <f>CashFlow!G8</f>
        <v>92736.461527500011</v>
      </c>
      <c r="H12" s="135">
        <f>CashFlow!H8</f>
        <v>111609.72437760589</v>
      </c>
      <c r="I12" s="135">
        <f>CashFlow!I8</f>
        <v>133930.56542068836</v>
      </c>
      <c r="J12" s="135">
        <f>CashFlow!J8</f>
        <v>160242.33641580329</v>
      </c>
      <c r="K12" s="135">
        <f>CashFlow!K8</f>
        <v>191156.1699316228</v>
      </c>
      <c r="L12" s="135">
        <f>CashFlow!L8</f>
        <v>227355.92266454501</v>
      </c>
    </row>
    <row r="13" spans="1:12" x14ac:dyDescent="0.25">
      <c r="B13" s="4" t="s">
        <v>90</v>
      </c>
      <c r="E13" s="27"/>
      <c r="F13" s="131">
        <f>CashFlow!F11</f>
        <v>-126557.73287499999</v>
      </c>
      <c r="G13" s="131">
        <f>CashFlow!G11</f>
        <v>-147404.20219927499</v>
      </c>
      <c r="H13" s="131">
        <f>CashFlow!H11</f>
        <v>-170810.93450166594</v>
      </c>
      <c r="I13" s="131">
        <f>CashFlow!I11</f>
        <v>-196876.07814704275</v>
      </c>
      <c r="J13" s="131">
        <f>CashFlow!J11</f>
        <v>-225636.90525675053</v>
      </c>
      <c r="K13" s="131">
        <f>CashFlow!K11</f>
        <v>-257047.1995395243</v>
      </c>
      <c r="L13" s="131">
        <f>CashFlow!L11</f>
        <v>-290949.98232671537</v>
      </c>
    </row>
    <row r="14" spans="1:12" x14ac:dyDescent="0.25">
      <c r="E14" s="62"/>
      <c r="F14" s="136"/>
      <c r="G14" s="136"/>
      <c r="H14" s="136"/>
      <c r="I14" s="136"/>
      <c r="J14" s="136"/>
      <c r="K14" s="136"/>
      <c r="L14" s="136"/>
    </row>
    <row r="15" spans="1:12" s="11" customFormat="1" x14ac:dyDescent="0.25">
      <c r="A15" s="24" t="s">
        <v>124</v>
      </c>
      <c r="B15" s="34" t="s">
        <v>91</v>
      </c>
      <c r="C15" s="34"/>
      <c r="D15" s="34"/>
      <c r="E15" s="34"/>
      <c r="F15" s="34">
        <f>SUM(F7:F13)</f>
        <v>162082.39369485597</v>
      </c>
      <c r="G15" s="34">
        <f t="shared" ref="G15:L15" si="5">SUM(G7:G13)</f>
        <v>134385.1055622065</v>
      </c>
      <c r="H15" s="34">
        <f t="shared" si="5"/>
        <v>189659.62922686402</v>
      </c>
      <c r="I15" s="34">
        <f t="shared" si="5"/>
        <v>264123.99096434016</v>
      </c>
      <c r="J15" s="34">
        <f t="shared" si="5"/>
        <v>362766.19787229435</v>
      </c>
      <c r="K15" s="34">
        <f t="shared" si="5"/>
        <v>491668.51981161989</v>
      </c>
      <c r="L15" s="34">
        <f t="shared" si="5"/>
        <v>658199.71841027203</v>
      </c>
    </row>
    <row r="16" spans="1:12" x14ac:dyDescent="0.25">
      <c r="B16" s="65"/>
      <c r="C16" s="65"/>
      <c r="D16" s="65"/>
      <c r="E16" s="65"/>
      <c r="F16" s="65"/>
      <c r="G16" s="65"/>
      <c r="H16" s="65"/>
      <c r="I16" s="83"/>
      <c r="J16" s="83"/>
      <c r="K16" s="83"/>
      <c r="L16" s="83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E8" sqref="E8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226" t="str">
        <f>CoName</f>
        <v>Cava Group Inc.</v>
      </c>
    </row>
    <row r="2" spans="1:13" x14ac:dyDescent="0.25">
      <c r="G2" s="146"/>
    </row>
    <row r="3" spans="1:13" x14ac:dyDescent="0.25">
      <c r="A3" s="27" t="s">
        <v>124</v>
      </c>
      <c r="B3" s="160" t="s">
        <v>100</v>
      </c>
      <c r="C3" s="161"/>
      <c r="D3" s="161"/>
      <c r="E3" s="162"/>
      <c r="F3" s="11"/>
      <c r="G3" s="76" t="s">
        <v>108</v>
      </c>
      <c r="H3" s="76" t="s">
        <v>103</v>
      </c>
      <c r="I3" s="76" t="s">
        <v>104</v>
      </c>
      <c r="J3" s="76" t="s">
        <v>105</v>
      </c>
      <c r="K3" s="76" t="s">
        <v>106</v>
      </c>
      <c r="L3" s="76" t="s">
        <v>111</v>
      </c>
      <c r="M3" s="76" t="s">
        <v>107</v>
      </c>
    </row>
    <row r="4" spans="1:13" x14ac:dyDescent="0.25">
      <c r="A4" s="27"/>
      <c r="B4" s="229" t="s">
        <v>164</v>
      </c>
      <c r="C4" s="66"/>
      <c r="D4" s="71"/>
      <c r="E4" s="230">
        <f>Assumptions!F16</f>
        <v>0.2</v>
      </c>
      <c r="G4" s="138"/>
      <c r="H4" s="139"/>
      <c r="I4" s="79"/>
      <c r="J4" s="80"/>
      <c r="K4" s="141"/>
      <c r="L4" s="151">
        <f>E4</f>
        <v>0.2</v>
      </c>
      <c r="M4" s="142">
        <f>H4/((1+K4*(1-L4)))</f>
        <v>0</v>
      </c>
    </row>
    <row r="5" spans="1:13" x14ac:dyDescent="0.25">
      <c r="A5" s="27"/>
      <c r="B5" s="66" t="s">
        <v>93</v>
      </c>
      <c r="C5" s="66"/>
      <c r="D5" s="71"/>
      <c r="E5" s="137">
        <v>4.1000000000000002E-2</v>
      </c>
      <c r="G5" s="138"/>
      <c r="H5" s="139"/>
      <c r="I5" s="79"/>
      <c r="J5" s="80"/>
      <c r="K5" s="141"/>
      <c r="L5" s="151">
        <f>L4</f>
        <v>0.2</v>
      </c>
      <c r="M5" s="142">
        <f t="shared" ref="M5:M7" si="0">H5/((1+K5*(1-L5)))</f>
        <v>0</v>
      </c>
    </row>
    <row r="6" spans="1:13" x14ac:dyDescent="0.25">
      <c r="A6" s="27"/>
      <c r="B6" s="66" t="s">
        <v>94</v>
      </c>
      <c r="C6" s="66"/>
      <c r="D6" s="71"/>
      <c r="E6" s="137">
        <v>0.05</v>
      </c>
      <c r="G6" s="138"/>
      <c r="H6" s="140"/>
      <c r="I6" s="81"/>
      <c r="J6" s="80"/>
      <c r="K6" s="141"/>
      <c r="L6" s="151">
        <f t="shared" ref="L6:L7" si="1">L5</f>
        <v>0.2</v>
      </c>
      <c r="M6" s="142">
        <f t="shared" si="0"/>
        <v>0</v>
      </c>
    </row>
    <row r="7" spans="1:13" x14ac:dyDescent="0.25">
      <c r="A7" s="27"/>
      <c r="B7" s="66" t="s">
        <v>95</v>
      </c>
      <c r="C7" s="66"/>
      <c r="D7" s="71"/>
      <c r="E7" s="197">
        <v>0.82</v>
      </c>
      <c r="G7" s="138"/>
      <c r="H7" s="140"/>
      <c r="I7" s="81"/>
      <c r="J7" s="82"/>
      <c r="K7" s="141"/>
      <c r="L7" s="151">
        <f t="shared" si="1"/>
        <v>0.2</v>
      </c>
      <c r="M7" s="142">
        <f t="shared" si="0"/>
        <v>0</v>
      </c>
    </row>
    <row r="8" spans="1:13" x14ac:dyDescent="0.25">
      <c r="A8" s="27"/>
      <c r="B8" s="66" t="s">
        <v>96</v>
      </c>
      <c r="C8" s="66"/>
      <c r="D8" s="71"/>
      <c r="E8" s="137">
        <f>E5+E6*E7</f>
        <v>8.2000000000000003E-2</v>
      </c>
      <c r="L8" s="65"/>
    </row>
    <row r="9" spans="1:13" x14ac:dyDescent="0.25">
      <c r="A9" s="27"/>
      <c r="B9" s="67" t="s">
        <v>97</v>
      </c>
      <c r="C9" s="67"/>
      <c r="D9" s="72"/>
      <c r="E9" s="143">
        <v>1</v>
      </c>
      <c r="G9" s="4" t="s">
        <v>109</v>
      </c>
      <c r="L9" s="27"/>
      <c r="M9" s="196">
        <f>AVERAGE(M4:M7)</f>
        <v>0</v>
      </c>
    </row>
    <row r="10" spans="1:13" x14ac:dyDescent="0.25">
      <c r="A10" s="27"/>
      <c r="B10" s="68" t="s">
        <v>98</v>
      </c>
      <c r="C10" s="68"/>
      <c r="D10" s="73"/>
      <c r="E10" s="144">
        <f>MAIN!F8/MAIN!F6</f>
        <v>0</v>
      </c>
      <c r="M10" s="65"/>
    </row>
    <row r="11" spans="1:13" x14ac:dyDescent="0.25">
      <c r="A11" s="27"/>
      <c r="B11" s="159" t="s">
        <v>175</v>
      </c>
      <c r="C11" s="69"/>
      <c r="D11" s="74"/>
      <c r="E11" s="145">
        <f>Assumptions!F23</f>
        <v>0.05</v>
      </c>
      <c r="G11" s="4" t="s">
        <v>110</v>
      </c>
      <c r="L11" s="27"/>
      <c r="M11" s="196">
        <f>M9*(1+E10*(1-E4))</f>
        <v>0</v>
      </c>
    </row>
    <row r="12" spans="1:13" x14ac:dyDescent="0.25">
      <c r="A12" s="27"/>
      <c r="B12" s="70" t="s">
        <v>99</v>
      </c>
      <c r="C12" s="70"/>
      <c r="D12" s="75"/>
      <c r="E12" s="145">
        <f>E11*(1-E4)</f>
        <v>4.0000000000000008E-2</v>
      </c>
      <c r="M12" s="65"/>
    </row>
    <row r="13" spans="1:13" s="11" customFormat="1" x14ac:dyDescent="0.25">
      <c r="A13" s="24" t="s">
        <v>124</v>
      </c>
      <c r="B13" s="160" t="s">
        <v>100</v>
      </c>
      <c r="C13" s="161"/>
      <c r="D13" s="162"/>
      <c r="E13" s="156">
        <f>WACC!E8*WACC!E9+WACC!E12*WACC!E10</f>
        <v>8.2000000000000003E-2</v>
      </c>
      <c r="F13" s="4"/>
    </row>
    <row r="14" spans="1:13" s="11" customFormat="1" x14ac:dyDescent="0.25">
      <c r="A14" s="24"/>
      <c r="B14" s="76" t="s">
        <v>101</v>
      </c>
      <c r="C14" s="76"/>
      <c r="D14" s="113"/>
      <c r="E14" s="147">
        <v>2.5000000000000001E-2</v>
      </c>
      <c r="F14" s="4"/>
    </row>
    <row r="15" spans="1:13" x14ac:dyDescent="0.25">
      <c r="B15" s="65"/>
      <c r="C15" s="65"/>
      <c r="D15" s="65"/>
      <c r="E15" s="65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Q44"/>
  <sheetViews>
    <sheetView showGridLines="0" tabSelected="1" zoomScaleNormal="100" workbookViewId="0">
      <selection activeCell="J2" sqref="J2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13" width="11.7109375" style="4" customWidth="1"/>
    <col min="14" max="16384" width="9" style="4"/>
  </cols>
  <sheetData>
    <row r="1" spans="1:14" ht="19.5" x14ac:dyDescent="0.3">
      <c r="A1" s="226" t="str">
        <f>CoName</f>
        <v>Cava Group Inc.</v>
      </c>
      <c r="B1" s="3"/>
      <c r="C1" s="3"/>
      <c r="D1" s="41" t="s">
        <v>1</v>
      </c>
      <c r="E1" s="41" t="s">
        <v>1</v>
      </c>
      <c r="F1" s="41" t="s">
        <v>1</v>
      </c>
      <c r="G1" s="41" t="s">
        <v>1</v>
      </c>
      <c r="H1" s="41" t="s">
        <v>1</v>
      </c>
      <c r="I1" s="41" t="s">
        <v>1</v>
      </c>
      <c r="J1" s="41" t="s">
        <v>1</v>
      </c>
      <c r="K1" s="41"/>
      <c r="L1" s="41"/>
      <c r="M1" s="41"/>
    </row>
    <row r="2" spans="1:14" x14ac:dyDescent="0.25">
      <c r="A2" s="76" t="s">
        <v>112</v>
      </c>
      <c r="B2" s="19"/>
      <c r="C2" s="42"/>
      <c r="D2" s="76">
        <v>0.5</v>
      </c>
      <c r="E2" s="76">
        <f>D2+1</f>
        <v>1.5</v>
      </c>
      <c r="F2" s="76">
        <f t="shared" ref="F2:H2" si="0">E2+1</f>
        <v>2.5</v>
      </c>
      <c r="G2" s="76">
        <f t="shared" si="0"/>
        <v>3.5</v>
      </c>
      <c r="H2" s="76">
        <f t="shared" si="0"/>
        <v>4.5</v>
      </c>
      <c r="I2" s="76">
        <f t="shared" ref="I2" si="1">H2+1</f>
        <v>5.5</v>
      </c>
      <c r="J2" s="76">
        <f t="shared" ref="J2" si="2">I2+1</f>
        <v>6.5</v>
      </c>
      <c r="K2" s="157"/>
      <c r="L2" s="157"/>
      <c r="M2" s="157"/>
      <c r="N2" s="157"/>
    </row>
    <row r="3" spans="1:14" x14ac:dyDescent="0.25">
      <c r="B3" s="4" t="s">
        <v>180</v>
      </c>
      <c r="D3" s="8">
        <f>1/(1+$K$17)^D2</f>
        <v>0.9613607115671603</v>
      </c>
      <c r="E3" s="8">
        <f t="shared" ref="E3:J3" si="3">1/(1+$K$17)^E2</f>
        <v>0.8885034302838819</v>
      </c>
      <c r="F3" s="8">
        <f t="shared" si="3"/>
        <v>0.82116768048417921</v>
      </c>
      <c r="G3" s="8">
        <f t="shared" si="3"/>
        <v>0.75893500968962946</v>
      </c>
      <c r="H3" s="8">
        <f t="shared" si="3"/>
        <v>0.70141867808653369</v>
      </c>
      <c r="I3" s="8">
        <f t="shared" si="3"/>
        <v>0.64826125516315491</v>
      </c>
      <c r="J3" s="8">
        <f t="shared" si="3"/>
        <v>0.59913239848720412</v>
      </c>
      <c r="K3" s="8"/>
    </row>
    <row r="4" spans="1:14" x14ac:dyDescent="0.25">
      <c r="B4" s="4" t="s">
        <v>181</v>
      </c>
      <c r="D4" s="4">
        <f>D3*'Free Cash Flow'!F15</f>
        <v>155819.64533499535</v>
      </c>
      <c r="E4" s="4">
        <f>E3*'Free Cash Flow'!G15</f>
        <v>119401.62727108205</v>
      </c>
      <c r="F4" s="4">
        <f>F3*'Free Cash Flow'!H15</f>
        <v>155742.35781371337</v>
      </c>
      <c r="G4" s="4">
        <f>G3*'Free Cash Flow'!I15</f>
        <v>200452.9436417851</v>
      </c>
      <c r="H4" s="4">
        <f>H3*'Free Cash Flow'!J15</f>
        <v>254450.9869660626</v>
      </c>
      <c r="I4" s="4">
        <f>I3*'Free Cash Flow'!K15</f>
        <v>318729.6517772912</v>
      </c>
      <c r="J4" s="4">
        <f>J3*'Free Cash Flow'!L15</f>
        <v>394348.77597474866</v>
      </c>
      <c r="K4" s="4">
        <f>(J4*(1+K18))/(K17-K18)</f>
        <v>7091359.5679669706</v>
      </c>
    </row>
    <row r="5" spans="1:14" x14ac:dyDescent="0.25">
      <c r="G5" s="146"/>
    </row>
    <row r="6" spans="1:14" x14ac:dyDescent="0.25">
      <c r="A6" s="76" t="s">
        <v>113</v>
      </c>
      <c r="B6" s="19"/>
      <c r="C6" s="42"/>
      <c r="D6" s="85"/>
      <c r="E6" s="76" t="s">
        <v>169</v>
      </c>
      <c r="F6" s="19"/>
      <c r="G6" s="42"/>
      <c r="H6" s="85" t="s">
        <v>165</v>
      </c>
    </row>
    <row r="7" spans="1:14" x14ac:dyDescent="0.25">
      <c r="B7" s="4" t="s">
        <v>114</v>
      </c>
      <c r="C7" s="4">
        <f>SUM(D4:J4)</f>
        <v>1598945.9887796782</v>
      </c>
      <c r="E7" s="4" t="s">
        <v>114</v>
      </c>
      <c r="G7" s="4">
        <f>C7</f>
        <v>1598945.9887796782</v>
      </c>
    </row>
    <row r="8" spans="1:14" x14ac:dyDescent="0.25">
      <c r="B8" s="4" t="s">
        <v>115</v>
      </c>
      <c r="C8" s="4">
        <f>K4*J3</f>
        <v>4248663.2664912343</v>
      </c>
      <c r="E8" s="4" t="s">
        <v>170</v>
      </c>
      <c r="G8" s="4">
        <f>G10*J3*IncState!L22</f>
        <v>7390791.9168914491</v>
      </c>
    </row>
    <row r="9" spans="1:14" x14ac:dyDescent="0.25">
      <c r="B9" s="4" t="s">
        <v>116</v>
      </c>
      <c r="C9" s="4">
        <f>SUM(C7:C8)</f>
        <v>5847609.2552709123</v>
      </c>
      <c r="E9" s="4" t="s">
        <v>116</v>
      </c>
      <c r="G9" s="4">
        <f>SUM(G7:G8)</f>
        <v>8989737.9056711271</v>
      </c>
    </row>
    <row r="10" spans="1:14" x14ac:dyDescent="0.25">
      <c r="C10" s="84"/>
      <c r="E10" s="4" t="s">
        <v>117</v>
      </c>
      <c r="G10" s="84">
        <v>15</v>
      </c>
    </row>
    <row r="11" spans="1:14" x14ac:dyDescent="0.25">
      <c r="I11" s="157"/>
    </row>
    <row r="12" spans="1:14" x14ac:dyDescent="0.25">
      <c r="B12" s="27" t="s">
        <v>118</v>
      </c>
      <c r="C12" s="37">
        <f>MAIN!F7</f>
        <v>387685</v>
      </c>
      <c r="E12" s="27" t="s">
        <v>118</v>
      </c>
      <c r="F12" s="154"/>
      <c r="G12" s="37">
        <f>C12</f>
        <v>387685</v>
      </c>
      <c r="I12" s="157"/>
    </row>
    <row r="13" spans="1:14" x14ac:dyDescent="0.25">
      <c r="B13" s="27" t="s">
        <v>119</v>
      </c>
      <c r="C13" s="37">
        <f>MAIN!F8</f>
        <v>0</v>
      </c>
      <c r="E13" s="27" t="s">
        <v>119</v>
      </c>
      <c r="F13" s="154"/>
      <c r="G13" s="37">
        <f>C13</f>
        <v>0</v>
      </c>
    </row>
    <row r="14" spans="1:14" x14ac:dyDescent="0.25">
      <c r="B14" s="27" t="s">
        <v>120</v>
      </c>
      <c r="C14" s="78">
        <v>0</v>
      </c>
      <c r="E14" s="4" t="s">
        <v>120</v>
      </c>
      <c r="G14" s="78">
        <v>0</v>
      </c>
    </row>
    <row r="15" spans="1:14" x14ac:dyDescent="0.25">
      <c r="B15" s="4" t="s">
        <v>121</v>
      </c>
      <c r="C15" s="65">
        <f>C9+C12-SUM(C13:C14)</f>
        <v>6235294.2552709123</v>
      </c>
      <c r="E15" s="4" t="s">
        <v>121</v>
      </c>
      <c r="G15" s="65">
        <f>G9+G12-SUM(G13:G14)</f>
        <v>9377422.9056711271</v>
      </c>
    </row>
    <row r="17" spans="1:17" x14ac:dyDescent="0.25">
      <c r="B17" s="4" t="s">
        <v>122</v>
      </c>
      <c r="C17" s="4">
        <f>MAIN!F5</f>
        <v>115986.12</v>
      </c>
      <c r="E17" s="4" t="s">
        <v>122</v>
      </c>
      <c r="G17" s="4">
        <f>C17</f>
        <v>115986.12</v>
      </c>
      <c r="I17" s="160" t="s">
        <v>100</v>
      </c>
      <c r="J17" s="161"/>
      <c r="K17" s="156">
        <f>WACC!E13</f>
        <v>8.2000000000000003E-2</v>
      </c>
    </row>
    <row r="18" spans="1:17" x14ac:dyDescent="0.25">
      <c r="A18" s="4" t="s">
        <v>124</v>
      </c>
      <c r="B18" s="148" t="s">
        <v>123</v>
      </c>
      <c r="C18" s="155">
        <f>C15/C17</f>
        <v>53.758969222100994</v>
      </c>
      <c r="E18" s="148" t="s">
        <v>123</v>
      </c>
      <c r="F18" s="154"/>
      <c r="G18" s="155">
        <f>G15/G17</f>
        <v>80.84952669915269</v>
      </c>
      <c r="H18" s="154"/>
      <c r="I18" s="76" t="s">
        <v>101</v>
      </c>
      <c r="J18" s="76"/>
      <c r="K18" s="147">
        <v>2.5000000000000001E-2</v>
      </c>
    </row>
    <row r="19" spans="1:17" x14ac:dyDescent="0.25">
      <c r="C19" s="21"/>
      <c r="I19" s="21"/>
      <c r="J19" s="21"/>
    </row>
    <row r="20" spans="1:17" x14ac:dyDescent="0.25">
      <c r="A20" s="114" t="s">
        <v>145</v>
      </c>
      <c r="B20" s="19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93"/>
    </row>
    <row r="21" spans="1:17" x14ac:dyDescent="0.25">
      <c r="B21" s="115"/>
      <c r="C21" s="115"/>
      <c r="D21" s="115"/>
      <c r="E21" s="115"/>
      <c r="F21" s="115"/>
      <c r="G21" s="115"/>
      <c r="H21" s="115"/>
      <c r="I21" s="115"/>
    </row>
    <row r="22" spans="1:17" x14ac:dyDescent="0.25">
      <c r="B22" s="115"/>
      <c r="C22" s="115" t="s">
        <v>146</v>
      </c>
      <c r="D22" s="115"/>
      <c r="E22" s="116">
        <v>5.0000000000000001E-3</v>
      </c>
      <c r="F22" s="115"/>
      <c r="G22" s="115"/>
      <c r="H22" s="115" t="s">
        <v>146</v>
      </c>
      <c r="I22" s="115"/>
      <c r="J22" s="116">
        <v>5.0000000000000001E-3</v>
      </c>
    </row>
    <row r="23" spans="1:17" x14ac:dyDescent="0.25">
      <c r="B23" s="115"/>
      <c r="C23" s="115" t="s">
        <v>147</v>
      </c>
      <c r="D23" s="115"/>
      <c r="E23" s="149">
        <v>2.5000000000000001E-3</v>
      </c>
      <c r="F23" s="115"/>
      <c r="G23" s="115"/>
      <c r="H23" s="115" t="s">
        <v>168</v>
      </c>
      <c r="I23" s="115"/>
      <c r="J23" s="153">
        <v>2</v>
      </c>
    </row>
    <row r="24" spans="1:17" x14ac:dyDescent="0.25">
      <c r="B24" s="115"/>
      <c r="C24" s="115"/>
      <c r="D24" s="115"/>
      <c r="E24" s="164"/>
      <c r="F24" s="115"/>
      <c r="G24" s="115"/>
      <c r="I24" s="115"/>
      <c r="J24" s="163"/>
    </row>
    <row r="25" spans="1:17" x14ac:dyDescent="0.25">
      <c r="B25" s="115"/>
      <c r="C25" s="216"/>
      <c r="D25" s="216"/>
      <c r="E25" s="216" t="s">
        <v>193</v>
      </c>
      <c r="F25" s="216"/>
      <c r="H25" s="216"/>
      <c r="I25" s="165"/>
      <c r="J25" s="165" t="s">
        <v>194</v>
      </c>
      <c r="K25" s="165"/>
      <c r="P25" s="165"/>
    </row>
    <row r="26" spans="1:17" x14ac:dyDescent="0.25">
      <c r="B26" s="11"/>
      <c r="C26" s="248">
        <f>C18</f>
        <v>53.758969222100994</v>
      </c>
      <c r="D26" s="217">
        <f>E26-E23</f>
        <v>2.2500000000000003E-2</v>
      </c>
      <c r="E26" s="217">
        <v>2.5000000000000001E-2</v>
      </c>
      <c r="F26" s="217">
        <f>E26+E23</f>
        <v>2.75E-2</v>
      </c>
      <c r="G26" s="215"/>
      <c r="H26" s="165">
        <f>G18</f>
        <v>80.84952669915269</v>
      </c>
      <c r="I26" s="252">
        <f>J26-J23</f>
        <v>13</v>
      </c>
      <c r="J26" s="252">
        <v>15</v>
      </c>
      <c r="K26" s="201">
        <f>J26+J23</f>
        <v>17</v>
      </c>
    </row>
    <row r="27" spans="1:17" x14ac:dyDescent="0.25">
      <c r="B27" s="11"/>
      <c r="C27" s="204">
        <f>C28+$E$22</f>
        <v>8.450000000000002E-2</v>
      </c>
      <c r="D27" s="247">
        <f t="dataTable" ref="D27:F31" dt2D="1" dtr="1" r1="K18" r2="K17"/>
        <v>49.595105172792813</v>
      </c>
      <c r="E27" s="249">
        <v>51.047980500818532</v>
      </c>
      <c r="F27" s="246">
        <v>52.628301033057035</v>
      </c>
      <c r="G27" s="217"/>
      <c r="H27" s="202">
        <f t="shared" ref="H27:H28" si="4">C27</f>
        <v>8.450000000000002E-2</v>
      </c>
      <c r="I27" s="247">
        <f t="dataTable" ref="I27:K31" dt2D="1" dtr="1" r1="G10" r2="K17" ca="1"/>
        <v>71.39640328475042</v>
      </c>
      <c r="J27" s="251">
        <v>79.766081668633504</v>
      </c>
      <c r="K27" s="247">
        <v>88.135760052516602</v>
      </c>
      <c r="N27" s="218"/>
      <c r="P27" s="165"/>
    </row>
    <row r="28" spans="1:17" x14ac:dyDescent="0.25">
      <c r="B28" s="11"/>
      <c r="C28" s="204">
        <f>C29+$E$22</f>
        <v>7.9500000000000015E-2</v>
      </c>
      <c r="D28" s="247">
        <v>54.921797521803519</v>
      </c>
      <c r="E28" s="249">
        <v>56.745477215301143</v>
      </c>
      <c r="F28" s="247">
        <v>58.744510725481234</v>
      </c>
      <c r="G28" s="165"/>
      <c r="H28" s="202">
        <f t="shared" si="4"/>
        <v>7.9500000000000015E-2</v>
      </c>
      <c r="I28" s="247">
        <v>73.326597098804697</v>
      </c>
      <c r="J28" s="251">
        <v>81.95148944230867</v>
      </c>
      <c r="K28" s="247">
        <v>90.576381785812643</v>
      </c>
      <c r="N28" s="219"/>
      <c r="O28" s="47"/>
      <c r="P28" s="47"/>
      <c r="Q28" s="47"/>
    </row>
    <row r="29" spans="1:17" x14ac:dyDescent="0.25">
      <c r="C29" s="204">
        <v>7.4500000000000011E-2</v>
      </c>
      <c r="D29" s="251">
        <v>61.389788192010514</v>
      </c>
      <c r="E29" s="250">
        <v>63.716840254776827</v>
      </c>
      <c r="F29" s="251">
        <v>66.291451047624676</v>
      </c>
      <c r="G29" s="165"/>
      <c r="H29" s="202">
        <f>C29</f>
        <v>7.4500000000000011E-2</v>
      </c>
      <c r="I29" s="251">
        <v>75.323300832563135</v>
      </c>
      <c r="J29" s="251">
        <v>84.212428780304009</v>
      </c>
      <c r="K29" s="251">
        <v>93.101556728044898</v>
      </c>
      <c r="N29" s="219"/>
      <c r="O29" s="47"/>
      <c r="P29" s="47"/>
      <c r="Q29" s="47"/>
    </row>
    <row r="30" spans="1:17" x14ac:dyDescent="0.25">
      <c r="C30" s="204">
        <f>C29-$E$22</f>
        <v>6.9500000000000006E-2</v>
      </c>
      <c r="D30" s="247">
        <v>69.373955485637694</v>
      </c>
      <c r="E30" s="251">
        <v>72.402711883146267</v>
      </c>
      <c r="F30" s="247">
        <v>75.792034518453448</v>
      </c>
      <c r="G30" s="202"/>
      <c r="H30" s="202">
        <f t="shared" ref="H30:H31" si="5">C30</f>
        <v>6.9500000000000006E-2</v>
      </c>
      <c r="I30" s="247">
        <v>77.389154105365421</v>
      </c>
      <c r="J30" s="251">
        <v>86.551902440195278</v>
      </c>
      <c r="K30" s="246">
        <v>95.714650775025135</v>
      </c>
      <c r="M30" s="47"/>
      <c r="N30" s="47"/>
      <c r="O30" s="84"/>
      <c r="P30" s="84"/>
      <c r="Q30" s="84"/>
    </row>
    <row r="31" spans="1:17" x14ac:dyDescent="0.25">
      <c r="C31" s="204">
        <f>C30-$E$22</f>
        <v>6.4500000000000002E-2</v>
      </c>
      <c r="D31" s="247">
        <v>79.42868277021644</v>
      </c>
      <c r="E31" s="251">
        <v>83.467900881234442</v>
      </c>
      <c r="F31" s="247">
        <v>88.052959277525176</v>
      </c>
      <c r="G31" s="202"/>
      <c r="H31" s="202">
        <f t="shared" si="5"/>
        <v>6.4500000000000002E-2</v>
      </c>
      <c r="I31" s="247">
        <v>79.526914769819911</v>
      </c>
      <c r="J31" s="251">
        <v>88.973047827034108</v>
      </c>
      <c r="K31" s="246">
        <v>98.419180884248334</v>
      </c>
      <c r="M31" s="47"/>
      <c r="N31" s="47"/>
      <c r="O31" s="84"/>
      <c r="P31" s="84"/>
      <c r="Q31" s="84"/>
    </row>
    <row r="32" spans="1:17" x14ac:dyDescent="0.25">
      <c r="D32" s="47"/>
      <c r="E32" s="146"/>
      <c r="F32" s="202"/>
      <c r="G32" s="202"/>
      <c r="H32" s="203"/>
      <c r="I32" s="203"/>
      <c r="J32" s="203"/>
      <c r="K32" s="220"/>
      <c r="L32" s="146"/>
      <c r="M32" s="47"/>
      <c r="N32" s="47"/>
      <c r="O32" s="84"/>
      <c r="P32" s="84"/>
      <c r="Q32" s="84"/>
    </row>
    <row r="33" spans="2:17" x14ac:dyDescent="0.25">
      <c r="D33" s="47"/>
      <c r="E33" s="199"/>
      <c r="F33" s="202"/>
      <c r="G33" s="202"/>
      <c r="H33" s="203"/>
      <c r="I33" s="203"/>
      <c r="J33" s="203"/>
      <c r="K33" s="218"/>
      <c r="M33" s="47"/>
      <c r="N33" s="47"/>
      <c r="O33" s="84"/>
      <c r="P33" s="84"/>
      <c r="Q33" s="84"/>
    </row>
    <row r="34" spans="2:17" x14ac:dyDescent="0.25">
      <c r="D34" s="47"/>
      <c r="E34" s="199"/>
      <c r="F34" s="202"/>
      <c r="G34" s="202"/>
      <c r="H34" s="203"/>
      <c r="I34" s="203"/>
      <c r="J34" s="203"/>
      <c r="K34" s="218"/>
      <c r="M34" s="47"/>
      <c r="N34" s="47"/>
      <c r="O34" s="84"/>
      <c r="P34" s="84"/>
      <c r="Q34" s="84"/>
    </row>
    <row r="35" spans="2:17" x14ac:dyDescent="0.25">
      <c r="B35" s="221"/>
      <c r="C35" s="221"/>
      <c r="D35" s="221"/>
      <c r="E35" s="222"/>
      <c r="F35" s="223"/>
      <c r="G35" s="222"/>
    </row>
    <row r="36" spans="2:17" x14ac:dyDescent="0.25">
      <c r="B36" s="115"/>
      <c r="C36" s="115"/>
      <c r="D36" s="115"/>
      <c r="E36" s="115"/>
      <c r="F36" s="216"/>
      <c r="G36" s="216"/>
      <c r="H36" s="216"/>
      <c r="I36" s="165"/>
      <c r="J36" s="165"/>
      <c r="P36" s="165"/>
    </row>
    <row r="37" spans="2:17" x14ac:dyDescent="0.25">
      <c r="F37" s="204"/>
      <c r="G37" s="204"/>
      <c r="H37" s="202"/>
      <c r="I37" s="202"/>
      <c r="J37" s="202"/>
      <c r="M37" s="165"/>
      <c r="O37" s="84"/>
      <c r="P37" s="84"/>
      <c r="Q37" s="84"/>
    </row>
    <row r="38" spans="2:17" x14ac:dyDescent="0.25">
      <c r="E38" s="47"/>
      <c r="F38" s="201"/>
      <c r="G38" s="201"/>
      <c r="H38" s="202"/>
      <c r="I38" s="202"/>
      <c r="J38" s="202"/>
      <c r="L38" s="84"/>
      <c r="M38" s="84"/>
      <c r="N38" s="245"/>
      <c r="O38" s="84"/>
      <c r="P38" s="84"/>
      <c r="Q38" s="84"/>
    </row>
    <row r="39" spans="2:17" x14ac:dyDescent="0.25">
      <c r="E39" s="47"/>
      <c r="F39" s="202"/>
      <c r="G39" s="202"/>
      <c r="H39" s="201"/>
      <c r="I39" s="201"/>
      <c r="J39" s="201"/>
      <c r="K39" s="47"/>
      <c r="M39" s="47"/>
      <c r="N39" s="47"/>
      <c r="O39" s="224"/>
      <c r="P39" s="224"/>
      <c r="Q39" s="224"/>
    </row>
    <row r="40" spans="2:17" x14ac:dyDescent="0.25">
      <c r="D40" s="8"/>
      <c r="E40" s="47"/>
      <c r="F40" s="202"/>
      <c r="G40" s="202"/>
      <c r="H40" s="201"/>
      <c r="I40" s="201"/>
      <c r="J40" s="201"/>
      <c r="K40" s="8"/>
      <c r="L40" s="47"/>
      <c r="M40" s="47"/>
      <c r="N40" s="47"/>
      <c r="O40" s="224"/>
      <c r="P40" s="224"/>
      <c r="Q40" s="224"/>
    </row>
    <row r="41" spans="2:17" x14ac:dyDescent="0.25">
      <c r="D41" s="8"/>
      <c r="E41" s="146"/>
      <c r="F41" s="202"/>
      <c r="G41" s="202"/>
      <c r="H41" s="201"/>
      <c r="I41" s="201"/>
      <c r="J41" s="201"/>
      <c r="K41" s="8"/>
      <c r="L41" s="146"/>
      <c r="M41" s="47"/>
      <c r="N41" s="47"/>
      <c r="O41" s="224"/>
      <c r="P41" s="224"/>
      <c r="Q41" s="224"/>
    </row>
    <row r="42" spans="2:17" x14ac:dyDescent="0.25">
      <c r="D42" s="8"/>
      <c r="E42" s="47"/>
      <c r="F42" s="202"/>
      <c r="G42" s="202"/>
      <c r="H42" s="201"/>
      <c r="I42" s="201"/>
      <c r="J42" s="201"/>
      <c r="K42" s="8"/>
      <c r="L42" s="47"/>
      <c r="M42" s="47"/>
      <c r="N42" s="47"/>
      <c r="O42" s="224"/>
      <c r="P42" s="224"/>
      <c r="Q42" s="224"/>
    </row>
    <row r="43" spans="2:17" x14ac:dyDescent="0.25">
      <c r="D43" s="8"/>
      <c r="E43" s="8"/>
      <c r="F43" s="202"/>
      <c r="G43" s="202"/>
      <c r="H43" s="201"/>
      <c r="I43" s="201"/>
      <c r="J43" s="201"/>
      <c r="K43" s="8"/>
      <c r="L43" s="47"/>
      <c r="M43" s="47"/>
      <c r="N43" s="47"/>
      <c r="O43" s="224"/>
      <c r="P43" s="224"/>
      <c r="Q43" s="224"/>
    </row>
    <row r="44" spans="2:17" x14ac:dyDescent="0.25">
      <c r="D44" s="8"/>
      <c r="E44" s="8"/>
      <c r="F44" s="84"/>
      <c r="G44" s="84"/>
      <c r="H44" s="84"/>
      <c r="J44" s="8"/>
      <c r="K44" s="8"/>
      <c r="L44" s="47"/>
      <c r="M44" s="47"/>
      <c r="N44" s="47"/>
    </row>
  </sheetData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purl.org/dc/elements/1.1/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88a26cf8-717e-46a4-ac0d-03f11284dc6b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MAIN</vt:lpstr>
      <vt:lpstr>Quarterly Projections</vt:lpstr>
      <vt:lpstr>Assumptions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Ccy</vt:lpstr>
      <vt:lpstr>circ</vt:lpstr>
      <vt:lpstr>CoName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2025-12-08T01:37:34Z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