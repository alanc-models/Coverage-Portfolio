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2BA23AE1-D2DD-421B-B20A-97949DA63D71}" xr6:coauthVersionLast="47" xr6:coauthVersionMax="47" xr10:uidLastSave="{00000000-0000-0000-0000-000000000000}"/>
  <bookViews>
    <workbookView xWindow="-105" yWindow="0" windowWidth="19410" windowHeight="21705" tabRatio="808" activeTab="1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2" l="1"/>
  <c r="H29" i="12"/>
  <c r="H30" i="12"/>
  <c r="H31" i="12"/>
  <c r="H27" i="12"/>
  <c r="K26" i="12"/>
  <c r="I26" i="12"/>
  <c r="C31" i="12"/>
  <c r="C30" i="12"/>
  <c r="C27" i="12"/>
  <c r="C28" i="12"/>
  <c r="D26" i="12"/>
  <c r="F26" i="12"/>
  <c r="G17" i="12"/>
  <c r="G13" i="12"/>
  <c r="G14" i="12"/>
  <c r="G12" i="12"/>
  <c r="C17" i="12"/>
  <c r="C13" i="12"/>
  <c r="C12" i="12"/>
  <c r="E9" i="11"/>
  <c r="F8" i="3"/>
  <c r="F7" i="3"/>
  <c r="G3" i="10"/>
  <c r="H3" i="10"/>
  <c r="I3" i="10"/>
  <c r="J3" i="10"/>
  <c r="K3" i="10"/>
  <c r="L3" i="10"/>
  <c r="G4" i="10"/>
  <c r="H4" i="10"/>
  <c r="I4" i="10"/>
  <c r="J4" i="10"/>
  <c r="K4" i="10"/>
  <c r="L4" i="10"/>
  <c r="G5" i="10"/>
  <c r="H5" i="10"/>
  <c r="I5" i="10"/>
  <c r="J5" i="10"/>
  <c r="K5" i="10"/>
  <c r="L5" i="10"/>
  <c r="G7" i="10"/>
  <c r="H7" i="10"/>
  <c r="I7" i="10"/>
  <c r="J7" i="10"/>
  <c r="K7" i="10"/>
  <c r="L7" i="10"/>
  <c r="G8" i="10"/>
  <c r="H8" i="10"/>
  <c r="I8" i="10"/>
  <c r="J8" i="10"/>
  <c r="K8" i="10"/>
  <c r="L8" i="10"/>
  <c r="G9" i="10"/>
  <c r="H9" i="10"/>
  <c r="I9" i="10"/>
  <c r="J9" i="10"/>
  <c r="K9" i="10"/>
  <c r="L9" i="10"/>
  <c r="G10" i="10"/>
  <c r="H10" i="10"/>
  <c r="I10" i="10"/>
  <c r="J10" i="10"/>
  <c r="K10" i="10"/>
  <c r="L10" i="10"/>
  <c r="G11" i="10"/>
  <c r="H11" i="10"/>
  <c r="I11" i="10"/>
  <c r="J11" i="10"/>
  <c r="K11" i="10"/>
  <c r="L11" i="10"/>
  <c r="G12" i="10"/>
  <c r="H12" i="10"/>
  <c r="I12" i="10"/>
  <c r="J12" i="10"/>
  <c r="K12" i="10"/>
  <c r="L12" i="10"/>
  <c r="G13" i="10"/>
  <c r="H13" i="10"/>
  <c r="I13" i="10"/>
  <c r="J13" i="10"/>
  <c r="K13" i="10"/>
  <c r="L13" i="10"/>
  <c r="G15" i="10"/>
  <c r="H15" i="10"/>
  <c r="I15" i="10"/>
  <c r="J15" i="10"/>
  <c r="K15" i="10"/>
  <c r="L15" i="10"/>
  <c r="F13" i="10"/>
  <c r="F12" i="10"/>
  <c r="F11" i="10"/>
  <c r="F10" i="10"/>
  <c r="F9" i="10"/>
  <c r="F8" i="10"/>
  <c r="G4" i="9"/>
  <c r="H4" i="9"/>
  <c r="I4" i="9"/>
  <c r="J4" i="9"/>
  <c r="K4" i="9"/>
  <c r="L4" i="9"/>
  <c r="G5" i="9"/>
  <c r="H5" i="9"/>
  <c r="I5" i="9"/>
  <c r="J5" i="9"/>
  <c r="K5" i="9"/>
  <c r="L5" i="9"/>
  <c r="G6" i="9"/>
  <c r="H6" i="9"/>
  <c r="I6" i="9"/>
  <c r="J6" i="9"/>
  <c r="K6" i="9"/>
  <c r="L6" i="9"/>
  <c r="G7" i="9"/>
  <c r="H7" i="9"/>
  <c r="I7" i="9"/>
  <c r="J7" i="9"/>
  <c r="K7" i="9"/>
  <c r="L7" i="9"/>
  <c r="G8" i="9"/>
  <c r="H8" i="9"/>
  <c r="I8" i="9"/>
  <c r="J8" i="9"/>
  <c r="K8" i="9"/>
  <c r="L8" i="9"/>
  <c r="G11" i="9"/>
  <c r="H11" i="9"/>
  <c r="I11" i="9"/>
  <c r="J11" i="9"/>
  <c r="K11" i="9"/>
  <c r="L11" i="9"/>
  <c r="G12" i="9"/>
  <c r="H12" i="9"/>
  <c r="I12" i="9"/>
  <c r="J12" i="9"/>
  <c r="K12" i="9"/>
  <c r="L12" i="9"/>
  <c r="G14" i="9"/>
  <c r="G16" i="9" s="1"/>
  <c r="H14" i="9"/>
  <c r="H16" i="9" s="1"/>
  <c r="I14" i="9"/>
  <c r="I16" i="9" s="1"/>
  <c r="J14" i="9"/>
  <c r="K14" i="9"/>
  <c r="L14" i="9"/>
  <c r="G15" i="9"/>
  <c r="H15" i="9"/>
  <c r="I15" i="9"/>
  <c r="J15" i="9"/>
  <c r="K15" i="9"/>
  <c r="L15" i="9"/>
  <c r="J16" i="9"/>
  <c r="K16" i="9"/>
  <c r="L16" i="9"/>
  <c r="G20" i="9"/>
  <c r="G16" i="8"/>
  <c r="H16" i="8"/>
  <c r="I16" i="8"/>
  <c r="J16" i="8"/>
  <c r="K16" i="8"/>
  <c r="L16" i="8"/>
  <c r="G18" i="8"/>
  <c r="H18" i="8"/>
  <c r="I18" i="8"/>
  <c r="J18" i="8"/>
  <c r="K18" i="8"/>
  <c r="L18" i="8"/>
  <c r="G19" i="8"/>
  <c r="H19" i="8"/>
  <c r="I19" i="8"/>
  <c r="J19" i="8"/>
  <c r="K19" i="8"/>
  <c r="L19" i="8"/>
  <c r="G20" i="8"/>
  <c r="H20" i="8"/>
  <c r="I20" i="8"/>
  <c r="J20" i="8"/>
  <c r="K20" i="8"/>
  <c r="L20" i="8"/>
  <c r="G23" i="8"/>
  <c r="H23" i="8"/>
  <c r="I23" i="8"/>
  <c r="J23" i="8"/>
  <c r="K23" i="8"/>
  <c r="L23" i="8"/>
  <c r="G24" i="8"/>
  <c r="H24" i="8"/>
  <c r="I24" i="8"/>
  <c r="J24" i="8"/>
  <c r="K24" i="8"/>
  <c r="L24" i="8"/>
  <c r="G25" i="8"/>
  <c r="H25" i="8"/>
  <c r="I25" i="8"/>
  <c r="J25" i="8"/>
  <c r="K25" i="8"/>
  <c r="L25" i="8"/>
  <c r="G26" i="8"/>
  <c r="H26" i="8"/>
  <c r="I26" i="8"/>
  <c r="J26" i="8"/>
  <c r="K26" i="8"/>
  <c r="L26" i="8"/>
  <c r="G31" i="8"/>
  <c r="H31" i="8"/>
  <c r="I31" i="8"/>
  <c r="J31" i="8"/>
  <c r="K31" i="8"/>
  <c r="L31" i="8"/>
  <c r="G32" i="8"/>
  <c r="H32" i="8"/>
  <c r="I32" i="8"/>
  <c r="J32" i="8"/>
  <c r="K32" i="8"/>
  <c r="L32" i="8"/>
  <c r="G35" i="8"/>
  <c r="G37" i="8" s="1"/>
  <c r="H35" i="8"/>
  <c r="H37" i="8" s="1"/>
  <c r="I35" i="8"/>
  <c r="I37" i="8" s="1"/>
  <c r="J35" i="8"/>
  <c r="J37" i="8" s="1"/>
  <c r="K35" i="8"/>
  <c r="L35" i="8"/>
  <c r="G36" i="8"/>
  <c r="H36" i="8"/>
  <c r="I36" i="8"/>
  <c r="J36" i="8"/>
  <c r="K36" i="8"/>
  <c r="L36" i="8"/>
  <c r="K37" i="8"/>
  <c r="L37" i="8"/>
  <c r="G15" i="7"/>
  <c r="H15" i="7"/>
  <c r="I15" i="7"/>
  <c r="J15" i="7"/>
  <c r="K15" i="7"/>
  <c r="L15" i="7"/>
  <c r="G16" i="7"/>
  <c r="H16" i="7"/>
  <c r="I16" i="7"/>
  <c r="J16" i="7"/>
  <c r="K16" i="7"/>
  <c r="L16" i="7"/>
  <c r="G17" i="7"/>
  <c r="H17" i="7"/>
  <c r="I17" i="7"/>
  <c r="J17" i="7"/>
  <c r="K17" i="7"/>
  <c r="L17" i="7"/>
  <c r="G18" i="7"/>
  <c r="H18" i="7"/>
  <c r="I18" i="7"/>
  <c r="J18" i="7"/>
  <c r="K18" i="7"/>
  <c r="L18" i="7"/>
  <c r="G20" i="7"/>
  <c r="G21" i="7"/>
  <c r="H21" i="7"/>
  <c r="I21" i="7"/>
  <c r="J21" i="7"/>
  <c r="K21" i="7"/>
  <c r="L21" i="7"/>
  <c r="G22" i="7"/>
  <c r="G24" i="7"/>
  <c r="H24" i="7"/>
  <c r="I24" i="7"/>
  <c r="J24" i="7"/>
  <c r="K24" i="7"/>
  <c r="L24" i="7"/>
  <c r="G25" i="7"/>
  <c r="H25" i="7"/>
  <c r="I25" i="7"/>
  <c r="J25" i="7"/>
  <c r="K25" i="7"/>
  <c r="L25" i="7"/>
  <c r="G27" i="7"/>
  <c r="H27" i="7"/>
  <c r="I27" i="7"/>
  <c r="J27" i="7"/>
  <c r="K27" i="7"/>
  <c r="L27" i="7"/>
  <c r="G28" i="7"/>
  <c r="H28" i="7"/>
  <c r="I28" i="7"/>
  <c r="J28" i="7"/>
  <c r="K28" i="7"/>
  <c r="L28" i="7"/>
  <c r="G30" i="7"/>
  <c r="H30" i="7"/>
  <c r="I30" i="7"/>
  <c r="J30" i="7"/>
  <c r="K30" i="7"/>
  <c r="L30" i="7"/>
  <c r="G32" i="7"/>
  <c r="H32" i="7"/>
  <c r="I32" i="7"/>
  <c r="J32" i="7"/>
  <c r="K32" i="7"/>
  <c r="L32" i="7"/>
  <c r="G33" i="7"/>
  <c r="H33" i="7"/>
  <c r="I33" i="7"/>
  <c r="J33" i="7"/>
  <c r="K33" i="7"/>
  <c r="L33" i="7"/>
  <c r="G35" i="7"/>
  <c r="H35" i="7"/>
  <c r="I35" i="7"/>
  <c r="J35" i="7"/>
  <c r="K35" i="7"/>
  <c r="L35" i="7"/>
  <c r="G36" i="7"/>
  <c r="H36" i="7"/>
  <c r="I36" i="7"/>
  <c r="J36" i="7"/>
  <c r="K36" i="7"/>
  <c r="L36" i="7"/>
  <c r="G16" i="6"/>
  <c r="H16" i="6"/>
  <c r="I16" i="6"/>
  <c r="J16" i="6"/>
  <c r="K16" i="6"/>
  <c r="L16" i="6"/>
  <c r="G17" i="6"/>
  <c r="G18" i="6"/>
  <c r="G20" i="6" s="1"/>
  <c r="H18" i="6"/>
  <c r="I18" i="6"/>
  <c r="J18" i="6"/>
  <c r="K18" i="6"/>
  <c r="L18" i="6"/>
  <c r="G19" i="6"/>
  <c r="H19" i="6"/>
  <c r="I19" i="6"/>
  <c r="J19" i="6"/>
  <c r="K19" i="6"/>
  <c r="L19" i="6"/>
  <c r="G21" i="6"/>
  <c r="H21" i="6"/>
  <c r="I21" i="6"/>
  <c r="J21" i="6"/>
  <c r="K21" i="6"/>
  <c r="L21" i="6"/>
  <c r="G24" i="6"/>
  <c r="H24" i="6"/>
  <c r="I24" i="6"/>
  <c r="J24" i="6"/>
  <c r="K24" i="6"/>
  <c r="L24" i="6"/>
  <c r="G25" i="6"/>
  <c r="H25" i="6"/>
  <c r="I25" i="6"/>
  <c r="J25" i="6"/>
  <c r="K25" i="6"/>
  <c r="L25" i="6"/>
  <c r="G30" i="6"/>
  <c r="H30" i="6"/>
  <c r="I30" i="6"/>
  <c r="J30" i="6"/>
  <c r="K30" i="6"/>
  <c r="L30" i="6"/>
  <c r="G32" i="6"/>
  <c r="H32" i="6"/>
  <c r="I32" i="6"/>
  <c r="J32" i="6"/>
  <c r="K32" i="6"/>
  <c r="L32" i="6"/>
  <c r="G6" i="5"/>
  <c r="G7" i="5"/>
  <c r="H7" i="5"/>
  <c r="I7" i="5"/>
  <c r="J7" i="5"/>
  <c r="K7" i="5"/>
  <c r="L7" i="5"/>
  <c r="G8" i="5"/>
  <c r="G9" i="5"/>
  <c r="H6" i="5" s="1"/>
  <c r="G10" i="5"/>
  <c r="G17" i="5" s="1"/>
  <c r="H10" i="5"/>
  <c r="H17" i="5" s="1"/>
  <c r="I10" i="5"/>
  <c r="I17" i="5" s="1"/>
  <c r="J10" i="5"/>
  <c r="J17" i="5" s="1"/>
  <c r="K10" i="5"/>
  <c r="K17" i="5" s="1"/>
  <c r="L10" i="5"/>
  <c r="L17" i="5" s="1"/>
  <c r="G11" i="5"/>
  <c r="G15" i="5" s="1"/>
  <c r="H11" i="5"/>
  <c r="I11" i="5"/>
  <c r="J11" i="5"/>
  <c r="K11" i="5"/>
  <c r="L11" i="5"/>
  <c r="G13" i="5"/>
  <c r="G14" i="5"/>
  <c r="H14" i="5"/>
  <c r="I14" i="5"/>
  <c r="J14" i="5"/>
  <c r="K14" i="5"/>
  <c r="L14" i="5"/>
  <c r="H15" i="5"/>
  <c r="I15" i="5"/>
  <c r="J15" i="5"/>
  <c r="K15" i="5"/>
  <c r="L15" i="5"/>
  <c r="G18" i="5"/>
  <c r="H18" i="5"/>
  <c r="I18" i="5"/>
  <c r="J18" i="5"/>
  <c r="K18" i="5"/>
  <c r="L18" i="5"/>
  <c r="G19" i="5"/>
  <c r="H19" i="5"/>
  <c r="I19" i="5"/>
  <c r="J19" i="5"/>
  <c r="K19" i="5"/>
  <c r="L19" i="5"/>
  <c r="G20" i="5"/>
  <c r="H20" i="5"/>
  <c r="I20" i="5"/>
  <c r="J20" i="5"/>
  <c r="K20" i="5"/>
  <c r="L20" i="5"/>
  <c r="G21" i="5"/>
  <c r="H21" i="5"/>
  <c r="I21" i="5"/>
  <c r="J21" i="5"/>
  <c r="K21" i="5"/>
  <c r="L21" i="5"/>
  <c r="G22" i="5"/>
  <c r="H22" i="5"/>
  <c r="I22" i="5"/>
  <c r="J22" i="5"/>
  <c r="K22" i="5"/>
  <c r="L22" i="5"/>
  <c r="G23" i="5"/>
  <c r="H23" i="5"/>
  <c r="I23" i="5"/>
  <c r="J23" i="5"/>
  <c r="K23" i="5"/>
  <c r="L23" i="5"/>
  <c r="G24" i="5"/>
  <c r="H24" i="5"/>
  <c r="I24" i="5"/>
  <c r="J24" i="5"/>
  <c r="K24" i="5"/>
  <c r="L24" i="5"/>
  <c r="G25" i="5"/>
  <c r="H25" i="5"/>
  <c r="I25" i="5"/>
  <c r="J25" i="5"/>
  <c r="K25" i="5"/>
  <c r="L25" i="5"/>
  <c r="F28" i="7"/>
  <c r="F27" i="7"/>
  <c r="E20" i="6"/>
  <c r="F20" i="9"/>
  <c r="B21" i="9"/>
  <c r="F15" i="9"/>
  <c r="F14" i="9"/>
  <c r="F16" i="9" s="1"/>
  <c r="F11" i="9"/>
  <c r="F12" i="9" s="1"/>
  <c r="F8" i="9"/>
  <c r="F7" i="9"/>
  <c r="F6" i="9"/>
  <c r="F25" i="5"/>
  <c r="F23" i="5"/>
  <c r="F22" i="5"/>
  <c r="F21" i="5"/>
  <c r="F20" i="5"/>
  <c r="F19" i="5"/>
  <c r="F18" i="5"/>
  <c r="F24" i="5"/>
  <c r="E24" i="5"/>
  <c r="E23" i="5"/>
  <c r="E22" i="5"/>
  <c r="E21" i="5"/>
  <c r="E20" i="5"/>
  <c r="E19" i="5"/>
  <c r="E18" i="5"/>
  <c r="F5" i="9"/>
  <c r="F32" i="6"/>
  <c r="F25" i="6"/>
  <c r="F21" i="6"/>
  <c r="F19" i="6"/>
  <c r="F18" i="6"/>
  <c r="F17" i="6"/>
  <c r="F20" i="6" s="1"/>
  <c r="F36" i="8"/>
  <c r="F32" i="8"/>
  <c r="F31" i="8"/>
  <c r="F23" i="8"/>
  <c r="F20" i="7"/>
  <c r="F4" i="9" s="1"/>
  <c r="F15" i="5"/>
  <c r="E16" i="5"/>
  <c r="F13" i="5" s="1"/>
  <c r="C31" i="13"/>
  <c r="D31" i="13"/>
  <c r="E31" i="13"/>
  <c r="E9" i="5"/>
  <c r="F6" i="5" s="1"/>
  <c r="H6" i="13"/>
  <c r="I6" i="13"/>
  <c r="J6" i="13"/>
  <c r="K6" i="13"/>
  <c r="L6" i="13"/>
  <c r="G6" i="13"/>
  <c r="F6" i="13"/>
  <c r="F12" i="13"/>
  <c r="G12" i="13"/>
  <c r="I12" i="13"/>
  <c r="J12" i="13"/>
  <c r="K12" i="13"/>
  <c r="L12" i="13"/>
  <c r="H12" i="13"/>
  <c r="H11" i="13"/>
  <c r="J11" i="13"/>
  <c r="K11" i="13"/>
  <c r="L11" i="13"/>
  <c r="I11" i="13"/>
  <c r="E2" i="6"/>
  <c r="F2" i="6"/>
  <c r="G2" i="6"/>
  <c r="H2" i="6"/>
  <c r="I2" i="6"/>
  <c r="J2" i="6"/>
  <c r="K2" i="6"/>
  <c r="L2" i="6"/>
  <c r="D2" i="6"/>
  <c r="K2" i="10"/>
  <c r="L2" i="10"/>
  <c r="K3" i="9"/>
  <c r="K9" i="9" s="1"/>
  <c r="K18" i="9" s="1"/>
  <c r="K21" i="9" s="1"/>
  <c r="L3" i="9"/>
  <c r="L9" i="9" s="1"/>
  <c r="L18" i="9" s="1"/>
  <c r="L21" i="9" s="1"/>
  <c r="K2" i="8"/>
  <c r="L2" i="8"/>
  <c r="K15" i="8"/>
  <c r="L15" i="8"/>
  <c r="K2" i="7"/>
  <c r="L2" i="7"/>
  <c r="K8" i="7"/>
  <c r="L8" i="7"/>
  <c r="K8" i="6"/>
  <c r="L8" i="6"/>
  <c r="K9" i="6"/>
  <c r="L9" i="6"/>
  <c r="K7" i="13"/>
  <c r="L7" i="13"/>
  <c r="K8" i="13"/>
  <c r="L8" i="13"/>
  <c r="K10" i="13"/>
  <c r="K4" i="7" s="1"/>
  <c r="L10" i="13"/>
  <c r="L4" i="7" s="1"/>
  <c r="K35" i="13"/>
  <c r="L35" i="13"/>
  <c r="K44" i="13"/>
  <c r="L44" i="13"/>
  <c r="G11" i="13"/>
  <c r="F11" i="13"/>
  <c r="C36" i="8"/>
  <c r="C35" i="8"/>
  <c r="C32" i="8"/>
  <c r="C31" i="8"/>
  <c r="C23" i="8"/>
  <c r="C25" i="8"/>
  <c r="C24" i="8"/>
  <c r="C17" i="8"/>
  <c r="D36" i="8"/>
  <c r="D35" i="8"/>
  <c r="D32" i="8"/>
  <c r="D31" i="8"/>
  <c r="E36" i="8"/>
  <c r="E35" i="8"/>
  <c r="E32" i="8"/>
  <c r="E31" i="8"/>
  <c r="D25" i="8"/>
  <c r="D24" i="8"/>
  <c r="D23" i="8"/>
  <c r="E25" i="8"/>
  <c r="E24" i="8"/>
  <c r="E23" i="8"/>
  <c r="D16" i="8"/>
  <c r="D17" i="8" s="1"/>
  <c r="C16" i="8"/>
  <c r="E16" i="8"/>
  <c r="E17" i="8" s="1"/>
  <c r="C17" i="7"/>
  <c r="D17" i="7"/>
  <c r="E17" i="7"/>
  <c r="C16" i="7"/>
  <c r="D16" i="7"/>
  <c r="E16" i="7"/>
  <c r="C15" i="7"/>
  <c r="D15" i="7"/>
  <c r="E15" i="7"/>
  <c r="AF15" i="32"/>
  <c r="AE15" i="32"/>
  <c r="AD15" i="32"/>
  <c r="AC15" i="32"/>
  <c r="AB15" i="32"/>
  <c r="AF12" i="32"/>
  <c r="AE12" i="32"/>
  <c r="AD12" i="32"/>
  <c r="AC12" i="32"/>
  <c r="AB12" i="32"/>
  <c r="AF10" i="32"/>
  <c r="AE10" i="32"/>
  <c r="AD10" i="32"/>
  <c r="AC10" i="32"/>
  <c r="AB10" i="32"/>
  <c r="AB13" i="32"/>
  <c r="AC13" i="32" s="1"/>
  <c r="AD13" i="32" s="1"/>
  <c r="AE13" i="32" s="1"/>
  <c r="AF13" i="32" s="1"/>
  <c r="AC11" i="32"/>
  <c r="AD11" i="32" s="1"/>
  <c r="AE11" i="32" s="1"/>
  <c r="AF11" i="32" s="1"/>
  <c r="AB11" i="32"/>
  <c r="AF8" i="32"/>
  <c r="AE8" i="32"/>
  <c r="AD8" i="32"/>
  <c r="AC8" i="32"/>
  <c r="AB8" i="32"/>
  <c r="AB5" i="32"/>
  <c r="AC5" i="32" s="1"/>
  <c r="AC3" i="32"/>
  <c r="AD3" i="32" s="1"/>
  <c r="AB3" i="32"/>
  <c r="AB6" i="32"/>
  <c r="AC6" i="32" s="1"/>
  <c r="AD6" i="32" s="1"/>
  <c r="AE6" i="32" s="1"/>
  <c r="AF6" i="32" s="1"/>
  <c r="AC4" i="32"/>
  <c r="AD4" i="32"/>
  <c r="AE4" i="32"/>
  <c r="AF4" i="32"/>
  <c r="AB4" i="32"/>
  <c r="AA8" i="32"/>
  <c r="AA15" i="32"/>
  <c r="AA13" i="32"/>
  <c r="AA11" i="32"/>
  <c r="AA6" i="32"/>
  <c r="AA4" i="32"/>
  <c r="AA12" i="32"/>
  <c r="AA10" i="32"/>
  <c r="AA5" i="32"/>
  <c r="AA3" i="32"/>
  <c r="AA7" i="32" s="1"/>
  <c r="AA14" i="32" s="1"/>
  <c r="Z15" i="32"/>
  <c r="Y15" i="32"/>
  <c r="X15" i="32"/>
  <c r="W15" i="32"/>
  <c r="W13" i="32"/>
  <c r="X13" i="32" s="1"/>
  <c r="X11" i="32"/>
  <c r="W11" i="32"/>
  <c r="W10" i="32" s="1"/>
  <c r="W12" i="32"/>
  <c r="W14" i="32" s="1"/>
  <c r="Z8" i="32"/>
  <c r="Y8" i="32"/>
  <c r="X8" i="32"/>
  <c r="W8" i="32"/>
  <c r="Z5" i="32"/>
  <c r="Y5" i="32"/>
  <c r="X5" i="32"/>
  <c r="W5" i="32"/>
  <c r="Z3" i="32"/>
  <c r="Z7" i="32" s="1"/>
  <c r="Y3" i="32"/>
  <c r="Y7" i="32" s="1"/>
  <c r="X3" i="32"/>
  <c r="X7" i="32" s="1"/>
  <c r="W3" i="32"/>
  <c r="X6" i="32"/>
  <c r="Y6" i="32" s="1"/>
  <c r="Z6" i="32" s="1"/>
  <c r="W6" i="32"/>
  <c r="V15" i="32"/>
  <c r="V13" i="32"/>
  <c r="V11" i="32"/>
  <c r="U15" i="32"/>
  <c r="U8" i="32"/>
  <c r="U12" i="32"/>
  <c r="U10" i="32"/>
  <c r="V10" i="32" s="1"/>
  <c r="U13" i="32"/>
  <c r="U11" i="32"/>
  <c r="U5" i="32"/>
  <c r="U3" i="32"/>
  <c r="U6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5" i="32"/>
  <c r="AB7" i="32"/>
  <c r="W7" i="32"/>
  <c r="T7" i="32"/>
  <c r="S7" i="32"/>
  <c r="R7" i="32"/>
  <c r="P7" i="32"/>
  <c r="O7" i="32"/>
  <c r="N7" i="32"/>
  <c r="M7" i="32"/>
  <c r="K7" i="32"/>
  <c r="J7" i="32"/>
  <c r="I7" i="32"/>
  <c r="H7" i="32"/>
  <c r="F7" i="32"/>
  <c r="E7" i="32"/>
  <c r="D7" i="32"/>
  <c r="C7" i="32"/>
  <c r="T8" i="32"/>
  <c r="S8" i="32"/>
  <c r="R8" i="32"/>
  <c r="T6" i="32"/>
  <c r="S6" i="32"/>
  <c r="R6" i="32"/>
  <c r="T4" i="32"/>
  <c r="S4" i="32"/>
  <c r="R4" i="32"/>
  <c r="P8" i="32"/>
  <c r="O8" i="32"/>
  <c r="N8" i="32"/>
  <c r="M8" i="32"/>
  <c r="P6" i="32"/>
  <c r="O6" i="32"/>
  <c r="N6" i="32"/>
  <c r="M6" i="32"/>
  <c r="P4" i="32"/>
  <c r="O4" i="32"/>
  <c r="N4" i="32"/>
  <c r="M4" i="32"/>
  <c r="K8" i="32"/>
  <c r="J8" i="32"/>
  <c r="I8" i="32"/>
  <c r="K6" i="32"/>
  <c r="J6" i="32"/>
  <c r="I6" i="32"/>
  <c r="H6" i="32"/>
  <c r="I4" i="32"/>
  <c r="J4" i="32"/>
  <c r="K4" i="32"/>
  <c r="H4" i="32"/>
  <c r="H14" i="32" s="1"/>
  <c r="V12" i="32"/>
  <c r="V5" i="32"/>
  <c r="Q12" i="32"/>
  <c r="Q10" i="32"/>
  <c r="Q5" i="32"/>
  <c r="Q3" i="32"/>
  <c r="L12" i="32"/>
  <c r="L10" i="32"/>
  <c r="L5" i="32"/>
  <c r="L3" i="32"/>
  <c r="G12" i="32"/>
  <c r="G10" i="32"/>
  <c r="G5" i="32"/>
  <c r="G3" i="32"/>
  <c r="G7" i="32" s="1"/>
  <c r="S14" i="32"/>
  <c r="R14" i="32"/>
  <c r="P14" i="32"/>
  <c r="O14" i="32"/>
  <c r="N14" i="32"/>
  <c r="M14" i="32"/>
  <c r="K14" i="32"/>
  <c r="J14" i="32"/>
  <c r="I14" i="32"/>
  <c r="F14" i="32"/>
  <c r="E14" i="32"/>
  <c r="D14" i="32"/>
  <c r="C14" i="32"/>
  <c r="T14" i="32"/>
  <c r="A1" i="32"/>
  <c r="G37" i="7" l="1"/>
  <c r="G38" i="7"/>
  <c r="H37" i="7"/>
  <c r="H38" i="7"/>
  <c r="I37" i="7"/>
  <c r="I38" i="7"/>
  <c r="J37" i="7"/>
  <c r="J38" i="7"/>
  <c r="K37" i="7"/>
  <c r="K38" i="7"/>
  <c r="L37" i="7"/>
  <c r="L38" i="7"/>
  <c r="G16" i="5"/>
  <c r="G26" i="6"/>
  <c r="G27" i="6" s="1"/>
  <c r="H17" i="6"/>
  <c r="H20" i="6" s="1"/>
  <c r="G22" i="6"/>
  <c r="G28" i="6" s="1"/>
  <c r="H8" i="5"/>
  <c r="F22" i="6"/>
  <c r="F28" i="6" s="1"/>
  <c r="F26" i="6"/>
  <c r="F27" i="6" s="1"/>
  <c r="F35" i="8"/>
  <c r="AB14" i="32"/>
  <c r="AD5" i="32"/>
  <c r="AE5" i="32" s="1"/>
  <c r="AF5" i="32" s="1"/>
  <c r="AC7" i="32"/>
  <c r="AC14" i="32" s="1"/>
  <c r="AE3" i="32"/>
  <c r="AD7" i="32"/>
  <c r="AD14" i="32" s="1"/>
  <c r="Y13" i="32"/>
  <c r="X12" i="32"/>
  <c r="X14" i="32" s="1"/>
  <c r="X10" i="32"/>
  <c r="Y11" i="32"/>
  <c r="U7" i="32"/>
  <c r="U14" i="32" s="1"/>
  <c r="V3" i="32"/>
  <c r="H8" i="32"/>
  <c r="C13" i="32"/>
  <c r="C11" i="32"/>
  <c r="V6" i="32"/>
  <c r="Q6" i="32"/>
  <c r="L6" i="32"/>
  <c r="Q7" i="32"/>
  <c r="Q4" i="32"/>
  <c r="L7" i="32"/>
  <c r="L4" i="32"/>
  <c r="G14" i="32"/>
  <c r="E14" i="13"/>
  <c r="D39" i="13"/>
  <c r="D14" i="13"/>
  <c r="E46" i="13"/>
  <c r="F46" i="13" s="1"/>
  <c r="F11" i="8" s="1"/>
  <c r="E12" i="13"/>
  <c r="D10" i="13"/>
  <c r="E10" i="13"/>
  <c r="D32" i="13"/>
  <c r="E32" i="13"/>
  <c r="F32" i="13" s="1"/>
  <c r="G32" i="13" s="1"/>
  <c r="H32" i="13" s="1"/>
  <c r="I32" i="13" s="1"/>
  <c r="J32" i="13" s="1"/>
  <c r="K32" i="13" s="1"/>
  <c r="L32" i="13" s="1"/>
  <c r="E48" i="13"/>
  <c r="D48" i="13"/>
  <c r="C48" i="13"/>
  <c r="E47" i="13"/>
  <c r="D47" i="13"/>
  <c r="C47" i="13"/>
  <c r="C46" i="13"/>
  <c r="E42" i="13"/>
  <c r="D42" i="13"/>
  <c r="C42" i="13"/>
  <c r="E40" i="13"/>
  <c r="F40" i="13" s="1"/>
  <c r="D40" i="13"/>
  <c r="C40" i="13"/>
  <c r="C39" i="13"/>
  <c r="E38" i="13"/>
  <c r="D38" i="13"/>
  <c r="C38" i="13"/>
  <c r="E37" i="13"/>
  <c r="D37" i="13"/>
  <c r="C37" i="13"/>
  <c r="E15" i="13"/>
  <c r="F15" i="13" s="1"/>
  <c r="D15" i="13"/>
  <c r="C15" i="13"/>
  <c r="C14" i="13"/>
  <c r="E13" i="13"/>
  <c r="F13" i="13" s="1"/>
  <c r="F7" i="7" s="1"/>
  <c r="F21" i="7" s="1"/>
  <c r="F24" i="8" s="1"/>
  <c r="D13" i="13"/>
  <c r="C13" i="13"/>
  <c r="D12" i="13"/>
  <c r="C12" i="13"/>
  <c r="C11" i="13"/>
  <c r="E18" i="13"/>
  <c r="D18" i="13"/>
  <c r="C18" i="13"/>
  <c r="E17" i="13"/>
  <c r="D17" i="13"/>
  <c r="C17" i="13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0" i="13"/>
  <c r="C29" i="13" s="1"/>
  <c r="C35" i="13" s="1"/>
  <c r="C44" i="13" s="1"/>
  <c r="D2" i="13"/>
  <c r="E2" i="13" s="1"/>
  <c r="G8" i="7"/>
  <c r="H8" i="7"/>
  <c r="I8" i="7"/>
  <c r="J8" i="7"/>
  <c r="A1" i="10"/>
  <c r="C21" i="8"/>
  <c r="D21" i="8"/>
  <c r="E21" i="8"/>
  <c r="D26" i="8"/>
  <c r="C26" i="8"/>
  <c r="E26" i="8"/>
  <c r="E33" i="8"/>
  <c r="C33" i="8"/>
  <c r="D33" i="8"/>
  <c r="C37" i="8"/>
  <c r="D37" i="8"/>
  <c r="D40" i="8" s="1"/>
  <c r="E37" i="8"/>
  <c r="C10" i="5"/>
  <c r="C17" i="5" s="1"/>
  <c r="D2" i="5"/>
  <c r="E2" i="5" s="1"/>
  <c r="G10" i="13"/>
  <c r="G4" i="7" s="1"/>
  <c r="H10" i="13"/>
  <c r="H4" i="7" s="1"/>
  <c r="I10" i="13"/>
  <c r="I4" i="7" s="1"/>
  <c r="J10" i="13"/>
  <c r="J4" i="7" s="1"/>
  <c r="F31" i="13"/>
  <c r="F3" i="5" s="1"/>
  <c r="F7" i="5" s="1"/>
  <c r="C11" i="6"/>
  <c r="C30" i="6" s="1"/>
  <c r="F23" i="13"/>
  <c r="F22" i="13"/>
  <c r="F4" i="6" s="1"/>
  <c r="F24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 s="1"/>
  <c r="I2" i="9" s="1"/>
  <c r="J2" i="9" s="1"/>
  <c r="K2" i="9" s="1"/>
  <c r="L2" i="9" s="1"/>
  <c r="D15" i="8"/>
  <c r="C15" i="8"/>
  <c r="J14" i="7"/>
  <c r="I14" i="7"/>
  <c r="H14" i="7"/>
  <c r="G14" i="7"/>
  <c r="F14" i="7"/>
  <c r="E14" i="7"/>
  <c r="D14" i="7"/>
  <c r="C14" i="7"/>
  <c r="A1" i="3"/>
  <c r="A1" i="13"/>
  <c r="A1" i="5"/>
  <c r="A1" i="6"/>
  <c r="A1" i="7"/>
  <c r="A1" i="8"/>
  <c r="A1" i="9"/>
  <c r="A1" i="11"/>
  <c r="A1" i="12"/>
  <c r="C18" i="7"/>
  <c r="C30" i="7" s="1"/>
  <c r="C16" i="13" s="1"/>
  <c r="F8" i="6"/>
  <c r="F11" i="5"/>
  <c r="B19" i="5"/>
  <c r="B20" i="5"/>
  <c r="G9" i="6"/>
  <c r="H9" i="6"/>
  <c r="I9" i="6"/>
  <c r="J9" i="6"/>
  <c r="J8" i="6"/>
  <c r="I8" i="6"/>
  <c r="H8" i="6"/>
  <c r="G8" i="6"/>
  <c r="E2" i="12"/>
  <c r="F8" i="7"/>
  <c r="F24" i="7" s="1"/>
  <c r="F2" i="12" l="1"/>
  <c r="H13" i="5"/>
  <c r="H16" i="5" s="1"/>
  <c r="G39" i="8"/>
  <c r="H9" i="5"/>
  <c r="I6" i="5" s="1"/>
  <c r="H20" i="7"/>
  <c r="H22" i="7" s="1"/>
  <c r="I17" i="6"/>
  <c r="I20" i="6" s="1"/>
  <c r="H26" i="6"/>
  <c r="H27" i="6" s="1"/>
  <c r="H22" i="6"/>
  <c r="H28" i="6" s="1"/>
  <c r="I8" i="5"/>
  <c r="F9" i="7"/>
  <c r="F25" i="7" s="1"/>
  <c r="G15" i="13"/>
  <c r="C40" i="8"/>
  <c r="G23" i="13"/>
  <c r="E11" i="11"/>
  <c r="AF3" i="32"/>
  <c r="AF7" i="32" s="1"/>
  <c r="AF14" i="32" s="1"/>
  <c r="AE7" i="32"/>
  <c r="AE14" i="32" s="1"/>
  <c r="Z13" i="32"/>
  <c r="Z12" i="32" s="1"/>
  <c r="Z14" i="32" s="1"/>
  <c r="Y12" i="32"/>
  <c r="Y14" i="32" s="1"/>
  <c r="Y10" i="32"/>
  <c r="Z11" i="32"/>
  <c r="Z10" i="32" s="1"/>
  <c r="V7" i="32"/>
  <c r="V4" i="32"/>
  <c r="V14" i="32"/>
  <c r="V8" i="32"/>
  <c r="Q14" i="32"/>
  <c r="Q8" i="32"/>
  <c r="L8" i="32"/>
  <c r="L14" i="32"/>
  <c r="C22" i="7"/>
  <c r="C33" i="7"/>
  <c r="D11" i="13"/>
  <c r="D46" i="13"/>
  <c r="D18" i="7"/>
  <c r="D22" i="7" s="1"/>
  <c r="E39" i="13"/>
  <c r="F39" i="13" s="1"/>
  <c r="F6" i="8" s="1"/>
  <c r="E11" i="13"/>
  <c r="E10" i="11"/>
  <c r="F9" i="3"/>
  <c r="D20" i="13"/>
  <c r="D29" i="13" s="1"/>
  <c r="D35" i="13" s="1"/>
  <c r="D44" i="13" s="1"/>
  <c r="F2" i="13"/>
  <c r="E20" i="13"/>
  <c r="E29" i="13" s="1"/>
  <c r="E35" i="13" s="1"/>
  <c r="E44" i="13" s="1"/>
  <c r="F2" i="8"/>
  <c r="F11" i="6"/>
  <c r="F30" i="6" s="1"/>
  <c r="E11" i="6"/>
  <c r="E16" i="6" s="1"/>
  <c r="E24" i="6" s="1"/>
  <c r="E30" i="6"/>
  <c r="F5" i="6"/>
  <c r="G24" i="13"/>
  <c r="G6" i="6" s="1"/>
  <c r="G46" i="13"/>
  <c r="G13" i="13"/>
  <c r="G22" i="13"/>
  <c r="G4" i="6" s="1"/>
  <c r="D10" i="5"/>
  <c r="D17" i="5" s="1"/>
  <c r="E10" i="5"/>
  <c r="E17" i="5" s="1"/>
  <c r="F2" i="5"/>
  <c r="D30" i="6"/>
  <c r="D28" i="8"/>
  <c r="D42" i="8" s="1"/>
  <c r="C16" i="6"/>
  <c r="C24" i="6" s="1"/>
  <c r="E40" i="8"/>
  <c r="E28" i="8"/>
  <c r="C28" i="8"/>
  <c r="G31" i="13"/>
  <c r="F4" i="5"/>
  <c r="F7" i="8"/>
  <c r="G40" i="13"/>
  <c r="F37" i="13"/>
  <c r="F47" i="13"/>
  <c r="F38" i="13"/>
  <c r="E18" i="7"/>
  <c r="E22" i="7" s="1"/>
  <c r="F42" i="13"/>
  <c r="F48" i="13"/>
  <c r="G2" i="12" l="1"/>
  <c r="H39" i="8"/>
  <c r="I13" i="5"/>
  <c r="I16" i="5" s="1"/>
  <c r="I9" i="5"/>
  <c r="J6" i="5" s="1"/>
  <c r="I20" i="7"/>
  <c r="I22" i="7" s="1"/>
  <c r="I26" i="6"/>
  <c r="I27" i="6" s="1"/>
  <c r="I22" i="6"/>
  <c r="I28" i="6" s="1"/>
  <c r="J17" i="6"/>
  <c r="J20" i="6" s="1"/>
  <c r="J8" i="5"/>
  <c r="J20" i="7" s="1"/>
  <c r="J22" i="7" s="1"/>
  <c r="J9" i="5"/>
  <c r="K6" i="5" s="1"/>
  <c r="G4" i="5"/>
  <c r="H4" i="5" s="1"/>
  <c r="I4" i="5" s="1"/>
  <c r="J4" i="5" s="1"/>
  <c r="K4" i="5" s="1"/>
  <c r="L4" i="5" s="1"/>
  <c r="F8" i="5"/>
  <c r="F9" i="5" s="1"/>
  <c r="G9" i="7"/>
  <c r="H15" i="13"/>
  <c r="H23" i="13"/>
  <c r="G5" i="6"/>
  <c r="C42" i="8"/>
  <c r="C37" i="7"/>
  <c r="C38" i="7"/>
  <c r="D30" i="7"/>
  <c r="G39" i="13"/>
  <c r="H39" i="13" s="1"/>
  <c r="H6" i="8" s="1"/>
  <c r="G2" i="13"/>
  <c r="F20" i="13"/>
  <c r="F29" i="13" s="1"/>
  <c r="F35" i="13" s="1"/>
  <c r="F44" i="13" s="1"/>
  <c r="F15" i="8"/>
  <c r="G2" i="8"/>
  <c r="G11" i="6"/>
  <c r="F16" i="6"/>
  <c r="F24" i="6" s="1"/>
  <c r="E42" i="8"/>
  <c r="H24" i="13"/>
  <c r="I24" i="13" s="1"/>
  <c r="H22" i="13"/>
  <c r="H13" i="13"/>
  <c r="G7" i="7"/>
  <c r="G11" i="8"/>
  <c r="H46" i="13"/>
  <c r="G2" i="5"/>
  <c r="F10" i="5"/>
  <c r="F17" i="5" s="1"/>
  <c r="H31" i="13"/>
  <c r="G3" i="5"/>
  <c r="F5" i="8"/>
  <c r="G38" i="13"/>
  <c r="G37" i="13"/>
  <c r="H37" i="13" s="1"/>
  <c r="I37" i="13" s="1"/>
  <c r="J37" i="13" s="1"/>
  <c r="K37" i="13" s="1"/>
  <c r="L37" i="13" s="1"/>
  <c r="F4" i="8"/>
  <c r="F13" i="8"/>
  <c r="G48" i="13"/>
  <c r="G42" i="13"/>
  <c r="F9" i="8"/>
  <c r="E30" i="7"/>
  <c r="F12" i="8"/>
  <c r="G47" i="13"/>
  <c r="G7" i="8"/>
  <c r="H40" i="13"/>
  <c r="H2" i="12" l="1"/>
  <c r="I39" i="8"/>
  <c r="J13" i="5"/>
  <c r="J16" i="5" s="1"/>
  <c r="J22" i="6"/>
  <c r="J28" i="6" s="1"/>
  <c r="K17" i="6"/>
  <c r="K20" i="6" s="1"/>
  <c r="J26" i="6"/>
  <c r="J27" i="6" s="1"/>
  <c r="K8" i="5"/>
  <c r="H9" i="7"/>
  <c r="I15" i="13"/>
  <c r="H5" i="6"/>
  <c r="I23" i="13"/>
  <c r="H4" i="6"/>
  <c r="I22" i="13"/>
  <c r="I39" i="13"/>
  <c r="G6" i="8"/>
  <c r="D33" i="7"/>
  <c r="D16" i="13"/>
  <c r="E33" i="7"/>
  <c r="E16" i="13"/>
  <c r="F16" i="13" s="1"/>
  <c r="H2" i="13"/>
  <c r="G20" i="13"/>
  <c r="G29" i="13" s="1"/>
  <c r="G35" i="13" s="1"/>
  <c r="G44" i="13" s="1"/>
  <c r="G15" i="8"/>
  <c r="H2" i="8"/>
  <c r="H11" i="6"/>
  <c r="H6" i="6"/>
  <c r="J23" i="13"/>
  <c r="K23" i="13" s="1"/>
  <c r="I5" i="6"/>
  <c r="H11" i="8"/>
  <c r="I46" i="13"/>
  <c r="G5" i="7"/>
  <c r="I13" i="13"/>
  <c r="H7" i="7"/>
  <c r="G6" i="7"/>
  <c r="H2" i="5"/>
  <c r="I31" i="13"/>
  <c r="H3" i="5"/>
  <c r="J24" i="13"/>
  <c r="K24" i="13" s="1"/>
  <c r="I6" i="6"/>
  <c r="H47" i="13"/>
  <c r="G12" i="8"/>
  <c r="F5" i="7"/>
  <c r="H42" i="13"/>
  <c r="G9" i="8"/>
  <c r="H48" i="13"/>
  <c r="G13" i="8"/>
  <c r="F37" i="8"/>
  <c r="I40" i="13"/>
  <c r="H7" i="8"/>
  <c r="F6" i="7"/>
  <c r="G4" i="8"/>
  <c r="H38" i="13"/>
  <c r="G5" i="8"/>
  <c r="I2" i="12" l="1"/>
  <c r="J39" i="8"/>
  <c r="K13" i="5"/>
  <c r="K16" i="5" s="1"/>
  <c r="K9" i="5"/>
  <c r="L6" i="5" s="1"/>
  <c r="K20" i="7"/>
  <c r="K22" i="7" s="1"/>
  <c r="K26" i="6"/>
  <c r="K27" i="6" s="1"/>
  <c r="K22" i="6"/>
  <c r="K28" i="6" s="1"/>
  <c r="L17" i="6"/>
  <c r="L20" i="6" s="1"/>
  <c r="L8" i="5"/>
  <c r="L20" i="7" s="1"/>
  <c r="L22" i="7" s="1"/>
  <c r="L9" i="5"/>
  <c r="I9" i="7"/>
  <c r="J15" i="13"/>
  <c r="K6" i="6"/>
  <c r="L24" i="13"/>
  <c r="L6" i="6" s="1"/>
  <c r="K5" i="6"/>
  <c r="L23" i="13"/>
  <c r="L5" i="6" s="1"/>
  <c r="I4" i="6"/>
  <c r="J22" i="13"/>
  <c r="J39" i="13"/>
  <c r="I6" i="8"/>
  <c r="D37" i="7"/>
  <c r="D38" i="7"/>
  <c r="E37" i="7"/>
  <c r="E38" i="7"/>
  <c r="G16" i="13"/>
  <c r="F5" i="10"/>
  <c r="E4" i="11"/>
  <c r="L4" i="11" s="1"/>
  <c r="L5" i="11" s="1"/>
  <c r="L6" i="11" s="1"/>
  <c r="L7" i="11" s="1"/>
  <c r="I2" i="13"/>
  <c r="H20" i="13"/>
  <c r="H29" i="13" s="1"/>
  <c r="H35" i="13" s="1"/>
  <c r="H44" i="13" s="1"/>
  <c r="I2" i="8"/>
  <c r="H15" i="8"/>
  <c r="I11" i="6"/>
  <c r="J5" i="6"/>
  <c r="H6" i="7"/>
  <c r="J13" i="13"/>
  <c r="K13" i="13" s="1"/>
  <c r="I7" i="7"/>
  <c r="H5" i="7"/>
  <c r="J46" i="13"/>
  <c r="K46" i="13" s="1"/>
  <c r="I11" i="8"/>
  <c r="I2" i="5"/>
  <c r="I3" i="5"/>
  <c r="J31" i="13"/>
  <c r="K31" i="13" s="1"/>
  <c r="J6" i="6"/>
  <c r="F17" i="13"/>
  <c r="J40" i="13"/>
  <c r="K40" i="13" s="1"/>
  <c r="I7" i="8"/>
  <c r="H13" i="8"/>
  <c r="I48" i="13"/>
  <c r="I42" i="13"/>
  <c r="H9" i="8"/>
  <c r="I38" i="13"/>
  <c r="H5" i="8"/>
  <c r="H4" i="8"/>
  <c r="I47" i="13"/>
  <c r="H12" i="8"/>
  <c r="J2" i="12" l="1"/>
  <c r="K39" i="8"/>
  <c r="L13" i="5"/>
  <c r="L16" i="5" s="1"/>
  <c r="L39" i="8" s="1"/>
  <c r="L26" i="6"/>
  <c r="L27" i="6" s="1"/>
  <c r="L22" i="6"/>
  <c r="L28" i="6" s="1"/>
  <c r="J9" i="7"/>
  <c r="K15" i="13"/>
  <c r="J6" i="8"/>
  <c r="K39" i="13"/>
  <c r="K7" i="7"/>
  <c r="L13" i="13"/>
  <c r="L7" i="7" s="1"/>
  <c r="K11" i="8"/>
  <c r="L46" i="13"/>
  <c r="L11" i="8" s="1"/>
  <c r="K7" i="8"/>
  <c r="L40" i="13"/>
  <c r="L7" i="8" s="1"/>
  <c r="K3" i="5"/>
  <c r="L31" i="13"/>
  <c r="L3" i="5" s="1"/>
  <c r="J4" i="6"/>
  <c r="K22" i="13"/>
  <c r="J11" i="6"/>
  <c r="G10" i="7"/>
  <c r="H16" i="13"/>
  <c r="J2" i="13"/>
  <c r="I20" i="13"/>
  <c r="I29" i="13" s="1"/>
  <c r="I35" i="13" s="1"/>
  <c r="I44" i="13" s="1"/>
  <c r="G17" i="13"/>
  <c r="I15" i="8"/>
  <c r="J2" i="8"/>
  <c r="J15" i="8" s="1"/>
  <c r="J11" i="8"/>
  <c r="I5" i="7"/>
  <c r="J7" i="7"/>
  <c r="I6" i="7"/>
  <c r="J2" i="5"/>
  <c r="K2" i="5" s="1"/>
  <c r="J3" i="5"/>
  <c r="I4" i="8"/>
  <c r="F18" i="13"/>
  <c r="I5" i="8"/>
  <c r="J38" i="13"/>
  <c r="K38" i="13" s="1"/>
  <c r="J42" i="13"/>
  <c r="K42" i="13" s="1"/>
  <c r="I9" i="8"/>
  <c r="I13" i="8"/>
  <c r="J48" i="13"/>
  <c r="K48" i="13" s="1"/>
  <c r="J7" i="8"/>
  <c r="J47" i="13"/>
  <c r="K47" i="13" s="1"/>
  <c r="I12" i="8"/>
  <c r="F10" i="7"/>
  <c r="E12" i="11"/>
  <c r="F11" i="7"/>
  <c r="F35" i="7" s="1"/>
  <c r="L2" i="5" l="1"/>
  <c r="K9" i="7"/>
  <c r="L15" i="13"/>
  <c r="L9" i="7" s="1"/>
  <c r="K6" i="8"/>
  <c r="L39" i="13"/>
  <c r="L6" i="8" s="1"/>
  <c r="J20" i="13"/>
  <c r="J29" i="13" s="1"/>
  <c r="J35" i="13" s="1"/>
  <c r="J44" i="13" s="1"/>
  <c r="K2" i="13"/>
  <c r="K5" i="8"/>
  <c r="L38" i="13"/>
  <c r="L5" i="8" s="1"/>
  <c r="K9" i="8"/>
  <c r="L42" i="13"/>
  <c r="L9" i="8" s="1"/>
  <c r="K13" i="8"/>
  <c r="L48" i="13"/>
  <c r="L13" i="8" s="1"/>
  <c r="K12" i="8"/>
  <c r="L47" i="13"/>
  <c r="L12" i="8" s="1"/>
  <c r="L22" i="13"/>
  <c r="L4" i="6" s="1"/>
  <c r="K4" i="6"/>
  <c r="L6" i="7"/>
  <c r="K6" i="7"/>
  <c r="L5" i="7"/>
  <c r="K5" i="7"/>
  <c r="K11" i="6"/>
  <c r="L11" i="6"/>
  <c r="H10" i="7"/>
  <c r="I16" i="13"/>
  <c r="G11" i="7"/>
  <c r="G18" i="13"/>
  <c r="H17" i="13"/>
  <c r="J6" i="7"/>
  <c r="J5" i="7"/>
  <c r="J9" i="8"/>
  <c r="M4" i="11"/>
  <c r="J13" i="8"/>
  <c r="J12" i="8"/>
  <c r="J5" i="8"/>
  <c r="F12" i="7"/>
  <c r="F36" i="7" s="1"/>
  <c r="J4" i="8"/>
  <c r="K4" i="8" s="1"/>
  <c r="L4" i="8" s="1"/>
  <c r="K20" i="13" l="1"/>
  <c r="K29" i="13" s="1"/>
  <c r="L2" i="13"/>
  <c r="L20" i="13" s="1"/>
  <c r="L29" i="13" s="1"/>
  <c r="G12" i="7"/>
  <c r="I17" i="13"/>
  <c r="I11" i="7" s="1"/>
  <c r="H18" i="13"/>
  <c r="H11" i="7"/>
  <c r="J16" i="13"/>
  <c r="I10" i="7"/>
  <c r="M5" i="11"/>
  <c r="J10" i="7" l="1"/>
  <c r="K16" i="13"/>
  <c r="H12" i="7"/>
  <c r="I18" i="13"/>
  <c r="J17" i="13"/>
  <c r="K17" i="13" s="1"/>
  <c r="J11" i="7"/>
  <c r="G3" i="9"/>
  <c r="G9" i="9" s="1"/>
  <c r="G18" i="9" s="1"/>
  <c r="G21" i="9" s="1"/>
  <c r="G22" i="9" s="1"/>
  <c r="M6" i="11"/>
  <c r="M7" i="11"/>
  <c r="G17" i="8" l="1"/>
  <c r="G30" i="8"/>
  <c r="G33" i="8" s="1"/>
  <c r="G40" i="8" s="1"/>
  <c r="K10" i="7"/>
  <c r="L16" i="13"/>
  <c r="L10" i="7" s="1"/>
  <c r="K11" i="7"/>
  <c r="L17" i="13"/>
  <c r="L11" i="7" s="1"/>
  <c r="J18" i="13"/>
  <c r="K18" i="13" s="1"/>
  <c r="I12" i="7"/>
  <c r="M9" i="11"/>
  <c r="M11" i="11" s="1"/>
  <c r="E8" i="11" s="1"/>
  <c r="E13" i="11" s="1"/>
  <c r="K17" i="12" s="1"/>
  <c r="H3" i="9"/>
  <c r="H9" i="9" s="1"/>
  <c r="H18" i="9" s="1"/>
  <c r="H21" i="9" s="1"/>
  <c r="J3" i="12" l="1"/>
  <c r="I3" i="12"/>
  <c r="I4" i="12" s="1"/>
  <c r="H3" i="12"/>
  <c r="H4" i="12" s="1"/>
  <c r="G3" i="12"/>
  <c r="G4" i="12" s="1"/>
  <c r="F3" i="12"/>
  <c r="F4" i="12" s="1"/>
  <c r="E3" i="12"/>
  <c r="E4" i="12" s="1"/>
  <c r="D3" i="12"/>
  <c r="D4" i="12" s="1"/>
  <c r="G21" i="8"/>
  <c r="G28" i="8" s="1"/>
  <c r="G42" i="8" s="1"/>
  <c r="H20" i="9"/>
  <c r="H22" i="9" s="1"/>
  <c r="G31" i="6"/>
  <c r="G33" i="6" s="1"/>
  <c r="K12" i="7"/>
  <c r="L18" i="13"/>
  <c r="L12" i="7" s="1"/>
  <c r="J12" i="7"/>
  <c r="J3" i="9"/>
  <c r="J9" i="9" s="1"/>
  <c r="J18" i="9" s="1"/>
  <c r="J21" i="9" s="1"/>
  <c r="I3" i="9"/>
  <c r="I9" i="9" s="1"/>
  <c r="I18" i="9" s="1"/>
  <c r="I21" i="9" s="1"/>
  <c r="J4" i="12" l="1"/>
  <c r="G8" i="12"/>
  <c r="H17" i="8"/>
  <c r="H30" i="8"/>
  <c r="H33" i="8" s="1"/>
  <c r="H40" i="8" s="1"/>
  <c r="K4" i="12" l="1"/>
  <c r="C8" i="12" s="1"/>
  <c r="C7" i="12"/>
  <c r="H31" i="6"/>
  <c r="H33" i="6" s="1"/>
  <c r="H21" i="8"/>
  <c r="H28" i="8" s="1"/>
  <c r="H42" i="8" s="1"/>
  <c r="I20" i="9"/>
  <c r="I22" i="9" s="1"/>
  <c r="C9" i="12" l="1"/>
  <c r="C15" i="12" s="1"/>
  <c r="C18" i="12" s="1"/>
  <c r="G7" i="12"/>
  <c r="G9" i="12" s="1"/>
  <c r="G15" i="12" s="1"/>
  <c r="G18" i="12" s="1"/>
  <c r="I17" i="8"/>
  <c r="I30" i="8"/>
  <c r="I33" i="8" s="1"/>
  <c r="I40" i="8" s="1"/>
  <c r="C26" i="12" l="1"/>
  <c r="J5" i="3"/>
  <c r="J6" i="3" s="1"/>
  <c r="H26" i="12"/>
  <c r="I5" i="3"/>
  <c r="I21" i="8"/>
  <c r="I28" i="8" s="1"/>
  <c r="I42" i="8" s="1"/>
  <c r="J20" i="9"/>
  <c r="J22" i="9" s="1"/>
  <c r="I31" i="6"/>
  <c r="I33" i="6" s="1"/>
  <c r="I6" i="3" l="1"/>
  <c r="K5" i="3"/>
  <c r="K6" i="3" s="1"/>
  <c r="J17" i="8"/>
  <c r="J30" i="8"/>
  <c r="J33" i="8" s="1"/>
  <c r="J40" i="8" s="1"/>
  <c r="J21" i="8" l="1"/>
  <c r="J28" i="8" s="1"/>
  <c r="J42" i="8" s="1"/>
  <c r="K20" i="9"/>
  <c r="K22" i="9" s="1"/>
  <c r="J31" i="6"/>
  <c r="J33" i="6" s="1"/>
  <c r="F10" i="13"/>
  <c r="K30" i="8" l="1"/>
  <c r="K33" i="8" s="1"/>
  <c r="K40" i="8" s="1"/>
  <c r="K17" i="8"/>
  <c r="F4" i="7"/>
  <c r="F15" i="7" s="1"/>
  <c r="K31" i="6" l="1"/>
  <c r="K33" i="6" s="1"/>
  <c r="L20" i="9"/>
  <c r="L22" i="9" s="1"/>
  <c r="K21" i="8"/>
  <c r="K28" i="8" s="1"/>
  <c r="K42" i="8" s="1"/>
  <c r="F25" i="8"/>
  <c r="F26" i="8" s="1"/>
  <c r="F16" i="8"/>
  <c r="F18" i="8"/>
  <c r="F20" i="8"/>
  <c r="F3" i="10"/>
  <c r="F16" i="7"/>
  <c r="F19" i="8" s="1"/>
  <c r="F17" i="7"/>
  <c r="F18" i="7"/>
  <c r="L30" i="8" l="1"/>
  <c r="L33" i="8" s="1"/>
  <c r="L40" i="8" s="1"/>
  <c r="L17" i="8"/>
  <c r="F4" i="10"/>
  <c r="F7" i="10" s="1"/>
  <c r="F15" i="10" s="1"/>
  <c r="F30" i="7"/>
  <c r="F22" i="7"/>
  <c r="L31" i="6" l="1"/>
  <c r="L33" i="6" s="1"/>
  <c r="L21" i="8"/>
  <c r="L28" i="8" s="1"/>
  <c r="L42" i="8" s="1"/>
  <c r="F32" i="7"/>
  <c r="F33" i="7" s="1"/>
  <c r="F14" i="5" s="1"/>
  <c r="F16" i="5" s="1"/>
  <c r="F39" i="8" s="1"/>
  <c r="F3" i="9" l="1"/>
  <c r="F9" i="9" s="1"/>
  <c r="F18" i="9" s="1"/>
  <c r="F21" i="9" s="1"/>
  <c r="F22" i="9" s="1"/>
  <c r="F37" i="7"/>
  <c r="F38" i="7"/>
  <c r="F17" i="8" l="1"/>
  <c r="F30" i="8"/>
  <c r="F33" i="8" s="1"/>
  <c r="F40" i="8" s="1"/>
  <c r="F21" i="8" l="1"/>
  <c r="F28" i="8" s="1"/>
  <c r="F42" i="8" s="1"/>
  <c r="F31" i="6"/>
  <c r="F3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<sst xmlns="http://schemas.openxmlformats.org/spreadsheetml/2006/main" count="400" uniqueCount="229">
  <si>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</si>
  <si>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</si>
  <si>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</si>
  <si>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</si>
  <si>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</si>
  <si>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</si>
  <si>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</si>
  <si>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</si>
  <si>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</si>
  <si>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</si>
  <si>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</si>
  <si>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</si>
  <si>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</si>
  <si>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</si>
  <si>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</si>
  <si>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</si>
  <si>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</si>
  <si>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</si>
  <si>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</si>
  <si>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</si>
  <si>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</si>
  <si>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</si>
  <si>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</si>
  <si>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</si>
  <si>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</si>
  <si>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</si>
  <si>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</si>
  <si>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</si>
  <si>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</si>
  <si>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</si>
  <si>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</si>
  <si>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</si>
  <si>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</si>
  <si>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</si>
  <si>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</si>
  <si>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</si>
  <si>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</si>
  <si>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</si>
  <si>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</si>
  <si>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</si>
  <si>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</si>
  <si>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</si>
  <si>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</si>
  <si>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</si>
  <si>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</si>
  <si>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</si>
  <si>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</si>
  <si>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</si>
  <si>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</si>
  <si>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</si>
  <si>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</si>
  <si>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</si>
  <si>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</si>
  <si>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</si>
  <si>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</si>
  <si>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</si>
  <si>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</si>
  <si>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</si>
  <si>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</si>
  <si>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</si>
  <si>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</si>
  <si>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</si>
  <si>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</si>
  <si>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</si>
  <si>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</si>
  <si>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</si>
  <si>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</si>
  <si>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</si>
  <si>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</si>
  <si>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</si>
  <si>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</si>
  <si>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</si>
  <si>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</si>
  <si>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</si>
  <si>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</si>
  <si>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</si>
  <si>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</si>
  <si>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</si>
  <si>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</si>
  <si>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</si>
  <si>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</si>
  <si>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</si>
  <si>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</si>
  <si>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</si>
  <si>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</si>
  <si>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</si>
  <si>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</si>
  <si>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</si>
  <si>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</si>
  <si>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</si>
  <si>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</si>
  <si>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</si>
  <si>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</si>
  <si>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</si>
  <si>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</si>
  <si>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</si>
  <si>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</si>
  <si>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</si>
  <si>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</si>
  <si>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</si>
  <si>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</si>
  <si>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</si>
  <si>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</si>
  <si>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</si>
  <si>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</si>
  <si>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</si>
  <si>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</si>
  <si>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</si>
  <si>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</si>
  <si>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</si>
  <si>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</si>
  <si>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</si>
  <si>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</si>
  <si>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</si>
  <si>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</si>
  <si>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</si>
  <si>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</si>
  <si>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</si>
  <si>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</si>
  <si>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</si>
  <si>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</si>
  <si>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</si>
  <si>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</si>
  <si>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</si>
  <si>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</si>
  <si>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</si>
  <si>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</si>
  <si>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</si>
  <si>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</si>
  <si>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</si>
  <si>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</si>
  <si>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</si>
  <si>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</si>
  <si>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</si>
  <si>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</si>
  <si>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</si>
  <si>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</si>
  <si>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</si>
  <si>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</si>
  <si>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</si>
  <si>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</si>
  <si>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</si>
  <si>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</si>
  <si>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</si>
  <si>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</si>
  <si>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</si>
  <si>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</si>
  <si>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</si>
  <si>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</si>
  <si>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</si>
  <si>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</si>
  <si>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</si>
  <si>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</si>
  <si>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</si>
  <si>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</si>
  <si>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</si>
  <si>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</si>
  <si>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</si>
  <si>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</si>
  <si>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</si>
  <si>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</si>
  <si>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</si>
  <si>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</si>
  <si>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</si>
  <si>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</si>
  <si>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</si>
  <si>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</si>
  <si>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</si>
  <si>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</si>
  <si>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</si>
  <si>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</si>
  <si>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</si>
  <si>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</si>
  <si>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</si>
  <si>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</si>
  <si>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</si>
  <si>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</si>
  <si>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</si>
  <si>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</si>
  <si>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</si>
  <si>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</si>
  <si>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</si>
  <si>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CoName</t>
  </si>
  <si>
    <t>Company-operated shops</t>
  </si>
  <si>
    <t>Franchising</t>
  </si>
  <si>
    <t>Revenues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</si>
  <si>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</si>
  <si>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</si>
  <si>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</si>
  <si>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</si>
  <si>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</si>
  <si>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</si>
  <si>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</si>
  <si>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</si>
  <si>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</si>
  <si>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</si>
  <si>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</si>
  <si>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</si>
  <si>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</si>
  <si>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</si>
  <si>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</si>
  <si>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2026E</t>
  </si>
  <si>
    <t>2027E</t>
  </si>
  <si>
    <t>2028E</t>
  </si>
  <si>
    <t>2029E</t>
  </si>
  <si>
    <t>2030E</t>
  </si>
  <si>
    <t>2031E</t>
  </si>
  <si>
    <t>2025E</t>
  </si>
  <si>
    <t>Q425E</t>
  </si>
  <si>
    <t>Q126E</t>
  </si>
  <si>
    <t>Q226E</t>
  </si>
  <si>
    <t>Q326E</t>
  </si>
  <si>
    <t>Q426E</t>
  </si>
  <si>
    <t>Operating Income</t>
  </si>
  <si>
    <t>n/a</t>
  </si>
  <si>
    <t>y/y</t>
  </si>
  <si>
    <t>Margins</t>
  </si>
  <si>
    <t>(inc) / dec in LT assets</t>
  </si>
  <si>
    <t>inc / (dec) in LT liabilities</t>
  </si>
  <si>
    <t>CFFO</t>
  </si>
  <si>
    <t>CFFI</t>
  </si>
  <si>
    <t>Debt repayment</t>
  </si>
  <si>
    <t>Share issuance</t>
  </si>
  <si>
    <t>Net changes in cash</t>
  </si>
  <si>
    <t>Beginning cash</t>
  </si>
  <si>
    <t>Ending cash</t>
  </si>
  <si>
    <t>LTGR</t>
  </si>
  <si>
    <t>Exit Mult.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</si>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</sst>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5" formatCode="&quot;$&quot;#,##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84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173" fontId="56" fillId="40" borderId="1" xfId="0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9" fontId="30" fillId="0" borderId="0" xfId="0" applyNumberFormat="1" applyFont="1"/>
    <xf numFmtId="3" fontId="69" fillId="0" borderId="0" xfId="0" applyNumberFormat="1" applyFont="1"/>
    <xf numFmtId="3" fontId="39" fillId="0" borderId="0" xfId="0" applyNumberFormat="1" applyFont="1"/>
    <xf numFmtId="3" fontId="34" fillId="0" borderId="0" xfId="52" applyNumberFormat="1" applyFont="1" applyFill="1" applyBorder="1" applyAlignment="1">
      <alignment horizontal="right"/>
    </xf>
    <xf numFmtId="1" fontId="33" fillId="42" borderId="0" xfId="0" applyNumberFormat="1" applyFont="1" applyFill="1"/>
    <xf numFmtId="1" fontId="33" fillId="42" borderId="0" xfId="0" applyNumberFormat="1" applyFont="1" applyFill="1" applyAlignment="1">
      <alignment horizontal="right"/>
    </xf>
    <xf numFmtId="1" fontId="33" fillId="0" borderId="0" xfId="0" applyNumberFormat="1" applyFont="1" applyFill="1"/>
    <xf numFmtId="3" fontId="39" fillId="0" borderId="18" xfId="0" applyNumberFormat="1" applyFont="1" applyBorder="1"/>
    <xf numFmtId="3" fontId="39" fillId="0" borderId="21" xfId="0" applyNumberFormat="1" applyFont="1" applyBorder="1"/>
    <xf numFmtId="9" fontId="39" fillId="0" borderId="0" xfId="0" applyNumberFormat="1" applyFont="1" applyAlignment="1">
      <alignment horizontal="right"/>
    </xf>
    <xf numFmtId="9" fontId="39" fillId="0" borderId="18" xfId="0" applyNumberFormat="1" applyFont="1" applyBorder="1" applyAlignment="1">
      <alignment horizontal="right"/>
    </xf>
    <xf numFmtId="9" fontId="39" fillId="0" borderId="21" xfId="0" applyNumberFormat="1" applyFont="1" applyBorder="1" applyAlignment="1">
      <alignment horizontal="right"/>
    </xf>
    <xf numFmtId="9" fontId="39" fillId="0" borderId="21" xfId="0" applyNumberFormat="1" applyFont="1" applyBorder="1"/>
    <xf numFmtId="9" fontId="40" fillId="0" borderId="0" xfId="0" applyNumberFormat="1" applyFont="1"/>
    <xf numFmtId="9" fontId="40" fillId="0" borderId="0" xfId="0" applyNumberFormat="1" applyFont="1" applyAlignment="1">
      <alignment horizontal="right"/>
    </xf>
    <xf numFmtId="9" fontId="40" fillId="0" borderId="18" xfId="0" applyNumberFormat="1" applyFont="1" applyBorder="1" applyAlignment="1">
      <alignment horizontal="right"/>
    </xf>
    <xf numFmtId="9" fontId="40" fillId="0" borderId="21" xfId="0" applyNumberFormat="1" applyFont="1" applyBorder="1" applyAlignment="1">
      <alignment horizontal="right"/>
    </xf>
    <xf numFmtId="9" fontId="40" fillId="0" borderId="21" xfId="0" applyNumberFormat="1" applyFont="1" applyBorder="1"/>
    <xf numFmtId="9" fontId="40" fillId="0" borderId="18" xfId="0" applyNumberFormat="1" applyFont="1" applyBorder="1"/>
    <xf numFmtId="3" fontId="39" fillId="0" borderId="15" xfId="0" applyNumberFormat="1" applyFont="1" applyBorder="1"/>
    <xf numFmtId="9" fontId="39" fillId="0" borderId="18" xfId="0" applyNumberFormat="1" applyFont="1" applyBorder="1"/>
    <xf numFmtId="9" fontId="40" fillId="0" borderId="17" xfId="0" applyNumberFormat="1" applyFont="1" applyBorder="1"/>
    <xf numFmtId="9" fontId="67" fillId="43" borderId="0" xfId="0" applyNumberFormat="1" applyFont="1" applyFill="1"/>
    <xf numFmtId="9" fontId="67" fillId="43" borderId="18" xfId="0" applyNumberFormat="1" applyFont="1" applyFill="1" applyBorder="1"/>
    <xf numFmtId="9" fontId="40" fillId="0" borderId="22" xfId="0" applyNumberFormat="1" applyFont="1" applyBorder="1"/>
    <xf numFmtId="3" fontId="45" fillId="0" borderId="0" xfId="0" applyNumberFormat="1" applyFont="1"/>
    <xf numFmtId="3" fontId="45" fillId="0" borderId="18" xfId="0" applyNumberFormat="1" applyFont="1" applyBorder="1"/>
    <xf numFmtId="3" fontId="45" fillId="0" borderId="21" xfId="0" applyNumberFormat="1" applyFont="1" applyBorder="1"/>
    <xf numFmtId="166" fontId="39" fillId="0" borderId="0" xfId="57" applyFont="1" applyFill="1"/>
    <xf numFmtId="185" fontId="39" fillId="0" borderId="0" xfId="59" applyNumberFormat="1" applyFont="1" applyAlignment="1" applyProtection="1">
      <alignment horizontal="center"/>
    </xf>
    <xf numFmtId="185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5" fontId="45" fillId="0" borderId="0" xfId="59" applyNumberFormat="1" applyFont="1" applyAlignment="1" applyProtection="1">
      <alignment horizontal="center"/>
    </xf>
    <xf numFmtId="185" fontId="45" fillId="0" borderId="0" xfId="4" applyNumberFormat="1" applyFont="1" applyFill="1" applyBorder="1" applyAlignment="1" applyProtection="1">
      <alignment horizontal="center"/>
    </xf>
    <xf numFmtId="185" fontId="45" fillId="0" borderId="0" xfId="0" applyNumberFormat="1" applyFont="1" applyAlignment="1">
      <alignment horizontal="center"/>
    </xf>
    <xf numFmtId="180" fontId="39" fillId="0" borderId="0" xfId="0" applyNumberFormat="1" applyFont="1" applyAlignment="1">
      <alignment horizontal="center"/>
    </xf>
    <xf numFmtId="176" fontId="39" fillId="0" borderId="0" xfId="59" applyNumberFormat="1" applyFont="1" applyAlignment="1" applyProtection="1">
      <alignment horizontal="center"/>
    </xf>
    <xf numFmtId="10" fontId="71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opLeftCell="C1" zoomScaleNormal="100" workbookViewId="0">
      <selection activeCell="K6" sqref="K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35" t="str">
        <f>CoName</f>
        <v>CoName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182</v>
      </c>
      <c r="E4" s="4" t="s">
        <v>166</v>
      </c>
      <c r="F4" s="203">
        <v>58.4</v>
      </c>
      <c r="H4" s="170" t="s">
        <v>179</v>
      </c>
      <c r="I4" s="169" t="s">
        <v>177</v>
      </c>
      <c r="J4" s="169" t="s">
        <v>176</v>
      </c>
      <c r="K4" s="169" t="s">
        <v>228</v>
      </c>
    </row>
    <row r="5" spans="1:15" x14ac:dyDescent="0.25">
      <c r="B5" s="4" t="s">
        <v>4</v>
      </c>
      <c r="C5" s="52">
        <v>247.43</v>
      </c>
      <c r="E5" s="4" t="s">
        <v>171</v>
      </c>
      <c r="F5" s="160">
        <v>177560</v>
      </c>
      <c r="H5" s="169" t="s">
        <v>173</v>
      </c>
      <c r="I5" s="210">
        <f>'DCF Model'!G18</f>
        <v>77.6240777700461</v>
      </c>
      <c r="J5" s="209">
        <f>'DCF Model'!C18</f>
        <v>48.516849596218407</v>
      </c>
      <c r="K5" s="209">
        <f>AVERAGE(I5:J5)</f>
        <v>63.070463683132253</v>
      </c>
    </row>
    <row r="6" spans="1:15" x14ac:dyDescent="0.25">
      <c r="B6" s="4" t="s">
        <v>5</v>
      </c>
      <c r="C6" s="51" t="s">
        <v>9</v>
      </c>
      <c r="E6" s="4" t="s">
        <v>102</v>
      </c>
      <c r="F6" s="160">
        <f>F5*F4</f>
        <v>10369504</v>
      </c>
      <c r="H6" s="169" t="s">
        <v>174</v>
      </c>
      <c r="I6" s="283">
        <f>I5/$F$4-1</f>
        <v>0.32917941387065253</v>
      </c>
      <c r="J6" s="204">
        <f>J5/$F$4-1</f>
        <v>-0.1692320274620136</v>
      </c>
      <c r="K6" s="283">
        <f>K5/$F$4-1</f>
        <v>7.9973693204319352E-2</v>
      </c>
    </row>
    <row r="7" spans="1:15" x14ac:dyDescent="0.25">
      <c r="B7" s="4" t="s">
        <v>6</v>
      </c>
      <c r="C7" s="51" t="s">
        <v>8</v>
      </c>
      <c r="E7" s="4" t="s">
        <v>172</v>
      </c>
      <c r="F7" s="51">
        <f>267195</f>
        <v>267195</v>
      </c>
    </row>
    <row r="8" spans="1:15" x14ac:dyDescent="0.25">
      <c r="B8" s="4" t="s">
        <v>2</v>
      </c>
      <c r="C8" s="51" t="s">
        <v>85</v>
      </c>
      <c r="E8" s="4" t="s">
        <v>143</v>
      </c>
      <c r="F8" s="51">
        <f>3879+17228+413403+825302</f>
        <v>1259812</v>
      </c>
    </row>
    <row r="9" spans="1:15" x14ac:dyDescent="0.25">
      <c r="B9" s="4" t="s">
        <v>7</v>
      </c>
      <c r="C9" s="51">
        <v>0</v>
      </c>
      <c r="E9" s="4" t="s">
        <v>116</v>
      </c>
      <c r="F9" s="51">
        <f>F6-F7+F8</f>
        <v>11362121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F16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defaultColWidth="11.7109375" defaultRowHeight="15" x14ac:dyDescent="0.25"/>
  <cols>
    <col min="1" max="1" width="2" style="248" bestFit="1" customWidth="1"/>
    <col min="2" max="2" width="24.140625" style="248" bestFit="1" customWidth="1"/>
    <col min="3" max="16384" width="11.7109375" style="248"/>
  </cols>
  <sheetData>
    <row r="1" spans="1:32" ht="19.5" x14ac:dyDescent="0.3">
      <c r="A1" s="247" t="str">
        <f>CoName</f>
        <v>CoName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spans="1:32" s="252" customFormat="1" x14ac:dyDescent="0.25">
      <c r="A2" s="250" t="s">
        <v>125</v>
      </c>
      <c r="B2" s="250"/>
      <c r="C2" s="251" t="s">
        <v>186</v>
      </c>
      <c r="D2" s="251" t="s">
        <v>187</v>
      </c>
      <c r="E2" s="251" t="s">
        <v>188</v>
      </c>
      <c r="F2" s="251" t="s">
        <v>189</v>
      </c>
      <c r="G2" s="251">
        <v>2022</v>
      </c>
      <c r="H2" s="251" t="s">
        <v>190</v>
      </c>
      <c r="I2" s="251" t="s">
        <v>191</v>
      </c>
      <c r="J2" s="251" t="s">
        <v>192</v>
      </c>
      <c r="K2" s="251" t="s">
        <v>193</v>
      </c>
      <c r="L2" s="251">
        <v>2023</v>
      </c>
      <c r="M2" s="251" t="s">
        <v>194</v>
      </c>
      <c r="N2" s="251" t="s">
        <v>195</v>
      </c>
      <c r="O2" s="251" t="s">
        <v>196</v>
      </c>
      <c r="P2" s="251" t="s">
        <v>197</v>
      </c>
      <c r="Q2" s="251">
        <v>2024</v>
      </c>
      <c r="R2" s="251" t="s">
        <v>198</v>
      </c>
      <c r="S2" s="251" t="s">
        <v>199</v>
      </c>
      <c r="T2" s="251" t="s">
        <v>200</v>
      </c>
      <c r="U2" s="251" t="s">
        <v>208</v>
      </c>
      <c r="V2" s="251" t="s">
        <v>207</v>
      </c>
      <c r="W2" s="251" t="s">
        <v>209</v>
      </c>
      <c r="X2" s="251" t="s">
        <v>210</v>
      </c>
      <c r="Y2" s="251" t="s">
        <v>211</v>
      </c>
      <c r="Z2" s="251" t="s">
        <v>212</v>
      </c>
      <c r="AA2" s="251" t="s">
        <v>201</v>
      </c>
      <c r="AB2" s="251" t="s">
        <v>202</v>
      </c>
      <c r="AC2" s="251" t="s">
        <v>203</v>
      </c>
      <c r="AD2" s="251" t="s">
        <v>204</v>
      </c>
      <c r="AE2" s="251" t="s">
        <v>205</v>
      </c>
      <c r="AF2" s="251" t="s">
        <v>206</v>
      </c>
    </row>
    <row r="3" spans="1:32" x14ac:dyDescent="0.25">
      <c r="B3" s="248" t="s">
        <v>183</v>
      </c>
      <c r="C3" s="248">
        <v>130187</v>
      </c>
      <c r="D3" s="248">
        <v>160512</v>
      </c>
      <c r="E3" s="248">
        <v>173501</v>
      </c>
      <c r="F3" s="253">
        <v>175510</v>
      </c>
      <c r="G3" s="254">
        <f>SUM(C3:F3)</f>
        <v>639710</v>
      </c>
      <c r="H3" s="248">
        <v>173164</v>
      </c>
      <c r="I3" s="248">
        <v>220952</v>
      </c>
      <c r="J3" s="248">
        <v>236472</v>
      </c>
      <c r="K3" s="248">
        <v>227351</v>
      </c>
      <c r="L3" s="254">
        <f>SUM(H3:K3)</f>
        <v>857939</v>
      </c>
      <c r="M3" s="248">
        <v>248085</v>
      </c>
      <c r="N3" s="248">
        <v>295268</v>
      </c>
      <c r="O3" s="248">
        <v>308295</v>
      </c>
      <c r="P3" s="248">
        <v>314182</v>
      </c>
      <c r="Q3" s="254">
        <f>SUM(M3:P3)</f>
        <v>1165830</v>
      </c>
      <c r="R3" s="248">
        <v>326421</v>
      </c>
      <c r="S3" s="248">
        <v>380500</v>
      </c>
      <c r="T3" s="248">
        <v>392833</v>
      </c>
      <c r="U3" s="248">
        <f>P3*(1+U4)</f>
        <v>392727.5</v>
      </c>
      <c r="V3" s="254">
        <f>SUM(R3:U3)</f>
        <v>1492481.5</v>
      </c>
      <c r="W3" s="248">
        <f>R3*(1+W4)</f>
        <v>424347.3</v>
      </c>
      <c r="X3" s="248">
        <f t="shared" ref="X3:Z3" si="0">S3*(1+X4)</f>
        <v>494650</v>
      </c>
      <c r="Y3" s="248">
        <f t="shared" si="0"/>
        <v>510682.9</v>
      </c>
      <c r="Z3" s="253">
        <f t="shared" si="0"/>
        <v>510545.75</v>
      </c>
      <c r="AA3" s="254">
        <f>SUM(W3:Z3)</f>
        <v>1940225.9500000002</v>
      </c>
      <c r="AB3" s="248">
        <f>AA3*(1+AB4)</f>
        <v>2502891.4755000002</v>
      </c>
      <c r="AC3" s="248">
        <f t="shared" ref="AC3:AF3" si="1">AB3*(1+AC4)</f>
        <v>3203701.0886400002</v>
      </c>
      <c r="AD3" s="248">
        <f t="shared" si="1"/>
        <v>4068700.3825728004</v>
      </c>
      <c r="AE3" s="248">
        <f t="shared" si="1"/>
        <v>5126562.4820417287</v>
      </c>
      <c r="AF3" s="253">
        <f t="shared" si="1"/>
        <v>6408203.1025521606</v>
      </c>
    </row>
    <row r="4" spans="1:32" s="259" customFormat="1" x14ac:dyDescent="0.25">
      <c r="B4" s="259" t="s">
        <v>215</v>
      </c>
      <c r="C4" s="260" t="s">
        <v>214</v>
      </c>
      <c r="D4" s="260" t="s">
        <v>214</v>
      </c>
      <c r="E4" s="260" t="s">
        <v>214</v>
      </c>
      <c r="F4" s="261" t="s">
        <v>214</v>
      </c>
      <c r="G4" s="262" t="s">
        <v>214</v>
      </c>
      <c r="H4" s="259">
        <f>H3/C3-1</f>
        <v>0.33011744644242502</v>
      </c>
      <c r="I4" s="259">
        <f t="shared" ref="I4:L4" si="2">I3/D3-1</f>
        <v>0.37654505582137165</v>
      </c>
      <c r="J4" s="259">
        <f t="shared" si="2"/>
        <v>0.36294315306540015</v>
      </c>
      <c r="K4" s="259">
        <f t="shared" si="2"/>
        <v>0.29537348299242216</v>
      </c>
      <c r="L4" s="263">
        <f t="shared" si="2"/>
        <v>0.34113739038001589</v>
      </c>
      <c r="M4" s="259">
        <f>M3/H3-1</f>
        <v>0.43265921323138756</v>
      </c>
      <c r="N4" s="259">
        <f t="shared" ref="N4" si="3">N3/I3-1</f>
        <v>0.33634454542163006</v>
      </c>
      <c r="O4" s="259">
        <f t="shared" ref="O4" si="4">O3/J3-1</f>
        <v>0.30372729118035124</v>
      </c>
      <c r="P4" s="259">
        <f t="shared" ref="P4" si="5">P3/K3-1</f>
        <v>0.38192486507646772</v>
      </c>
      <c r="Q4" s="263">
        <f t="shared" ref="Q4" si="6">Q3/L3-1</f>
        <v>0.35887283361637601</v>
      </c>
      <c r="R4" s="259">
        <f>R3/M3-1</f>
        <v>0.31576274260838022</v>
      </c>
      <c r="S4" s="259">
        <f t="shared" ref="S4" si="7">S3/N3-1</f>
        <v>0.28865979381443307</v>
      </c>
      <c r="T4" s="259">
        <f t="shared" ref="T4" si="8">T3/O3-1</f>
        <v>0.27421138844288739</v>
      </c>
      <c r="U4" s="268">
        <v>0.25</v>
      </c>
      <c r="V4" s="263">
        <f t="shared" ref="V4" si="9">V3/Q3-1</f>
        <v>0.28018793477608228</v>
      </c>
      <c r="W4" s="268">
        <v>0.3</v>
      </c>
      <c r="X4" s="268">
        <v>0.3</v>
      </c>
      <c r="Y4" s="268">
        <v>0.3</v>
      </c>
      <c r="Z4" s="269">
        <v>0.3</v>
      </c>
      <c r="AA4" s="263">
        <f t="shared" ref="AA4" si="10">AA3/V3-1</f>
        <v>0.30000000000000004</v>
      </c>
      <c r="AB4" s="268">
        <f>AA4-0.01</f>
        <v>0.29000000000000004</v>
      </c>
      <c r="AC4" s="268">
        <f t="shared" ref="AC4:AF6" si="11">AB4-0.01</f>
        <v>0.28000000000000003</v>
      </c>
      <c r="AD4" s="268">
        <f t="shared" si="11"/>
        <v>0.27</v>
      </c>
      <c r="AE4" s="268">
        <f t="shared" si="11"/>
        <v>0.26</v>
      </c>
      <c r="AF4" s="269">
        <f t="shared" si="11"/>
        <v>0.25</v>
      </c>
    </row>
    <row r="5" spans="1:32" x14ac:dyDescent="0.25">
      <c r="B5" s="248" t="s">
        <v>184</v>
      </c>
      <c r="C5" s="248">
        <v>21969</v>
      </c>
      <c r="D5" s="248">
        <v>25869</v>
      </c>
      <c r="E5" s="248">
        <v>25147</v>
      </c>
      <c r="F5" s="253">
        <v>26317</v>
      </c>
      <c r="G5" s="254">
        <f>SUM(C5:F5)</f>
        <v>99302</v>
      </c>
      <c r="H5" s="248">
        <v>24103</v>
      </c>
      <c r="I5" s="248">
        <v>28927</v>
      </c>
      <c r="J5" s="248">
        <v>28035</v>
      </c>
      <c r="K5" s="248">
        <v>26772</v>
      </c>
      <c r="L5" s="254">
        <f>SUM(H5:K5)</f>
        <v>107837</v>
      </c>
      <c r="M5" s="248">
        <v>27014</v>
      </c>
      <c r="N5" s="248">
        <v>29650</v>
      </c>
      <c r="O5" s="248">
        <v>29917</v>
      </c>
      <c r="P5" s="248">
        <v>28604</v>
      </c>
      <c r="Q5" s="254">
        <f>SUM(M5:P5)</f>
        <v>115185</v>
      </c>
      <c r="R5" s="248">
        <v>28731</v>
      </c>
      <c r="S5" s="248">
        <v>35313</v>
      </c>
      <c r="T5" s="248">
        <v>30751</v>
      </c>
      <c r="U5" s="248">
        <f>P5*(1+U6)</f>
        <v>29401.39733262025</v>
      </c>
      <c r="V5" s="254">
        <f>SUM(R5:U5)</f>
        <v>124196.39733262025</v>
      </c>
      <c r="W5" s="248">
        <f>R5*(1+W6)</f>
        <v>30978.744556700196</v>
      </c>
      <c r="X5" s="248">
        <f t="shared" ref="X5" si="12">S5*(1+X6)</f>
        <v>38075.681547135639</v>
      </c>
      <c r="Y5" s="248">
        <f t="shared" ref="Y5" si="13">T5*(1+Y6)</f>
        <v>33156.777482965706</v>
      </c>
      <c r="Z5" s="253">
        <f t="shared" ref="Z5" si="14">U5*(1+Z6)</f>
        <v>31701.589835971226</v>
      </c>
      <c r="AA5" s="254">
        <f>SUM(W5:Z5)</f>
        <v>133912.79342277275</v>
      </c>
      <c r="AB5" s="248">
        <f>AA5*(1+AB6)</f>
        <v>143050.21529497553</v>
      </c>
      <c r="AC5" s="248">
        <f t="shared" ref="AC5" si="15">AB5*(1+AC6)</f>
        <v>151380.61897223259</v>
      </c>
      <c r="AD5" s="248">
        <f t="shared" ref="AD5" si="16">AC5*(1+AD6)</f>
        <v>158682.33020309839</v>
      </c>
      <c r="AE5" s="248">
        <f t="shared" ref="AE5" si="17">AD5*(1+AE6)</f>
        <v>164749.4097616208</v>
      </c>
      <c r="AF5" s="253">
        <f t="shared" ref="AF5" si="18">AE5*(1+AF6)</f>
        <v>169400.96468202717</v>
      </c>
    </row>
    <row r="6" spans="1:32" s="259" customFormat="1" x14ac:dyDescent="0.25">
      <c r="B6" s="259" t="s">
        <v>215</v>
      </c>
      <c r="C6" s="260" t="s">
        <v>214</v>
      </c>
      <c r="D6" s="260" t="s">
        <v>214</v>
      </c>
      <c r="E6" s="260" t="s">
        <v>214</v>
      </c>
      <c r="F6" s="261" t="s">
        <v>214</v>
      </c>
      <c r="G6" s="262" t="s">
        <v>214</v>
      </c>
      <c r="H6" s="259">
        <f>H5/C5-1</f>
        <v>9.7136874687059116E-2</v>
      </c>
      <c r="I6" s="259">
        <f t="shared" ref="I6" si="19">I5/D5-1</f>
        <v>0.1182109861223859</v>
      </c>
      <c r="J6" s="259">
        <f t="shared" ref="J6" si="20">J5/E5-1</f>
        <v>0.11484471308704824</v>
      </c>
      <c r="K6" s="259">
        <f t="shared" ref="K6" si="21">K5/F5-1</f>
        <v>1.7289204696584015E-2</v>
      </c>
      <c r="L6" s="263">
        <f t="shared" ref="L6" si="22">L5/G5-1</f>
        <v>8.5949930514994666E-2</v>
      </c>
      <c r="M6" s="259">
        <f>M5/H5-1</f>
        <v>0.12077334771605197</v>
      </c>
      <c r="N6" s="259">
        <f t="shared" ref="N6" si="23">N5/I5-1</f>
        <v>2.4993950288657585E-2</v>
      </c>
      <c r="O6" s="259">
        <f t="shared" ref="O6" si="24">O5/J5-1</f>
        <v>6.713037274835032E-2</v>
      </c>
      <c r="P6" s="259">
        <f t="shared" ref="P6" si="25">P5/K5-1</f>
        <v>6.8429702674436044E-2</v>
      </c>
      <c r="Q6" s="263">
        <f t="shared" ref="Q6" si="26">Q5/L5-1</f>
        <v>6.8139877778498947E-2</v>
      </c>
      <c r="R6" s="259">
        <f>R5/M5-1</f>
        <v>6.35596357444288E-2</v>
      </c>
      <c r="S6" s="259">
        <f t="shared" ref="S6" si="27">S5/N5-1</f>
        <v>0.19099494097807757</v>
      </c>
      <c r="T6" s="259">
        <f t="shared" ref="T6" si="28">T5/O5-1</f>
        <v>2.7877126717251066E-2</v>
      </c>
      <c r="U6" s="268">
        <f>T6</f>
        <v>2.7877126717251066E-2</v>
      </c>
      <c r="V6" s="263">
        <f t="shared" ref="V6" si="29">V5/Q5-1</f>
        <v>7.8234121913619337E-2</v>
      </c>
      <c r="W6" s="268">
        <f>V6</f>
        <v>7.8234121913619337E-2</v>
      </c>
      <c r="X6" s="268">
        <f t="shared" ref="X6:Z6" si="30">W6</f>
        <v>7.8234121913619337E-2</v>
      </c>
      <c r="Y6" s="268">
        <f t="shared" si="30"/>
        <v>7.8234121913619337E-2</v>
      </c>
      <c r="Z6" s="269">
        <f t="shared" si="30"/>
        <v>7.8234121913619337E-2</v>
      </c>
      <c r="AA6" s="263">
        <f t="shared" ref="AA6" si="31">AA5/V5-1</f>
        <v>7.8234121913619115E-2</v>
      </c>
      <c r="AB6" s="268">
        <f>AA6-0.01</f>
        <v>6.823412191361912E-2</v>
      </c>
      <c r="AC6" s="268">
        <f t="shared" si="11"/>
        <v>5.8234121913619118E-2</v>
      </c>
      <c r="AD6" s="268">
        <f t="shared" si="11"/>
        <v>4.8234121913619116E-2</v>
      </c>
      <c r="AE6" s="268">
        <f t="shared" si="11"/>
        <v>3.8234121913619114E-2</v>
      </c>
      <c r="AF6" s="269">
        <f t="shared" si="11"/>
        <v>2.8234121913619112E-2</v>
      </c>
    </row>
    <row r="7" spans="1:32" s="271" customFormat="1" x14ac:dyDescent="0.25">
      <c r="A7" s="271" t="s">
        <v>185</v>
      </c>
      <c r="C7" s="271">
        <f>C3+C5</f>
        <v>152156</v>
      </c>
      <c r="D7" s="271">
        <f t="shared" ref="D7:AF7" si="32">D3+D5</f>
        <v>186381</v>
      </c>
      <c r="E7" s="271">
        <f t="shared" si="32"/>
        <v>198648</v>
      </c>
      <c r="F7" s="272">
        <f t="shared" si="32"/>
        <v>201827</v>
      </c>
      <c r="G7" s="273">
        <f t="shared" si="32"/>
        <v>739012</v>
      </c>
      <c r="H7" s="271">
        <f t="shared" si="32"/>
        <v>197267</v>
      </c>
      <c r="I7" s="271">
        <f t="shared" si="32"/>
        <v>249879</v>
      </c>
      <c r="J7" s="271">
        <f t="shared" si="32"/>
        <v>264507</v>
      </c>
      <c r="K7" s="271">
        <f t="shared" si="32"/>
        <v>254123</v>
      </c>
      <c r="L7" s="273">
        <f t="shared" si="32"/>
        <v>965776</v>
      </c>
      <c r="M7" s="271">
        <f t="shared" si="32"/>
        <v>275099</v>
      </c>
      <c r="N7" s="271">
        <f t="shared" si="32"/>
        <v>324918</v>
      </c>
      <c r="O7" s="271">
        <f t="shared" si="32"/>
        <v>338212</v>
      </c>
      <c r="P7" s="271">
        <f t="shared" si="32"/>
        <v>342786</v>
      </c>
      <c r="Q7" s="273">
        <f t="shared" si="32"/>
        <v>1281015</v>
      </c>
      <c r="R7" s="271">
        <f t="shared" si="32"/>
        <v>355152</v>
      </c>
      <c r="S7" s="271">
        <f t="shared" si="32"/>
        <v>415813</v>
      </c>
      <c r="T7" s="271">
        <f t="shared" si="32"/>
        <v>423584</v>
      </c>
      <c r="U7" s="271">
        <f t="shared" si="32"/>
        <v>422128.89733262022</v>
      </c>
      <c r="V7" s="273">
        <f t="shared" si="32"/>
        <v>1616677.8973326203</v>
      </c>
      <c r="W7" s="271">
        <f t="shared" si="32"/>
        <v>455326.04455670016</v>
      </c>
      <c r="X7" s="271">
        <f t="shared" si="32"/>
        <v>532725.68154713558</v>
      </c>
      <c r="Y7" s="271">
        <f t="shared" si="32"/>
        <v>543839.67748296575</v>
      </c>
      <c r="Z7" s="272">
        <f t="shared" si="32"/>
        <v>542247.33983597124</v>
      </c>
      <c r="AA7" s="273">
        <f t="shared" si="32"/>
        <v>2074138.743422773</v>
      </c>
      <c r="AB7" s="271">
        <f t="shared" si="32"/>
        <v>2645941.6907949755</v>
      </c>
      <c r="AC7" s="271">
        <f t="shared" si="32"/>
        <v>3355081.7076122328</v>
      </c>
      <c r="AD7" s="271">
        <f t="shared" si="32"/>
        <v>4227382.7127758991</v>
      </c>
      <c r="AE7" s="271">
        <f t="shared" si="32"/>
        <v>5291311.8918033494</v>
      </c>
      <c r="AF7" s="272">
        <f t="shared" si="32"/>
        <v>6577604.0672341874</v>
      </c>
    </row>
    <row r="8" spans="1:32" s="259" customFormat="1" x14ac:dyDescent="0.25">
      <c r="B8" s="259" t="s">
        <v>215</v>
      </c>
      <c r="C8" s="260" t="s">
        <v>214</v>
      </c>
      <c r="D8" s="260" t="s">
        <v>214</v>
      </c>
      <c r="E8" s="260" t="s">
        <v>214</v>
      </c>
      <c r="F8" s="261" t="s">
        <v>214</v>
      </c>
      <c r="G8" s="262" t="s">
        <v>214</v>
      </c>
      <c r="H8" s="259">
        <f>H7/C7-1</f>
        <v>0.29647861405399722</v>
      </c>
      <c r="I8" s="259">
        <f t="shared" ref="I8" si="33">I7/D7-1</f>
        <v>0.34068923334460055</v>
      </c>
      <c r="J8" s="259">
        <f t="shared" ref="J8" si="34">J7/E7-1</f>
        <v>0.33153618460794965</v>
      </c>
      <c r="K8" s="259">
        <f t="shared" ref="K8" si="35">K7/F7-1</f>
        <v>0.25911300272015136</v>
      </c>
      <c r="L8" s="263">
        <f t="shared" ref="L8" si="36">L7/G7-1</f>
        <v>0.30684752074391208</v>
      </c>
      <c r="M8" s="259">
        <f>M7/H7-1</f>
        <v>0.39455154688822769</v>
      </c>
      <c r="N8" s="259">
        <f t="shared" ref="N8" si="37">N7/I7-1</f>
        <v>0.30030134585139212</v>
      </c>
      <c r="O8" s="259">
        <f t="shared" ref="O8" si="38">O7/J7-1</f>
        <v>0.27865047049794534</v>
      </c>
      <c r="P8" s="259">
        <f t="shared" ref="P8" si="39">P7/K7-1</f>
        <v>0.34889797460284977</v>
      </c>
      <c r="Q8" s="263">
        <f t="shared" ref="Q8" si="40">Q7/L7-1</f>
        <v>0.32641005781879029</v>
      </c>
      <c r="R8" s="259">
        <f>R7/M7-1</f>
        <v>0.29099705924049157</v>
      </c>
      <c r="S8" s="259">
        <f t="shared" ref="S8" si="41">S7/N7-1</f>
        <v>0.2797475055244707</v>
      </c>
      <c r="T8" s="259">
        <f t="shared" ref="T8:U8" si="42">T7/O7-1</f>
        <v>0.25242155807599964</v>
      </c>
      <c r="U8" s="259">
        <f t="shared" si="42"/>
        <v>0.23146481283547238</v>
      </c>
      <c r="V8" s="263">
        <f t="shared" ref="V8" si="43">V7/Q7-1</f>
        <v>0.2620288578452401</v>
      </c>
      <c r="W8" s="259">
        <f>W7/R7-1</f>
        <v>0.28205963800485478</v>
      </c>
      <c r="X8" s="259">
        <f t="shared" ref="X8" si="44">X7/S7-1</f>
        <v>0.28116648961705271</v>
      </c>
      <c r="Y8" s="259">
        <f t="shared" ref="Y8" si="45">Y7/T7-1</f>
        <v>0.28390042466893406</v>
      </c>
      <c r="Z8" s="259">
        <f t="shared" ref="Z8:AA8" si="46">Z7/U7-1</f>
        <v>0.28455394374174436</v>
      </c>
      <c r="AA8" s="263">
        <f t="shared" si="46"/>
        <v>0.28296350611641552</v>
      </c>
      <c r="AB8" s="259">
        <f>AB7/AA7-1</f>
        <v>0.27568211103785911</v>
      </c>
      <c r="AC8" s="259">
        <f t="shared" ref="AC8:AF8" si="47">AC7/AB7-1</f>
        <v>0.26801044757875814</v>
      </c>
      <c r="AD8" s="259">
        <f t="shared" si="47"/>
        <v>0.25999396771307581</v>
      </c>
      <c r="AE8" s="259">
        <f t="shared" si="47"/>
        <v>0.25167562326733939</v>
      </c>
      <c r="AF8" s="264">
        <f t="shared" si="47"/>
        <v>0.24309513438877106</v>
      </c>
    </row>
    <row r="9" spans="1:32" s="189" customFormat="1" x14ac:dyDescent="0.25">
      <c r="C9" s="255"/>
      <c r="D9" s="255"/>
      <c r="E9" s="255"/>
      <c r="F9" s="256"/>
      <c r="G9" s="257"/>
      <c r="L9" s="258"/>
      <c r="Q9" s="258"/>
      <c r="V9" s="258"/>
      <c r="Z9" s="266"/>
      <c r="AA9" s="258"/>
      <c r="AF9" s="266"/>
    </row>
    <row r="10" spans="1:32" x14ac:dyDescent="0.25">
      <c r="B10" s="248" t="s">
        <v>156</v>
      </c>
      <c r="C10" s="248">
        <v>121167</v>
      </c>
      <c r="D10" s="248">
        <v>141370</v>
      </c>
      <c r="E10" s="248">
        <v>148092</v>
      </c>
      <c r="F10" s="253">
        <v>147467</v>
      </c>
      <c r="G10" s="254">
        <f t="shared" ref="G10:G12" si="48">SUM(C10:F10)</f>
        <v>558096</v>
      </c>
      <c r="H10" s="248">
        <v>151523</v>
      </c>
      <c r="I10" s="248">
        <v>178636</v>
      </c>
      <c r="J10" s="248">
        <v>189323</v>
      </c>
      <c r="K10" s="248">
        <v>194998</v>
      </c>
      <c r="L10" s="254">
        <f t="shared" ref="L10:L12" si="49">SUM(H10:K10)</f>
        <v>714480</v>
      </c>
      <c r="M10" s="248">
        <v>203326</v>
      </c>
      <c r="N10" s="248">
        <v>234637</v>
      </c>
      <c r="O10" s="248">
        <v>248161</v>
      </c>
      <c r="P10" s="248">
        <v>254838</v>
      </c>
      <c r="Q10" s="254">
        <f t="shared" ref="Q10:Q12" si="50">SUM(M10:P10)</f>
        <v>940962</v>
      </c>
      <c r="R10" s="248">
        <v>265159</v>
      </c>
      <c r="S10" s="248">
        <v>295769</v>
      </c>
      <c r="T10" s="248">
        <v>316805</v>
      </c>
      <c r="U10" s="248">
        <f>U7*U11</f>
        <v>310380.88289249456</v>
      </c>
      <c r="V10" s="254">
        <f t="shared" ref="V10:V12" si="51">SUM(R10:U10)</f>
        <v>1188113.8828924946</v>
      </c>
      <c r="W10" s="248">
        <f t="shared" ref="W10:Z10" si="52">W7*W11</f>
        <v>334623.98148258921</v>
      </c>
      <c r="X10" s="248">
        <f t="shared" si="52"/>
        <v>391505.80277234718</v>
      </c>
      <c r="Y10" s="248">
        <f t="shared" si="52"/>
        <v>399673.59728945978</v>
      </c>
      <c r="Z10" s="253">
        <f t="shared" si="52"/>
        <v>398503.37131694669</v>
      </c>
      <c r="AA10" s="254">
        <f>SUM(W10:Z10)</f>
        <v>1524306.7528613429</v>
      </c>
      <c r="AB10" s="248">
        <f t="shared" ref="AB10" si="53">AB7*AB11</f>
        <v>1918071.4394514721</v>
      </c>
      <c r="AC10" s="248">
        <f t="shared" ref="AC10" si="54">AC7*AC11</f>
        <v>2398583.8073507715</v>
      </c>
      <c r="AD10" s="248">
        <f t="shared" ref="AD10" si="55">AD7*AD11</f>
        <v>2979927.3011884759</v>
      </c>
      <c r="AE10" s="248">
        <f t="shared" ref="AE10" si="56">AE7*AE11</f>
        <v>3676989.2430884126</v>
      </c>
      <c r="AF10" s="253">
        <f t="shared" ref="AF10" si="57">AF7*AF11</f>
        <v>4505071.3966107136</v>
      </c>
    </row>
    <row r="11" spans="1:32" s="259" customFormat="1" x14ac:dyDescent="0.25">
      <c r="B11" s="259" t="s">
        <v>216</v>
      </c>
      <c r="C11" s="259">
        <f>C10/C7</f>
        <v>0.79633402560529987</v>
      </c>
      <c r="D11" s="259">
        <f t="shared" ref="D11:V11" si="58">D10/D7</f>
        <v>0.75850006170156825</v>
      </c>
      <c r="E11" s="259">
        <f t="shared" si="58"/>
        <v>0.74549957714147641</v>
      </c>
      <c r="F11" s="264">
        <f t="shared" si="58"/>
        <v>0.73066041708988394</v>
      </c>
      <c r="G11" s="263">
        <f t="shared" si="58"/>
        <v>0.75519206724653998</v>
      </c>
      <c r="H11" s="259">
        <f t="shared" si="58"/>
        <v>0.76811124009591059</v>
      </c>
      <c r="I11" s="259">
        <f t="shared" si="58"/>
        <v>0.71489000676327341</v>
      </c>
      <c r="J11" s="259">
        <f t="shared" si="58"/>
        <v>0.71575799506251248</v>
      </c>
      <c r="K11" s="259">
        <f t="shared" si="58"/>
        <v>0.76733707692731468</v>
      </c>
      <c r="L11" s="263">
        <f t="shared" si="58"/>
        <v>0.73979887675817169</v>
      </c>
      <c r="M11" s="259">
        <f t="shared" si="58"/>
        <v>0.73910119629660598</v>
      </c>
      <c r="N11" s="259">
        <f t="shared" si="58"/>
        <v>0.72214220203251278</v>
      </c>
      <c r="O11" s="259">
        <f t="shared" si="58"/>
        <v>0.73374392392936971</v>
      </c>
      <c r="P11" s="259">
        <f t="shared" si="58"/>
        <v>0.74343176209063377</v>
      </c>
      <c r="Q11" s="263">
        <f t="shared" si="58"/>
        <v>0.73454409198955517</v>
      </c>
      <c r="R11" s="259">
        <f t="shared" si="58"/>
        <v>0.74660708654322661</v>
      </c>
      <c r="S11" s="259">
        <f t="shared" si="58"/>
        <v>0.71130291741720442</v>
      </c>
      <c r="T11" s="259">
        <f t="shared" si="58"/>
        <v>0.74791540756969099</v>
      </c>
      <c r="U11" s="269">
        <f>AVERAGE(R11:T11)</f>
        <v>0.73527513717670734</v>
      </c>
      <c r="V11" s="264">
        <f t="shared" si="58"/>
        <v>0.73491069857068025</v>
      </c>
      <c r="W11" s="268">
        <f>V11</f>
        <v>0.73491069857068025</v>
      </c>
      <c r="X11" s="268">
        <f t="shared" ref="X11:Z13" si="59">W11</f>
        <v>0.73491069857068025</v>
      </c>
      <c r="Y11" s="268">
        <f t="shared" si="59"/>
        <v>0.73491069857068025</v>
      </c>
      <c r="Z11" s="269">
        <f t="shared" si="59"/>
        <v>0.73491069857068025</v>
      </c>
      <c r="AA11" s="264">
        <f t="shared" ref="AA11" si="60">AA10/AA7</f>
        <v>0.73491069857068014</v>
      </c>
      <c r="AB11" s="268">
        <f>AA11-0.01</f>
        <v>0.72491069857068013</v>
      </c>
      <c r="AC11" s="268">
        <f t="shared" ref="AC11:AF13" si="61">AB11-0.01</f>
        <v>0.71491069857068013</v>
      </c>
      <c r="AD11" s="268">
        <f t="shared" si="61"/>
        <v>0.70491069857068012</v>
      </c>
      <c r="AE11" s="268">
        <f t="shared" si="61"/>
        <v>0.69491069857068011</v>
      </c>
      <c r="AF11" s="269">
        <f t="shared" si="61"/>
        <v>0.6849106985706801</v>
      </c>
    </row>
    <row r="12" spans="1:32" x14ac:dyDescent="0.25">
      <c r="B12" s="248" t="s">
        <v>51</v>
      </c>
      <c r="C12" s="248">
        <v>45214</v>
      </c>
      <c r="D12" s="248">
        <v>42342</v>
      </c>
      <c r="E12" s="248">
        <v>45378</v>
      </c>
      <c r="F12" s="253">
        <v>50594</v>
      </c>
      <c r="G12" s="254">
        <f t="shared" si="48"/>
        <v>183528</v>
      </c>
      <c r="H12" s="248">
        <v>45976</v>
      </c>
      <c r="I12" s="248">
        <v>51662</v>
      </c>
      <c r="J12" s="248">
        <v>50490</v>
      </c>
      <c r="K12" s="248">
        <v>56946</v>
      </c>
      <c r="L12" s="254">
        <f t="shared" si="49"/>
        <v>205074</v>
      </c>
      <c r="M12" s="248">
        <v>46194</v>
      </c>
      <c r="N12" s="248">
        <v>58097</v>
      </c>
      <c r="O12" s="248">
        <v>57536</v>
      </c>
      <c r="P12" s="248">
        <v>72170</v>
      </c>
      <c r="Q12" s="254">
        <f t="shared" si="50"/>
        <v>233997</v>
      </c>
      <c r="R12" s="248">
        <v>58921</v>
      </c>
      <c r="S12" s="248">
        <v>65385</v>
      </c>
      <c r="T12" s="248">
        <v>65289</v>
      </c>
      <c r="U12" s="253">
        <f>U7*U13</f>
        <v>67158.526021287616</v>
      </c>
      <c r="V12" s="253">
        <f t="shared" si="51"/>
        <v>256753.5260212876</v>
      </c>
      <c r="W12" s="248">
        <f t="shared" ref="W12:Z12" si="62">W7*W13</f>
        <v>72312.838334800312</v>
      </c>
      <c r="X12" s="248">
        <f t="shared" si="62"/>
        <v>84605.101217128395</v>
      </c>
      <c r="Y12" s="248">
        <f t="shared" si="62"/>
        <v>86370.176158413102</v>
      </c>
      <c r="Z12" s="253">
        <f t="shared" si="62"/>
        <v>86117.288241681614</v>
      </c>
      <c r="AA12" s="254">
        <f>SUM(W12:Z12)</f>
        <v>329405.40395202348</v>
      </c>
      <c r="AB12" s="248">
        <f t="shared" ref="AB12" si="63">AB7*AB13</f>
        <v>393757.16419284634</v>
      </c>
      <c r="AC12" s="248">
        <f t="shared" ref="AC12" si="64">AC7*AC13</f>
        <v>465737.38092939125</v>
      </c>
      <c r="AD12" s="248">
        <f t="shared" ref="AD12" si="65">AD7*AD13</f>
        <v>544552.46338176087</v>
      </c>
      <c r="AE12" s="248">
        <f t="shared" ref="AE12" si="66">AE7*AE13</f>
        <v>628689.9250870971</v>
      </c>
      <c r="AF12" s="253">
        <f t="shared" ref="AF12" si="67">AF7*AF13</f>
        <v>715745.3462426695</v>
      </c>
    </row>
    <row r="13" spans="1:32" s="259" customFormat="1" x14ac:dyDescent="0.25">
      <c r="B13" s="259" t="s">
        <v>216</v>
      </c>
      <c r="C13" s="259">
        <f>C12/C7</f>
        <v>0.29715555088198953</v>
      </c>
      <c r="D13" s="259">
        <f t="shared" ref="D13:V13" si="68">D12/D7</f>
        <v>0.22717980910071306</v>
      </c>
      <c r="E13" s="259">
        <f t="shared" si="68"/>
        <v>0.22843421529539687</v>
      </c>
      <c r="F13" s="264">
        <f t="shared" si="68"/>
        <v>0.25068003785420184</v>
      </c>
      <c r="G13" s="263">
        <f t="shared" si="68"/>
        <v>0.24834238144982762</v>
      </c>
      <c r="H13" s="259">
        <f t="shared" si="68"/>
        <v>0.23306483091444591</v>
      </c>
      <c r="I13" s="259">
        <f t="shared" si="68"/>
        <v>0.20674806606397497</v>
      </c>
      <c r="J13" s="259">
        <f t="shared" si="68"/>
        <v>0.19088341707402828</v>
      </c>
      <c r="K13" s="259">
        <f t="shared" si="68"/>
        <v>0.22408833517627291</v>
      </c>
      <c r="L13" s="263">
        <f t="shared" si="68"/>
        <v>0.21234116399662034</v>
      </c>
      <c r="M13" s="259">
        <f t="shared" si="68"/>
        <v>0.16791773143486527</v>
      </c>
      <c r="N13" s="259">
        <f t="shared" si="68"/>
        <v>0.17880511390566234</v>
      </c>
      <c r="O13" s="259">
        <f t="shared" si="68"/>
        <v>0.17011815074568615</v>
      </c>
      <c r="P13" s="259">
        <f t="shared" si="68"/>
        <v>0.21053952028379222</v>
      </c>
      <c r="Q13" s="263">
        <f t="shared" si="68"/>
        <v>0.18266530836875447</v>
      </c>
      <c r="R13" s="259">
        <f t="shared" si="68"/>
        <v>0.16590361310086948</v>
      </c>
      <c r="S13" s="259">
        <f t="shared" si="68"/>
        <v>0.15724616594478769</v>
      </c>
      <c r="T13" s="259">
        <f t="shared" si="68"/>
        <v>0.15413471708090956</v>
      </c>
      <c r="U13" s="269">
        <f>AVERAGE(R13:T13)</f>
        <v>0.15909483204218891</v>
      </c>
      <c r="V13" s="264">
        <f t="shared" si="68"/>
        <v>0.15881551077361103</v>
      </c>
      <c r="W13" s="268">
        <f>V13</f>
        <v>0.15881551077361103</v>
      </c>
      <c r="X13" s="268">
        <f t="shared" si="59"/>
        <v>0.15881551077361103</v>
      </c>
      <c r="Y13" s="268">
        <f t="shared" si="59"/>
        <v>0.15881551077361103</v>
      </c>
      <c r="Z13" s="269">
        <f t="shared" si="59"/>
        <v>0.15881551077361103</v>
      </c>
      <c r="AA13" s="264">
        <f t="shared" ref="AA13" si="69">AA12/AA7</f>
        <v>0.15881551077361106</v>
      </c>
      <c r="AB13" s="268">
        <f>AA13-0.01</f>
        <v>0.14881551077361105</v>
      </c>
      <c r="AC13" s="268">
        <f t="shared" si="61"/>
        <v>0.13881551077361104</v>
      </c>
      <c r="AD13" s="268">
        <f t="shared" si="61"/>
        <v>0.12881551077361103</v>
      </c>
      <c r="AE13" s="268">
        <f t="shared" si="61"/>
        <v>0.11881551077361104</v>
      </c>
      <c r="AF13" s="269">
        <f t="shared" si="61"/>
        <v>0.10881551077361104</v>
      </c>
    </row>
    <row r="14" spans="1:32" s="271" customFormat="1" x14ac:dyDescent="0.25">
      <c r="A14" s="271" t="s">
        <v>213</v>
      </c>
      <c r="C14" s="271">
        <f>C7-C10-C12</f>
        <v>-14225</v>
      </c>
      <c r="D14" s="271">
        <f>D7-D10-D12</f>
        <v>2669</v>
      </c>
      <c r="E14" s="271">
        <f>E7-E10-E12</f>
        <v>5178</v>
      </c>
      <c r="F14" s="272">
        <f>F7-F10-F12</f>
        <v>3766</v>
      </c>
      <c r="G14" s="273">
        <f>G7-G10-G12</f>
        <v>-2612</v>
      </c>
      <c r="H14" s="271">
        <f>H7-H10-H12</f>
        <v>-232</v>
      </c>
      <c r="I14" s="271">
        <f>I7-I10-I12</f>
        <v>19581</v>
      </c>
      <c r="J14" s="271">
        <f>J7-J10-J12</f>
        <v>24694</v>
      </c>
      <c r="K14" s="271">
        <f>K7-K10-K12</f>
        <v>2179</v>
      </c>
      <c r="L14" s="273">
        <f>L7-L10-L12</f>
        <v>46222</v>
      </c>
      <c r="M14" s="271">
        <f>M7-M10-M12</f>
        <v>25579</v>
      </c>
      <c r="N14" s="271">
        <f>N7-N10-N12</f>
        <v>32184</v>
      </c>
      <c r="O14" s="271">
        <f>O7-O10-O12</f>
        <v>32515</v>
      </c>
      <c r="P14" s="271">
        <f>P7-P10-P12</f>
        <v>15778</v>
      </c>
      <c r="Q14" s="273">
        <f>Q7-Q10-Q12</f>
        <v>106056</v>
      </c>
      <c r="R14" s="271">
        <f>R7-R10-R12</f>
        <v>31072</v>
      </c>
      <c r="S14" s="271">
        <f>S7-S10-S12</f>
        <v>54659</v>
      </c>
      <c r="T14" s="271">
        <f>T7-T10-T12</f>
        <v>41490</v>
      </c>
      <c r="U14" s="272">
        <f>U7-U10-U12</f>
        <v>44589.488418838053</v>
      </c>
      <c r="V14" s="272">
        <f>V7-V10-V12</f>
        <v>171810.48841883818</v>
      </c>
      <c r="W14" s="271">
        <f>W7-W10-W12</f>
        <v>48389.224739310637</v>
      </c>
      <c r="X14" s="271">
        <f>X7-X10-X12</f>
        <v>56614.777557660011</v>
      </c>
      <c r="Y14" s="271">
        <f>Y7-Y10-Y12</f>
        <v>57795.90403509287</v>
      </c>
      <c r="Z14" s="272">
        <f>Z7-Z10-Z12</f>
        <v>57626.680277342937</v>
      </c>
      <c r="AA14" s="273">
        <f>AA7-AA10-AA12</f>
        <v>220426.58660940663</v>
      </c>
      <c r="AB14" s="271">
        <f>AB7-AB10-AB12</f>
        <v>334113.08715065703</v>
      </c>
      <c r="AC14" s="271">
        <f>AC7-AC10-AC12</f>
        <v>490760.51933207002</v>
      </c>
      <c r="AD14" s="271">
        <f>AD7-AD10-AD12</f>
        <v>702902.94820566231</v>
      </c>
      <c r="AE14" s="271">
        <f>AE7-AE10-AE12</f>
        <v>985632.7236278397</v>
      </c>
      <c r="AF14" s="272">
        <f>AF7-AF10-AF12</f>
        <v>1356787.3243808043</v>
      </c>
    </row>
    <row r="15" spans="1:32" s="259" customFormat="1" x14ac:dyDescent="0.25">
      <c r="B15" s="259" t="s">
        <v>216</v>
      </c>
      <c r="C15" s="259">
        <f>C14/C7</f>
        <v>-9.3489576487289366E-2</v>
      </c>
      <c r="D15" s="259">
        <f t="shared" ref="D15:V15" si="70">D14/D7</f>
        <v>1.4320129197718651E-2</v>
      </c>
      <c r="E15" s="259">
        <f t="shared" si="70"/>
        <v>2.6066207563126737E-2</v>
      </c>
      <c r="F15" s="264">
        <f t="shared" si="70"/>
        <v>1.8659545055914224E-2</v>
      </c>
      <c r="G15" s="263">
        <f t="shared" si="70"/>
        <v>-3.5344486963675825E-3</v>
      </c>
      <c r="H15" s="259">
        <f t="shared" si="70"/>
        <v>-1.176071010356522E-3</v>
      </c>
      <c r="I15" s="259">
        <f t="shared" si="70"/>
        <v>7.8361927172751616E-2</v>
      </c>
      <c r="J15" s="259">
        <f t="shared" si="70"/>
        <v>9.3358587863459186E-2</v>
      </c>
      <c r="K15" s="259">
        <f t="shared" si="70"/>
        <v>8.5745878964123678E-3</v>
      </c>
      <c r="L15" s="263">
        <f t="shared" si="70"/>
        <v>4.7859959245208E-2</v>
      </c>
      <c r="M15" s="259">
        <f t="shared" si="70"/>
        <v>9.298107226852878E-2</v>
      </c>
      <c r="N15" s="259">
        <f t="shared" si="70"/>
        <v>9.9052684061824825E-2</v>
      </c>
      <c r="O15" s="259">
        <f t="shared" si="70"/>
        <v>9.6137925324944112E-2</v>
      </c>
      <c r="P15" s="259">
        <f t="shared" si="70"/>
        <v>4.6028717625573971E-2</v>
      </c>
      <c r="Q15" s="263">
        <f t="shared" si="70"/>
        <v>8.2790599641690374E-2</v>
      </c>
      <c r="R15" s="259">
        <f t="shared" si="70"/>
        <v>8.7489300355903951E-2</v>
      </c>
      <c r="S15" s="259">
        <f t="shared" si="70"/>
        <v>0.13145091663800795</v>
      </c>
      <c r="T15" s="259">
        <f t="shared" si="70"/>
        <v>9.7949875349399404E-2</v>
      </c>
      <c r="U15" s="267">
        <f t="shared" si="70"/>
        <v>0.10563003078110374</v>
      </c>
      <c r="V15" s="267">
        <f t="shared" si="70"/>
        <v>0.10627379065570867</v>
      </c>
      <c r="W15" s="259">
        <f t="shared" ref="W15" si="71">W14/W7</f>
        <v>0.10627379065570869</v>
      </c>
      <c r="X15" s="259">
        <f t="shared" ref="X15" si="72">X14/X7</f>
        <v>0.10627379065570867</v>
      </c>
      <c r="Y15" s="259">
        <f t="shared" ref="Y15:AA15" si="73">Y14/Y7</f>
        <v>0.10627379065570876</v>
      </c>
      <c r="Z15" s="267">
        <f t="shared" ref="Z15" si="74">Z14/Z7</f>
        <v>0.10627379065570869</v>
      </c>
      <c r="AA15" s="270">
        <f t="shared" si="73"/>
        <v>0.10627379065570877</v>
      </c>
      <c r="AB15" s="259">
        <f t="shared" ref="AB15" si="75">AB14/AB7</f>
        <v>0.12627379065570885</v>
      </c>
      <c r="AC15" s="259">
        <f t="shared" ref="AC15" si="76">AC14/AC7</f>
        <v>0.14627379065570889</v>
      </c>
      <c r="AD15" s="259">
        <f t="shared" ref="AD15" si="77">AD14/AD7</f>
        <v>0.16627379065570883</v>
      </c>
      <c r="AE15" s="259">
        <f t="shared" ref="AE15" si="78">AE14/AE7</f>
        <v>0.18627379065570882</v>
      </c>
      <c r="AF15" s="267">
        <f t="shared" ref="AF15" si="79">AF14/AF7</f>
        <v>0.20627379065570892</v>
      </c>
    </row>
    <row r="16" spans="1:32" x14ac:dyDescent="0.25">
      <c r="A16" s="265"/>
      <c r="B16" s="265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</row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1"/>
  <sheetViews>
    <sheetView showGridLines="0" zoomScaleNormal="100" workbookViewId="0">
      <selection activeCell="F31" sqref="F31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2" width="11.7109375" style="4" customWidth="1"/>
    <col min="13" max="20" width="11.42578125" style="4" customWidth="1"/>
    <col min="21" max="16384" width="9" style="4"/>
  </cols>
  <sheetData>
    <row r="1" spans="1:20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20" x14ac:dyDescent="0.25">
      <c r="A2" s="64" t="s">
        <v>124</v>
      </c>
      <c r="B2" s="243" t="s">
        <v>125</v>
      </c>
      <c r="C2" s="243">
        <v>2022</v>
      </c>
      <c r="D2" s="243">
        <f>C2+1</f>
        <v>2023</v>
      </c>
      <c r="E2" s="243">
        <f t="shared" ref="E2:J2" si="0">D2+1</f>
        <v>2024</v>
      </c>
      <c r="F2" s="243">
        <f t="shared" si="0"/>
        <v>2025</v>
      </c>
      <c r="G2" s="243">
        <f t="shared" si="0"/>
        <v>2026</v>
      </c>
      <c r="H2" s="243">
        <f t="shared" si="0"/>
        <v>2027</v>
      </c>
      <c r="I2" s="243">
        <f t="shared" si="0"/>
        <v>2028</v>
      </c>
      <c r="J2" s="243">
        <f t="shared" si="0"/>
        <v>2029</v>
      </c>
      <c r="K2" s="243">
        <f t="shared" ref="K2" si="1">J2+1</f>
        <v>2030</v>
      </c>
      <c r="L2" s="243">
        <f t="shared" ref="L2" si="2">K2+1</f>
        <v>2031</v>
      </c>
    </row>
    <row r="3" spans="1:20" x14ac:dyDescent="0.25">
      <c r="A3" s="86"/>
      <c r="B3" s="159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20" x14ac:dyDescent="0.25">
      <c r="B4" s="94" t="s">
        <v>131</v>
      </c>
      <c r="C4"/>
      <c r="D4" s="240">
        <v>1</v>
      </c>
      <c r="E4"/>
      <c r="F4"/>
      <c r="G4" s="89"/>
      <c r="H4" s="89"/>
      <c r="I4" s="89"/>
      <c r="J4" s="89"/>
      <c r="K4" s="89"/>
      <c r="L4" s="89"/>
      <c r="M4" s="211"/>
      <c r="N4" s="212"/>
      <c r="O4" s="212"/>
    </row>
    <row r="5" spans="1:20" x14ac:dyDescent="0.25">
      <c r="B5" s="88"/>
      <c r="C5" s="90"/>
      <c r="D5" s="113" t="s">
        <v>126</v>
      </c>
      <c r="E5" s="91"/>
      <c r="M5" s="213"/>
      <c r="N5" s="214"/>
      <c r="O5" s="214"/>
    </row>
    <row r="6" spans="1:20" x14ac:dyDescent="0.25">
      <c r="B6" s="92" t="s">
        <v>132</v>
      </c>
      <c r="D6" s="101">
        <v>0</v>
      </c>
      <c r="E6" s="93"/>
      <c r="F6" s="101">
        <f>'Quarterly Projections'!V8</f>
        <v>0.2620288578452401</v>
      </c>
      <c r="G6" s="101">
        <f>'Quarterly Projections'!AA8</f>
        <v>0.28296350611641552</v>
      </c>
      <c r="H6" s="101">
        <f>'Quarterly Projections'!AB8</f>
        <v>0.27568211103785911</v>
      </c>
      <c r="I6" s="101">
        <f>'Quarterly Projections'!AC8</f>
        <v>0.26801044757875814</v>
      </c>
      <c r="J6" s="101">
        <f>'Quarterly Projections'!AD8</f>
        <v>0.25999396771307581</v>
      </c>
      <c r="K6" s="101">
        <f>'Quarterly Projections'!AE8</f>
        <v>0.25167562326733939</v>
      </c>
      <c r="L6" s="101">
        <f>'Quarterly Projections'!AF8</f>
        <v>0.24309513438877106</v>
      </c>
      <c r="M6" s="171"/>
      <c r="N6" s="215"/>
      <c r="O6" s="215"/>
      <c r="P6" s="215"/>
      <c r="Q6" s="215"/>
      <c r="R6" s="215"/>
      <c r="S6" s="215"/>
      <c r="T6" s="215"/>
    </row>
    <row r="7" spans="1:20" x14ac:dyDescent="0.25">
      <c r="B7" s="4" t="s">
        <v>128</v>
      </c>
      <c r="D7" s="101">
        <v>2.5000000000000001E-2</v>
      </c>
      <c r="E7" s="93"/>
      <c r="F7" s="101">
        <f>F6+$D$7</f>
        <v>0.28702885784524013</v>
      </c>
      <c r="G7" s="101">
        <f t="shared" ref="G7:J7" si="3">G6+$D$7</f>
        <v>0.30796350611641554</v>
      </c>
      <c r="H7" s="101">
        <f t="shared" si="3"/>
        <v>0.30068211103785913</v>
      </c>
      <c r="I7" s="101">
        <f t="shared" si="3"/>
        <v>0.29301044757875816</v>
      </c>
      <c r="J7" s="101">
        <f t="shared" si="3"/>
        <v>0.28499396771307584</v>
      </c>
      <c r="K7" s="101">
        <f t="shared" ref="K7:L7" si="4">K6+$D$7</f>
        <v>0.27667562326733941</v>
      </c>
      <c r="L7" s="101">
        <f t="shared" si="4"/>
        <v>0.26809513438877108</v>
      </c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127</v>
      </c>
      <c r="D8" s="101">
        <v>-2.5000000000000001E-2</v>
      </c>
      <c r="E8" s="93"/>
      <c r="F8" s="101">
        <f>F6+$D$8</f>
        <v>0.23702885784524011</v>
      </c>
      <c r="G8" s="101">
        <f t="shared" ref="G8:J8" si="5">G6+$D$8</f>
        <v>0.2579635061164155</v>
      </c>
      <c r="H8" s="101">
        <f t="shared" si="5"/>
        <v>0.25068211103785909</v>
      </c>
      <c r="I8" s="101">
        <f t="shared" si="5"/>
        <v>0.24301044757875814</v>
      </c>
      <c r="J8" s="101">
        <f t="shared" si="5"/>
        <v>0.23499396771307582</v>
      </c>
      <c r="K8" s="101">
        <f t="shared" ref="K8:L8" si="6">K6+$D$8</f>
        <v>0.22667562326733939</v>
      </c>
      <c r="L8" s="101">
        <f t="shared" si="6"/>
        <v>0.21809513438877107</v>
      </c>
    </row>
    <row r="9" spans="1:20" x14ac:dyDescent="0.25">
      <c r="M9" s="171"/>
      <c r="N9" s="171"/>
    </row>
    <row r="10" spans="1:20" x14ac:dyDescent="0.25">
      <c r="B10" s="118" t="s">
        <v>148</v>
      </c>
      <c r="C10" s="189"/>
      <c r="D10" s="246">
        <f>IncState!D15/IncState!C15-1</f>
        <v>0.30684752074391208</v>
      </c>
      <c r="E10" s="190">
        <f>IncState!E15/IncState!D15-1</f>
        <v>0.32641005781879029</v>
      </c>
      <c r="F10" s="105">
        <f t="shared" ref="F10" si="7">CHOOSE(ScenarioREV,F6,F7,F8)</f>
        <v>0.2620288578452401</v>
      </c>
      <c r="G10" s="105">
        <f t="shared" ref="G10:J10" si="8">CHOOSE(ScenarioREV,G6,G7,G8)</f>
        <v>0.28296350611641552</v>
      </c>
      <c r="H10" s="105">
        <f t="shared" si="8"/>
        <v>0.27568211103785911</v>
      </c>
      <c r="I10" s="105">
        <f t="shared" si="8"/>
        <v>0.26801044757875814</v>
      </c>
      <c r="J10" s="105">
        <f t="shared" si="8"/>
        <v>0.25999396771307581</v>
      </c>
      <c r="K10" s="105">
        <f t="shared" ref="K10:L10" si="9">CHOOSE(ScenarioREV,K6,K7,K8)</f>
        <v>0.25167562326733939</v>
      </c>
      <c r="L10" s="105">
        <f t="shared" si="9"/>
        <v>0.24309513438877106</v>
      </c>
      <c r="M10" s="171"/>
      <c r="N10" s="171"/>
    </row>
    <row r="11" spans="1:20" x14ac:dyDescent="0.25">
      <c r="B11" s="4" t="s">
        <v>133</v>
      </c>
      <c r="C11" s="8">
        <f>IncState!C16/IncState!C15</f>
        <v>0.75519206724653998</v>
      </c>
      <c r="D11" s="8">
        <f>IncState!D16/IncState!D15</f>
        <v>0.73979887675817169</v>
      </c>
      <c r="E11" s="8">
        <f>IncState!E16/IncState!E15</f>
        <v>0.73454409198955517</v>
      </c>
      <c r="F11" s="101">
        <f>'Quarterly Projections'!V11</f>
        <v>0.73491069857068025</v>
      </c>
      <c r="G11" s="101">
        <f>'Quarterly Projections'!AA11</f>
        <v>0.73491069857068014</v>
      </c>
      <c r="H11" s="101">
        <f>'Quarterly Projections'!AB11</f>
        <v>0.72491069857068013</v>
      </c>
      <c r="I11" s="101">
        <f>'Quarterly Projections'!AC11</f>
        <v>0.71491069857068013</v>
      </c>
      <c r="J11" s="101">
        <f>'Quarterly Projections'!AD11</f>
        <v>0.70491069857068012</v>
      </c>
      <c r="K11" s="101">
        <f>'Quarterly Projections'!AE11</f>
        <v>0.69491069857068011</v>
      </c>
      <c r="L11" s="101">
        <f>'Quarterly Projections'!AF11</f>
        <v>0.6849106985706801</v>
      </c>
      <c r="M11" s="171"/>
      <c r="N11" s="171"/>
    </row>
    <row r="12" spans="1:20" x14ac:dyDescent="0.25">
      <c r="B12" s="4" t="s">
        <v>44</v>
      </c>
      <c r="C12" s="8">
        <f>IncState!C17/IncState!C15</f>
        <v>0.24834238144982762</v>
      </c>
      <c r="D12" s="8">
        <f>IncState!D17/IncState!D15</f>
        <v>0.21234116399662034</v>
      </c>
      <c r="E12" s="8">
        <f>IncState!E17/IncState!E15</f>
        <v>0.18266530836875447</v>
      </c>
      <c r="F12" s="101">
        <f>'Quarterly Projections'!V13</f>
        <v>0.15881551077361103</v>
      </c>
      <c r="G12" s="101">
        <f>'Quarterly Projections'!AA13</f>
        <v>0.15881551077361106</v>
      </c>
      <c r="H12" s="101">
        <f>'Quarterly Projections'!AB13</f>
        <v>0.14881551077361105</v>
      </c>
      <c r="I12" s="101">
        <f>'Quarterly Projections'!AC13</f>
        <v>0.13881551077361104</v>
      </c>
      <c r="J12" s="101">
        <f>'Quarterly Projections'!AD13</f>
        <v>0.12881551077361103</v>
      </c>
      <c r="K12" s="101">
        <f>'Quarterly Projections'!AE13</f>
        <v>0.11881551077361104</v>
      </c>
      <c r="L12" s="101">
        <f>'Quarterly Projections'!AF13</f>
        <v>0.10881551077361104</v>
      </c>
    </row>
    <row r="13" spans="1:20" x14ac:dyDescent="0.25">
      <c r="B13" s="4" t="s">
        <v>135</v>
      </c>
      <c r="C13" s="4">
        <f>IncState!C21</f>
        <v>0</v>
      </c>
      <c r="D13" s="4">
        <f>IncState!D21</f>
        <v>0</v>
      </c>
      <c r="E13" s="4">
        <f>IncState!E21</f>
        <v>0</v>
      </c>
      <c r="F13" s="102">
        <f>E13</f>
        <v>0</v>
      </c>
      <c r="G13" s="102">
        <f t="shared" ref="G13:J13" si="10">F13</f>
        <v>0</v>
      </c>
      <c r="H13" s="102">
        <f t="shared" si="10"/>
        <v>0</v>
      </c>
      <c r="I13" s="102">
        <f t="shared" si="10"/>
        <v>0</v>
      </c>
      <c r="J13" s="102">
        <f t="shared" si="10"/>
        <v>0</v>
      </c>
      <c r="K13" s="102">
        <f t="shared" ref="K13" si="11">J13</f>
        <v>0</v>
      </c>
      <c r="L13" s="102">
        <f t="shared" ref="L13" si="12">K13</f>
        <v>0</v>
      </c>
    </row>
    <row r="14" spans="1:20" x14ac:dyDescent="0.25">
      <c r="B14" s="4" t="s">
        <v>136</v>
      </c>
      <c r="C14" s="4">
        <f>IncState!C24</f>
        <v>0</v>
      </c>
      <c r="D14" s="4">
        <f>IncState!D24</f>
        <v>0</v>
      </c>
      <c r="E14" s="4">
        <f>IncState!E24</f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</row>
    <row r="15" spans="1:20" x14ac:dyDescent="0.25">
      <c r="B15" s="4" t="s">
        <v>138</v>
      </c>
      <c r="C15" s="4">
        <f>IncState!C25</f>
        <v>3976</v>
      </c>
      <c r="D15" s="4">
        <f>IncState!D25</f>
        <v>3018</v>
      </c>
      <c r="E15" s="4">
        <f>IncState!E25</f>
        <v>5812</v>
      </c>
      <c r="F15" s="102">
        <f>E15+(E15-D15)</f>
        <v>8606</v>
      </c>
      <c r="G15" s="102">
        <f t="shared" ref="G15:L15" si="13">F15+(F15-E15)</f>
        <v>11400</v>
      </c>
      <c r="H15" s="102">
        <f t="shared" si="13"/>
        <v>14194</v>
      </c>
      <c r="I15" s="102">
        <f t="shared" si="13"/>
        <v>16988</v>
      </c>
      <c r="J15" s="102">
        <f t="shared" si="13"/>
        <v>19782</v>
      </c>
      <c r="K15" s="102">
        <f t="shared" si="13"/>
        <v>22576</v>
      </c>
      <c r="L15" s="102">
        <f t="shared" si="13"/>
        <v>25370</v>
      </c>
    </row>
    <row r="16" spans="1:20" x14ac:dyDescent="0.25">
      <c r="B16" s="4" t="s">
        <v>47</v>
      </c>
      <c r="C16" s="8">
        <f>IncState!C32/IncState!C30</f>
        <v>-0.15605860453944997</v>
      </c>
      <c r="D16" s="8">
        <f>IncState!D32/IncState!D30</f>
        <v>0.41178556652284415</v>
      </c>
      <c r="E16" s="8">
        <f>IncState!E32/IncState!E30</f>
        <v>0.21727088440505374</v>
      </c>
      <c r="F16" s="101">
        <f>E16</f>
        <v>0.21727088440505374</v>
      </c>
      <c r="G16" s="101">
        <f t="shared" ref="G16:J16" si="14">F16</f>
        <v>0.21727088440505374</v>
      </c>
      <c r="H16" s="101">
        <f t="shared" si="14"/>
        <v>0.21727088440505374</v>
      </c>
      <c r="I16" s="101">
        <f t="shared" si="14"/>
        <v>0.21727088440505374</v>
      </c>
      <c r="J16" s="101">
        <f t="shared" si="14"/>
        <v>0.21727088440505374</v>
      </c>
      <c r="K16" s="101">
        <f t="shared" ref="K16:K18" si="15">J16</f>
        <v>0.21727088440505374</v>
      </c>
      <c r="L16" s="101">
        <f t="shared" ref="L16:L18" si="16">K16</f>
        <v>0.21727088440505374</v>
      </c>
    </row>
    <row r="17" spans="1:12" x14ac:dyDescent="0.25">
      <c r="B17" s="4" t="s">
        <v>48</v>
      </c>
      <c r="C17" s="4">
        <f>IncState!C35</f>
        <v>51871</v>
      </c>
      <c r="D17" s="4">
        <f>IncState!D35</f>
        <v>62074</v>
      </c>
      <c r="E17" s="4">
        <f>IncState!E35</f>
        <v>103504</v>
      </c>
      <c r="F17" s="102">
        <f>E17</f>
        <v>103504</v>
      </c>
      <c r="G17" s="102">
        <f t="shared" ref="G17:J17" si="17">F17</f>
        <v>103504</v>
      </c>
      <c r="H17" s="102">
        <f t="shared" si="17"/>
        <v>103504</v>
      </c>
      <c r="I17" s="102">
        <f t="shared" si="17"/>
        <v>103504</v>
      </c>
      <c r="J17" s="102">
        <f t="shared" si="17"/>
        <v>103504</v>
      </c>
      <c r="K17" s="102">
        <f t="shared" si="15"/>
        <v>103504</v>
      </c>
      <c r="L17" s="102">
        <f t="shared" si="16"/>
        <v>103504</v>
      </c>
    </row>
    <row r="18" spans="1:12" x14ac:dyDescent="0.25">
      <c r="B18" s="4" t="s">
        <v>49</v>
      </c>
      <c r="C18" s="4">
        <f>IncState!C36</f>
        <v>51871</v>
      </c>
      <c r="D18" s="4">
        <f>IncState!D36</f>
        <v>62074</v>
      </c>
      <c r="E18" s="4">
        <f>IncState!E36</f>
        <v>104129</v>
      </c>
      <c r="F18" s="102">
        <f>E18</f>
        <v>104129</v>
      </c>
      <c r="G18" s="102">
        <f t="shared" ref="G18:J18" si="18">F18</f>
        <v>104129</v>
      </c>
      <c r="H18" s="102">
        <f t="shared" si="18"/>
        <v>104129</v>
      </c>
      <c r="I18" s="102">
        <f t="shared" si="18"/>
        <v>104129</v>
      </c>
      <c r="J18" s="102">
        <f t="shared" si="18"/>
        <v>104129</v>
      </c>
      <c r="K18" s="102">
        <f t="shared" si="15"/>
        <v>104129</v>
      </c>
      <c r="L18" s="102">
        <f t="shared" si="16"/>
        <v>104129</v>
      </c>
    </row>
    <row r="19" spans="1:12" x14ac:dyDescent="0.25">
      <c r="F19" s="104"/>
      <c r="G19" s="104"/>
      <c r="H19" s="104"/>
      <c r="I19" s="104"/>
      <c r="J19" s="104"/>
      <c r="K19" s="104"/>
      <c r="L19" s="104"/>
    </row>
    <row r="20" spans="1:12" x14ac:dyDescent="0.25">
      <c r="A20" s="64" t="s">
        <v>124</v>
      </c>
      <c r="B20" s="107" t="s">
        <v>143</v>
      </c>
      <c r="C20" s="243">
        <f>C2</f>
        <v>2022</v>
      </c>
      <c r="D20" s="243">
        <f>D2</f>
        <v>2023</v>
      </c>
      <c r="E20" s="243">
        <f>E2</f>
        <v>2024</v>
      </c>
      <c r="F20" s="243">
        <f>F2</f>
        <v>2025</v>
      </c>
      <c r="G20" s="243">
        <f>G2</f>
        <v>2026</v>
      </c>
      <c r="H20" s="243">
        <f>H2</f>
        <v>2027</v>
      </c>
      <c r="I20" s="243">
        <f>I2</f>
        <v>2028</v>
      </c>
      <c r="J20" s="243">
        <f>J2</f>
        <v>2029</v>
      </c>
      <c r="K20" s="243">
        <f t="shared" ref="K20:L20" si="19">K2</f>
        <v>2030</v>
      </c>
      <c r="L20" s="243">
        <f t="shared" si="19"/>
        <v>2031</v>
      </c>
    </row>
    <row r="21" spans="1:12" x14ac:dyDescent="0.25">
      <c r="A21" s="86"/>
      <c r="B21" s="159"/>
      <c r="C21" s="194"/>
      <c r="D21" s="194"/>
      <c r="E21" s="194"/>
      <c r="F21" s="195"/>
      <c r="G21" s="195"/>
      <c r="H21" s="195"/>
      <c r="I21" s="195"/>
      <c r="J21" s="195"/>
      <c r="K21" s="195"/>
      <c r="L21" s="195"/>
    </row>
    <row r="22" spans="1:12" x14ac:dyDescent="0.25">
      <c r="B22" s="4" t="s">
        <v>137</v>
      </c>
      <c r="E22" s="8">
        <v>5.3600000000000002E-2</v>
      </c>
      <c r="F22" s="101">
        <f>E22</f>
        <v>5.3600000000000002E-2</v>
      </c>
      <c r="G22" s="101">
        <f t="shared" ref="G22:J22" si="20">F22</f>
        <v>5.3600000000000002E-2</v>
      </c>
      <c r="H22" s="101">
        <f t="shared" si="20"/>
        <v>5.3600000000000002E-2</v>
      </c>
      <c r="I22" s="101">
        <f t="shared" si="20"/>
        <v>5.3600000000000002E-2</v>
      </c>
      <c r="J22" s="101">
        <f t="shared" si="20"/>
        <v>5.3600000000000002E-2</v>
      </c>
      <c r="K22" s="101">
        <f t="shared" ref="K22:K24" si="21">J22</f>
        <v>5.3600000000000002E-2</v>
      </c>
      <c r="L22" s="101">
        <f t="shared" ref="L22:L24" si="22">K22</f>
        <v>5.3600000000000002E-2</v>
      </c>
    </row>
    <row r="23" spans="1:12" x14ac:dyDescent="0.25">
      <c r="B23" s="4" t="s">
        <v>25</v>
      </c>
      <c r="E23" s="8">
        <v>6.9599999999999995E-2</v>
      </c>
      <c r="F23" s="101">
        <f>E23</f>
        <v>6.9599999999999995E-2</v>
      </c>
      <c r="G23" s="101">
        <f t="shared" ref="G23:J23" si="23">F23</f>
        <v>6.9599999999999995E-2</v>
      </c>
      <c r="H23" s="101">
        <f t="shared" si="23"/>
        <v>6.9599999999999995E-2</v>
      </c>
      <c r="I23" s="101">
        <f t="shared" si="23"/>
        <v>6.9599999999999995E-2</v>
      </c>
      <c r="J23" s="101">
        <f t="shared" si="23"/>
        <v>6.9599999999999995E-2</v>
      </c>
      <c r="K23" s="101">
        <f t="shared" si="21"/>
        <v>6.9599999999999995E-2</v>
      </c>
      <c r="L23" s="101">
        <f t="shared" si="22"/>
        <v>6.9599999999999995E-2</v>
      </c>
    </row>
    <row r="24" spans="1:12" x14ac:dyDescent="0.25">
      <c r="B24" s="4" t="s">
        <v>26</v>
      </c>
      <c r="C24" s="8"/>
      <c r="D24" s="8"/>
      <c r="E24" s="8">
        <v>0.04</v>
      </c>
      <c r="F24" s="127">
        <f>E24</f>
        <v>0.04</v>
      </c>
      <c r="G24" s="127">
        <f t="shared" ref="G24:J24" si="24">F24</f>
        <v>0.04</v>
      </c>
      <c r="H24" s="127">
        <f t="shared" si="24"/>
        <v>0.04</v>
      </c>
      <c r="I24" s="127">
        <f t="shared" si="24"/>
        <v>0.04</v>
      </c>
      <c r="J24" s="127">
        <f t="shared" si="24"/>
        <v>0.04</v>
      </c>
      <c r="K24" s="127">
        <f t="shared" si="21"/>
        <v>0.04</v>
      </c>
      <c r="L24" s="127">
        <f t="shared" si="22"/>
        <v>0.04</v>
      </c>
    </row>
    <row r="25" spans="1:12" x14ac:dyDescent="0.25">
      <c r="F25" s="104"/>
      <c r="G25" s="104"/>
      <c r="H25" s="104"/>
      <c r="I25" s="104"/>
      <c r="J25" s="104"/>
      <c r="K25" s="104"/>
      <c r="L25" s="104"/>
    </row>
    <row r="26" spans="1:12" x14ac:dyDescent="0.25">
      <c r="B26" s="4" t="s">
        <v>27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102">
        <v>0</v>
      </c>
    </row>
    <row r="27" spans="1:12" x14ac:dyDescent="0.25">
      <c r="B27" s="4" t="s">
        <v>28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</row>
    <row r="28" spans="1:12" x14ac:dyDescent="0.25">
      <c r="F28" s="104"/>
      <c r="G28" s="104"/>
      <c r="H28" s="104"/>
      <c r="I28" s="104"/>
      <c r="J28" s="104"/>
      <c r="K28" s="104"/>
      <c r="L28" s="104"/>
    </row>
    <row r="29" spans="1:12" x14ac:dyDescent="0.25">
      <c r="A29" s="64" t="s">
        <v>124</v>
      </c>
      <c r="B29" s="107" t="s">
        <v>140</v>
      </c>
      <c r="C29" s="243">
        <f>C20</f>
        <v>2022</v>
      </c>
      <c r="D29" s="243">
        <f t="shared" ref="D29:J29" si="25">D20</f>
        <v>2023</v>
      </c>
      <c r="E29" s="243">
        <f t="shared" si="25"/>
        <v>2024</v>
      </c>
      <c r="F29" s="243">
        <f t="shared" si="25"/>
        <v>2025</v>
      </c>
      <c r="G29" s="243">
        <f t="shared" si="25"/>
        <v>2026</v>
      </c>
      <c r="H29" s="243">
        <f t="shared" si="25"/>
        <v>2027</v>
      </c>
      <c r="I29" s="243">
        <f t="shared" si="25"/>
        <v>2028</v>
      </c>
      <c r="J29" s="243">
        <f t="shared" si="25"/>
        <v>2029</v>
      </c>
      <c r="K29" s="243">
        <f t="shared" ref="K29:L29" si="26">K20</f>
        <v>2030</v>
      </c>
      <c r="L29" s="243">
        <f t="shared" si="26"/>
        <v>2031</v>
      </c>
    </row>
    <row r="30" spans="1:12" x14ac:dyDescent="0.25">
      <c r="A30" s="86"/>
      <c r="B30" s="159"/>
      <c r="C30" s="194"/>
      <c r="D30" s="194"/>
      <c r="E30" s="194"/>
      <c r="F30" s="195"/>
      <c r="G30" s="195"/>
      <c r="H30" s="195"/>
      <c r="I30" s="195"/>
      <c r="J30" s="195"/>
      <c r="K30" s="195"/>
      <c r="L30" s="195"/>
    </row>
    <row r="31" spans="1:12" x14ac:dyDescent="0.25">
      <c r="B31" s="4" t="s">
        <v>141</v>
      </c>
      <c r="C31" s="8">
        <f>118444/IncState!C15</f>
        <v>0.16027344616866843</v>
      </c>
      <c r="D31" s="8">
        <f>187880/IncState!D15</f>
        <v>0.19453786385248753</v>
      </c>
      <c r="E31" s="8">
        <f>228457/IncState!E15</f>
        <v>0.17834061271725937</v>
      </c>
      <c r="F31" s="201">
        <f>E31</f>
        <v>0.17834061271725937</v>
      </c>
      <c r="G31" s="201">
        <f t="shared" ref="G31:J31" si="27">F31</f>
        <v>0.17834061271725937</v>
      </c>
      <c r="H31" s="201">
        <f t="shared" si="27"/>
        <v>0.17834061271725937</v>
      </c>
      <c r="I31" s="201">
        <f t="shared" si="27"/>
        <v>0.17834061271725937</v>
      </c>
      <c r="J31" s="201">
        <f t="shared" si="27"/>
        <v>0.17834061271725937</v>
      </c>
      <c r="K31" s="201">
        <f t="shared" ref="K31:K32" si="28">J31</f>
        <v>0.17834061271725937</v>
      </c>
      <c r="L31" s="201">
        <f t="shared" ref="L31:L32" si="29">K31</f>
        <v>0.17834061271725937</v>
      </c>
    </row>
    <row r="32" spans="1:12" x14ac:dyDescent="0.25">
      <c r="B32" s="4" t="s">
        <v>154</v>
      </c>
      <c r="D32" s="8">
        <f>IncState!D20/BalSheet!C23</f>
        <v>8.8327394587799105E-2</v>
      </c>
      <c r="E32" s="8">
        <f>IncState!E20/BalSheet!D23</f>
        <v>8.2682355911515071E-2</v>
      </c>
      <c r="F32" s="101">
        <f>E32</f>
        <v>8.2682355911515071E-2</v>
      </c>
      <c r="G32" s="101">
        <f t="shared" ref="G32:J32" si="30">F32</f>
        <v>8.2682355911515071E-2</v>
      </c>
      <c r="H32" s="101">
        <f t="shared" si="30"/>
        <v>8.2682355911515071E-2</v>
      </c>
      <c r="I32" s="101">
        <f t="shared" si="30"/>
        <v>8.2682355911515071E-2</v>
      </c>
      <c r="J32" s="101">
        <f t="shared" si="30"/>
        <v>8.2682355911515071E-2</v>
      </c>
      <c r="K32" s="101">
        <f t="shared" si="28"/>
        <v>8.2682355911515071E-2</v>
      </c>
      <c r="L32" s="101">
        <f t="shared" si="29"/>
        <v>8.2682355911515071E-2</v>
      </c>
    </row>
    <row r="33" spans="1:12" x14ac:dyDescent="0.25">
      <c r="B33" s="4" t="s">
        <v>142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106">
        <v>0</v>
      </c>
      <c r="L33" s="106">
        <v>0</v>
      </c>
    </row>
    <row r="34" spans="1:12" x14ac:dyDescent="0.25">
      <c r="F34" s="30"/>
      <c r="G34" s="30"/>
      <c r="H34" s="30"/>
      <c r="I34" s="30"/>
      <c r="J34" s="30"/>
      <c r="K34" s="30"/>
      <c r="L34" s="30"/>
    </row>
    <row r="35" spans="1:12" x14ac:dyDescent="0.25">
      <c r="A35" s="64" t="s">
        <v>124</v>
      </c>
      <c r="B35" s="107" t="s">
        <v>129</v>
      </c>
      <c r="C35" s="243" t="e">
        <f>#REF!</f>
        <v>#REF!</v>
      </c>
      <c r="D35" s="243" t="e">
        <f>#REF!</f>
        <v>#REF!</v>
      </c>
      <c r="E35" s="243" t="e">
        <f>#REF!</f>
        <v>#REF!</v>
      </c>
      <c r="F35" s="243" t="e">
        <f>#REF!</f>
        <v>#REF!</v>
      </c>
      <c r="G35" s="243" t="e">
        <f>#REF!</f>
        <v>#REF!</v>
      </c>
      <c r="H35" s="243" t="e">
        <f>#REF!</f>
        <v>#REF!</v>
      </c>
      <c r="I35" s="243" t="e">
        <f>#REF!</f>
        <v>#REF!</v>
      </c>
      <c r="J35" s="243" t="e">
        <f>#REF!</f>
        <v>#REF!</v>
      </c>
      <c r="K35" s="243" t="e">
        <f>#REF!</f>
        <v>#REF!</v>
      </c>
      <c r="L35" s="243" t="e">
        <f>#REF!</f>
        <v>#REF!</v>
      </c>
    </row>
    <row r="36" spans="1:12" x14ac:dyDescent="0.25">
      <c r="A36" s="86"/>
      <c r="B36" s="159"/>
      <c r="C36" s="194"/>
      <c r="D36" s="194"/>
      <c r="E36" s="194"/>
      <c r="F36" s="241"/>
      <c r="G36" s="241"/>
      <c r="H36" s="241"/>
      <c r="I36" s="241"/>
      <c r="J36" s="241"/>
      <c r="K36" s="241"/>
      <c r="L36" s="241"/>
    </row>
    <row r="37" spans="1:12" x14ac:dyDescent="0.25">
      <c r="B37" s="4" t="s">
        <v>139</v>
      </c>
      <c r="C37" s="8">
        <f>BalSheet!C16/IncState!C15</f>
        <v>0.02</v>
      </c>
      <c r="D37" s="8">
        <f>BalSheet!D16/IncState!D15</f>
        <v>0.02</v>
      </c>
      <c r="E37" s="8">
        <f>BalSheet!E16/IncState!E15</f>
        <v>0.02</v>
      </c>
      <c r="F37" s="101">
        <f>E37</f>
        <v>0.02</v>
      </c>
      <c r="G37" s="101">
        <f t="shared" ref="G37:J37" si="31">F37</f>
        <v>0.02</v>
      </c>
      <c r="H37" s="101">
        <f t="shared" si="31"/>
        <v>0.02</v>
      </c>
      <c r="I37" s="101">
        <f t="shared" si="31"/>
        <v>0.02</v>
      </c>
      <c r="J37" s="101">
        <f t="shared" si="31"/>
        <v>0.02</v>
      </c>
      <c r="K37" s="101">
        <f t="shared" ref="K37:K40" si="32">J37</f>
        <v>0.02</v>
      </c>
      <c r="L37" s="101">
        <f t="shared" ref="L37:L40" si="33">K37</f>
        <v>0.02</v>
      </c>
    </row>
    <row r="38" spans="1:12" x14ac:dyDescent="0.25">
      <c r="B38" s="4" t="s">
        <v>152</v>
      </c>
      <c r="C38" s="8">
        <f>BalSheet!C18/IncState!C15</f>
        <v>1.6191888629683956E-2</v>
      </c>
      <c r="D38" s="8">
        <f>BalSheet!D18/IncState!D15</f>
        <v>9.447325259687547E-3</v>
      </c>
      <c r="E38" s="8">
        <f>BalSheet!E18/IncState!E15</f>
        <v>8.2731271686904521E-3</v>
      </c>
      <c r="F38" s="101">
        <f>E38</f>
        <v>8.2731271686904521E-3</v>
      </c>
      <c r="G38" s="101">
        <f t="shared" ref="G38:J38" si="34">F38</f>
        <v>8.2731271686904521E-3</v>
      </c>
      <c r="H38" s="101">
        <f t="shared" si="34"/>
        <v>8.2731271686904521E-3</v>
      </c>
      <c r="I38" s="101">
        <f t="shared" si="34"/>
        <v>8.2731271686904521E-3</v>
      </c>
      <c r="J38" s="101">
        <f t="shared" si="34"/>
        <v>8.2731271686904521E-3</v>
      </c>
      <c r="K38" s="101">
        <f t="shared" si="32"/>
        <v>8.2731271686904521E-3</v>
      </c>
      <c r="L38" s="101">
        <f t="shared" si="33"/>
        <v>8.2731271686904521E-3</v>
      </c>
    </row>
    <row r="39" spans="1:12" x14ac:dyDescent="0.25">
      <c r="B39" s="4" t="s">
        <v>63</v>
      </c>
      <c r="C39" s="8">
        <f>BalSheet!C19/IncState!C16</f>
        <v>7.0290774347065738E-2</v>
      </c>
      <c r="D39" s="8">
        <f>BalSheet!D19/IncState!D16</f>
        <v>6.5716325159556596E-2</v>
      </c>
      <c r="E39" s="8">
        <f>BalSheet!E19/IncState!E16</f>
        <v>3.8777336385528854E-2</v>
      </c>
      <c r="F39" s="101">
        <f t="shared" ref="F39:J39" si="35">E39</f>
        <v>3.8777336385528854E-2</v>
      </c>
      <c r="G39" s="101">
        <f t="shared" si="35"/>
        <v>3.8777336385528854E-2</v>
      </c>
      <c r="H39" s="101">
        <f t="shared" si="35"/>
        <v>3.8777336385528854E-2</v>
      </c>
      <c r="I39" s="101">
        <f t="shared" si="35"/>
        <v>3.8777336385528854E-2</v>
      </c>
      <c r="J39" s="101">
        <f t="shared" si="35"/>
        <v>3.8777336385528854E-2</v>
      </c>
      <c r="K39" s="101">
        <f t="shared" si="32"/>
        <v>3.8777336385528854E-2</v>
      </c>
      <c r="L39" s="101">
        <f t="shared" si="33"/>
        <v>3.8777336385528854E-2</v>
      </c>
    </row>
    <row r="40" spans="1:12" x14ac:dyDescent="0.25">
      <c r="B40" s="4" t="s">
        <v>64</v>
      </c>
      <c r="C40" s="8">
        <f>BalSheet!C20/IncState!C15</f>
        <v>1.4815726943540835E-2</v>
      </c>
      <c r="D40" s="8">
        <f>BalSheet!D20/IncState!D15</f>
        <v>1.6191125064197082E-2</v>
      </c>
      <c r="E40" s="8">
        <f>BalSheet!E20/IncState!E15</f>
        <v>1.3661822851410795E-2</v>
      </c>
      <c r="F40" s="101">
        <f t="shared" ref="F40:J40" si="36">E40</f>
        <v>1.3661822851410795E-2</v>
      </c>
      <c r="G40" s="101">
        <f t="shared" si="36"/>
        <v>1.3661822851410795E-2</v>
      </c>
      <c r="H40" s="101">
        <f t="shared" si="36"/>
        <v>1.3661822851410795E-2</v>
      </c>
      <c r="I40" s="101">
        <f t="shared" si="36"/>
        <v>1.3661822851410795E-2</v>
      </c>
      <c r="J40" s="101">
        <f t="shared" si="36"/>
        <v>1.3661822851410795E-2</v>
      </c>
      <c r="K40" s="101">
        <f t="shared" si="32"/>
        <v>1.3661822851410795E-2</v>
      </c>
      <c r="L40" s="101">
        <f t="shared" si="33"/>
        <v>1.3661822851410795E-2</v>
      </c>
    </row>
    <row r="41" spans="1:12" x14ac:dyDescent="0.25">
      <c r="E41" s="8"/>
      <c r="F41" s="104"/>
      <c r="G41" s="104"/>
      <c r="H41" s="104"/>
      <c r="I41" s="104"/>
      <c r="J41" s="104"/>
      <c r="K41" s="104"/>
      <c r="L41" s="104"/>
    </row>
    <row r="42" spans="1:12" x14ac:dyDescent="0.25">
      <c r="B42" s="4" t="s">
        <v>65</v>
      </c>
      <c r="C42" s="8">
        <f>BalSheet!C25/IncState!C15</f>
        <v>0.39362283697693679</v>
      </c>
      <c r="D42" s="8">
        <f>BalSheet!D25/IncState!D15</f>
        <v>0.42127781183214325</v>
      </c>
      <c r="E42" s="8">
        <f>BalSheet!E25/IncState!E15</f>
        <v>0.5813499451606734</v>
      </c>
      <c r="F42" s="101">
        <f>E42</f>
        <v>0.5813499451606734</v>
      </c>
      <c r="G42" s="101">
        <f t="shared" ref="G42:J42" si="37">F42</f>
        <v>0.5813499451606734</v>
      </c>
      <c r="H42" s="101">
        <f t="shared" si="37"/>
        <v>0.5813499451606734</v>
      </c>
      <c r="I42" s="101">
        <f t="shared" si="37"/>
        <v>0.5813499451606734</v>
      </c>
      <c r="J42" s="101">
        <f t="shared" si="37"/>
        <v>0.5813499451606734</v>
      </c>
      <c r="K42" s="101">
        <f t="shared" ref="K42" si="38">J42</f>
        <v>0.5813499451606734</v>
      </c>
      <c r="L42" s="101">
        <f t="shared" ref="L42" si="39">K42</f>
        <v>0.5813499451606734</v>
      </c>
    </row>
    <row r="43" spans="1:12" x14ac:dyDescent="0.25">
      <c r="F43" s="30"/>
      <c r="G43" s="30"/>
      <c r="H43" s="30"/>
      <c r="I43" s="30"/>
      <c r="J43" s="30"/>
      <c r="K43" s="30"/>
      <c r="L43" s="30"/>
    </row>
    <row r="44" spans="1:12" x14ac:dyDescent="0.25">
      <c r="A44" s="64" t="s">
        <v>124</v>
      </c>
      <c r="B44" s="107" t="s">
        <v>130</v>
      </c>
      <c r="C44" s="243" t="e">
        <f>C35</f>
        <v>#REF!</v>
      </c>
      <c r="D44" s="243" t="e">
        <f>D35</f>
        <v>#REF!</v>
      </c>
      <c r="E44" s="243" t="e">
        <f>E35</f>
        <v>#REF!</v>
      </c>
      <c r="F44" s="243" t="e">
        <f>F35</f>
        <v>#REF!</v>
      </c>
      <c r="G44" s="243" t="e">
        <f>G35</f>
        <v>#REF!</v>
      </c>
      <c r="H44" s="243" t="e">
        <f>H35</f>
        <v>#REF!</v>
      </c>
      <c r="I44" s="243" t="e">
        <f>I35</f>
        <v>#REF!</v>
      </c>
      <c r="J44" s="243" t="e">
        <f>J35</f>
        <v>#REF!</v>
      </c>
      <c r="K44" s="243" t="e">
        <f>K35</f>
        <v>#REF!</v>
      </c>
      <c r="L44" s="243" t="e">
        <f>L35</f>
        <v>#REF!</v>
      </c>
    </row>
    <row r="45" spans="1:12" x14ac:dyDescent="0.25">
      <c r="A45" s="86"/>
      <c r="B45" s="159"/>
      <c r="C45" s="194"/>
      <c r="D45" s="194"/>
      <c r="E45" s="194"/>
      <c r="F45" s="241"/>
      <c r="G45" s="241"/>
      <c r="H45" s="241"/>
      <c r="I45" s="241"/>
      <c r="J45" s="241"/>
      <c r="K45" s="241"/>
      <c r="L45" s="241"/>
    </row>
    <row r="46" spans="1:12" x14ac:dyDescent="0.25">
      <c r="B46" s="4" t="s">
        <v>153</v>
      </c>
      <c r="C46" s="8">
        <f>BalSheet!C31/IncState!C16</f>
        <v>0.10138399128465353</v>
      </c>
      <c r="D46" s="8">
        <f>BalSheet!D31/IncState!D16</f>
        <v>0.11694519090807301</v>
      </c>
      <c r="E46" s="8">
        <f>BalSheet!E31/IncState!E16</f>
        <v>0.12283811673585118</v>
      </c>
      <c r="F46" s="101">
        <f t="shared" ref="F46:J46" si="40">E46</f>
        <v>0.12283811673585118</v>
      </c>
      <c r="G46" s="101">
        <f t="shared" si="40"/>
        <v>0.12283811673585118</v>
      </c>
      <c r="H46" s="101">
        <f t="shared" si="40"/>
        <v>0.12283811673585118</v>
      </c>
      <c r="I46" s="101">
        <f t="shared" si="40"/>
        <v>0.12283811673585118</v>
      </c>
      <c r="J46" s="101">
        <f t="shared" si="40"/>
        <v>0.12283811673585118</v>
      </c>
      <c r="K46" s="101">
        <f t="shared" ref="K46:K48" si="41">J46</f>
        <v>0.12283811673585118</v>
      </c>
      <c r="L46" s="101">
        <f t="shared" ref="L46:L48" si="42">K46</f>
        <v>0.12283811673585118</v>
      </c>
    </row>
    <row r="47" spans="1:12" x14ac:dyDescent="0.25">
      <c r="B47" s="4" t="s">
        <v>66</v>
      </c>
      <c r="C47" s="8">
        <f>BalSheet!C32/IncState!C15</f>
        <v>5.7675653439998267E-2</v>
      </c>
      <c r="D47" s="8">
        <f>BalSheet!D32/IncState!D15</f>
        <v>5.1844320007952152E-2</v>
      </c>
      <c r="E47" s="8">
        <f>BalSheet!E32/IncState!E15</f>
        <v>5.4779998672927328E-2</v>
      </c>
      <c r="F47" s="101">
        <f t="shared" ref="F47:J47" si="43">E47</f>
        <v>5.4779998672927328E-2</v>
      </c>
      <c r="G47" s="101">
        <f t="shared" si="43"/>
        <v>5.4779998672927328E-2</v>
      </c>
      <c r="H47" s="101">
        <f t="shared" si="43"/>
        <v>5.4779998672927328E-2</v>
      </c>
      <c r="I47" s="101">
        <f t="shared" si="43"/>
        <v>5.4779998672927328E-2</v>
      </c>
      <c r="J47" s="101">
        <f t="shared" si="43"/>
        <v>5.4779998672927328E-2</v>
      </c>
      <c r="K47" s="101">
        <f t="shared" si="41"/>
        <v>5.4779998672927328E-2</v>
      </c>
      <c r="L47" s="101">
        <f t="shared" si="42"/>
        <v>5.4779998672927328E-2</v>
      </c>
    </row>
    <row r="48" spans="1:12" x14ac:dyDescent="0.25">
      <c r="B48" s="4" t="s">
        <v>67</v>
      </c>
      <c r="C48" s="8">
        <f>BalSheet!C36/IncState!C15</f>
        <v>0.84627583855201272</v>
      </c>
      <c r="D48" s="8">
        <f>BalSheet!D36/IncState!D15</f>
        <v>0.88715188615165419</v>
      </c>
      <c r="E48" s="8">
        <f>BalSheet!E36/IncState!E15</f>
        <v>1.0260566816157499</v>
      </c>
      <c r="F48" s="101">
        <f t="shared" ref="F48:J48" si="44">E48</f>
        <v>1.0260566816157499</v>
      </c>
      <c r="G48" s="101">
        <f t="shared" si="44"/>
        <v>1.0260566816157499</v>
      </c>
      <c r="H48" s="101">
        <f t="shared" si="44"/>
        <v>1.0260566816157499</v>
      </c>
      <c r="I48" s="101">
        <f t="shared" si="44"/>
        <v>1.0260566816157499</v>
      </c>
      <c r="J48" s="101">
        <f t="shared" si="44"/>
        <v>1.0260566816157499</v>
      </c>
      <c r="K48" s="101">
        <f t="shared" si="41"/>
        <v>1.0260566816157499</v>
      </c>
      <c r="L48" s="101">
        <f t="shared" si="42"/>
        <v>1.0260566816157499</v>
      </c>
    </row>
    <row r="49" spans="6:12" x14ac:dyDescent="0.25">
      <c r="F49" s="122"/>
      <c r="G49" s="30"/>
      <c r="H49" s="30"/>
      <c r="I49" s="30"/>
      <c r="J49" s="30"/>
      <c r="K49" s="30"/>
      <c r="L49" s="30"/>
    </row>
    <row r="50" spans="6:12" x14ac:dyDescent="0.25">
      <c r="F50" s="123"/>
      <c r="G50" s="95"/>
      <c r="H50" s="95"/>
      <c r="I50" s="95"/>
      <c r="J50" s="95"/>
      <c r="K50" s="95"/>
      <c r="L50" s="95"/>
    </row>
    <row r="51" spans="6:12" x14ac:dyDescent="0.25">
      <c r="F51" s="95"/>
      <c r="G51" s="95"/>
      <c r="H51" s="95"/>
      <c r="I51" s="95"/>
      <c r="J51" s="95"/>
      <c r="K51" s="95"/>
      <c r="L51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F21:L28 F30:L33 F46:L48 F50:L51 F6:L8 F11:L19 F37:L42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L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3" x14ac:dyDescent="0.25">
      <c r="A2" s="20" t="s">
        <v>11</v>
      </c>
      <c r="B2" s="19"/>
      <c r="C2" s="191">
        <v>2022</v>
      </c>
      <c r="D2" s="234">
        <f>C2+1</f>
        <v>2023</v>
      </c>
      <c r="E2" s="234">
        <f t="shared" ref="E2:J2" si="0">D2+1</f>
        <v>2024</v>
      </c>
      <c r="F2" s="234">
        <f t="shared" si="0"/>
        <v>2025</v>
      </c>
      <c r="G2" s="234">
        <f t="shared" si="0"/>
        <v>2026</v>
      </c>
      <c r="H2" s="234">
        <f t="shared" si="0"/>
        <v>2027</v>
      </c>
      <c r="I2" s="234">
        <f t="shared" si="0"/>
        <v>2028</v>
      </c>
      <c r="J2" s="234">
        <f t="shared" si="0"/>
        <v>2029</v>
      </c>
      <c r="K2" s="234">
        <f t="shared" ref="K2" si="1">J2+1</f>
        <v>2030</v>
      </c>
      <c r="L2" s="234">
        <f t="shared" ref="L2" si="2">K2+1</f>
        <v>2031</v>
      </c>
      <c r="M2" s="192"/>
    </row>
    <row r="3" spans="1:13" x14ac:dyDescent="0.25">
      <c r="B3" s="4" t="s">
        <v>12</v>
      </c>
      <c r="C3" s="29"/>
      <c r="D3" s="29"/>
      <c r="E3" s="40"/>
      <c r="F3" s="196">
        <f>Assumptions!F31</f>
        <v>0.17834061271725937</v>
      </c>
      <c r="G3" s="196">
        <f>Assumptions!G31</f>
        <v>0.17834061271725937</v>
      </c>
      <c r="H3" s="196">
        <f>Assumptions!H31</f>
        <v>0.17834061271725937</v>
      </c>
      <c r="I3" s="196">
        <f>Assumptions!I31</f>
        <v>0.17834061271725937</v>
      </c>
      <c r="J3" s="196">
        <f>Assumptions!J31</f>
        <v>0.17834061271725937</v>
      </c>
      <c r="K3" s="196">
        <f>Assumptions!K31</f>
        <v>0.17834061271725937</v>
      </c>
      <c r="L3" s="196">
        <f>Assumptions!L31</f>
        <v>0.17834061271725937</v>
      </c>
    </row>
    <row r="4" spans="1:13" x14ac:dyDescent="0.25">
      <c r="B4" s="4" t="s">
        <v>134</v>
      </c>
      <c r="C4" s="29"/>
      <c r="D4" s="29"/>
      <c r="E4" s="40"/>
      <c r="F4" s="196">
        <f>Assumptions!F32</f>
        <v>8.2682355911515071E-2</v>
      </c>
      <c r="G4" s="196">
        <f>F4</f>
        <v>8.2682355911515071E-2</v>
      </c>
      <c r="H4" s="196">
        <f t="shared" ref="H4:J4" si="3">G4</f>
        <v>8.2682355911515071E-2</v>
      </c>
      <c r="I4" s="196">
        <f t="shared" si="3"/>
        <v>8.2682355911515071E-2</v>
      </c>
      <c r="J4" s="196">
        <f t="shared" si="3"/>
        <v>8.2682355911515071E-2</v>
      </c>
      <c r="K4" s="196">
        <f t="shared" ref="K4" si="4">J4</f>
        <v>8.2682355911515071E-2</v>
      </c>
      <c r="L4" s="196">
        <f t="shared" ref="L4" si="5">K4</f>
        <v>8.2682355911515071E-2</v>
      </c>
    </row>
    <row r="5" spans="1:13" x14ac:dyDescent="0.25">
      <c r="E5" s="27"/>
      <c r="F5" s="78"/>
      <c r="G5" s="66"/>
      <c r="H5" s="84"/>
      <c r="I5" s="66"/>
      <c r="J5" s="66"/>
      <c r="K5" s="66"/>
      <c r="L5" s="66"/>
    </row>
    <row r="6" spans="1:13" x14ac:dyDescent="0.25">
      <c r="B6" s="4" t="s">
        <v>13</v>
      </c>
      <c r="E6" s="27"/>
      <c r="F6" s="4">
        <f>E9</f>
        <v>1373850</v>
      </c>
      <c r="G6" s="4">
        <f t="shared" ref="G6:L6" si="6">F9</f>
        <v>1548576.1721077149</v>
      </c>
      <c r="H6" s="4">
        <f t="shared" si="6"/>
        <v>1790439.420252037</v>
      </c>
      <c r="I6" s="4">
        <f t="shared" si="6"/>
        <v>2114280.5332192685</v>
      </c>
      <c r="J6" s="4">
        <f t="shared" si="6"/>
        <v>2537814.1651268797</v>
      </c>
      <c r="K6" s="4">
        <f t="shared" si="6"/>
        <v>3081895.7342753783</v>
      </c>
      <c r="L6" s="4">
        <f t="shared" si="6"/>
        <v>3770733.1391541716</v>
      </c>
    </row>
    <row r="7" spans="1:13" x14ac:dyDescent="0.25">
      <c r="B7" s="4" t="s">
        <v>14</v>
      </c>
      <c r="C7" s="12"/>
      <c r="D7" s="12"/>
      <c r="E7" s="128"/>
      <c r="F7" s="4">
        <f>F3*IncState!F15</f>
        <v>288319.32677675004</v>
      </c>
      <c r="G7" s="4">
        <f>G3*IncState!G15</f>
        <v>369903.17436262377</v>
      </c>
      <c r="H7" s="4">
        <f>H3*IncState!H15</f>
        <v>471878.86235051719</v>
      </c>
      <c r="I7" s="4">
        <f>I3*IncState!I15</f>
        <v>598347.32745203446</v>
      </c>
      <c r="J7" s="4">
        <f>J3*IncState!J15</f>
        <v>753914.02318680391</v>
      </c>
      <c r="K7" s="4">
        <f>K3*IncState!K15</f>
        <v>943655.8048623302</v>
      </c>
      <c r="L7" s="4">
        <f>L3*IncState!L15</f>
        <v>1173053.9395620823</v>
      </c>
    </row>
    <row r="8" spans="1:13" x14ac:dyDescent="0.25">
      <c r="B8" s="4" t="s">
        <v>15</v>
      </c>
      <c r="E8" s="27"/>
      <c r="F8" s="4">
        <f>F6*F4</f>
        <v>113593.15466903498</v>
      </c>
      <c r="G8" s="4">
        <f t="shared" ref="G8:L8" si="7">G6*G4</f>
        <v>128039.9262183017</v>
      </c>
      <c r="H8" s="4">
        <f t="shared" si="7"/>
        <v>148037.74938328564</v>
      </c>
      <c r="I8" s="4">
        <f t="shared" si="7"/>
        <v>174813.69554442342</v>
      </c>
      <c r="J8" s="4">
        <f t="shared" si="7"/>
        <v>209832.45403830515</v>
      </c>
      <c r="K8" s="4">
        <f t="shared" si="7"/>
        <v>254818.39998353692</v>
      </c>
      <c r="L8" s="4">
        <f t="shared" si="7"/>
        <v>311773.09945888969</v>
      </c>
    </row>
    <row r="9" spans="1:13" x14ac:dyDescent="0.25">
      <c r="B9" s="4" t="s">
        <v>16</v>
      </c>
      <c r="E9" s="27">
        <f>BalSheet!E23</f>
        <v>1373850</v>
      </c>
      <c r="F9" s="4">
        <f>F6+F7-F8</f>
        <v>1548576.1721077149</v>
      </c>
      <c r="G9" s="4">
        <f t="shared" ref="G9:L9" si="8">G6+G7-G8</f>
        <v>1790439.420252037</v>
      </c>
      <c r="H9" s="4">
        <f t="shared" si="8"/>
        <v>2114280.5332192685</v>
      </c>
      <c r="I9" s="4">
        <f t="shared" si="8"/>
        <v>2537814.1651268797</v>
      </c>
      <c r="J9" s="4">
        <f t="shared" si="8"/>
        <v>3081895.7342753783</v>
      </c>
      <c r="K9" s="4">
        <f t="shared" si="8"/>
        <v>3770733.1391541716</v>
      </c>
      <c r="L9" s="4">
        <f t="shared" si="8"/>
        <v>4632013.9792573638</v>
      </c>
    </row>
    <row r="10" spans="1:13" x14ac:dyDescent="0.25">
      <c r="A10" s="20" t="s">
        <v>17</v>
      </c>
      <c r="B10" s="42"/>
      <c r="C10" s="216">
        <f t="shared" ref="C10:J10" si="9">C2</f>
        <v>2022</v>
      </c>
      <c r="D10" s="216">
        <f t="shared" si="9"/>
        <v>2023</v>
      </c>
      <c r="E10" s="216">
        <f t="shared" si="9"/>
        <v>2024</v>
      </c>
      <c r="F10" s="216">
        <f t="shared" si="9"/>
        <v>2025</v>
      </c>
      <c r="G10" s="216">
        <f t="shared" ref="G10:L10" si="10">G2</f>
        <v>2026</v>
      </c>
      <c r="H10" s="216">
        <f t="shared" si="10"/>
        <v>2027</v>
      </c>
      <c r="I10" s="216">
        <f t="shared" si="10"/>
        <v>2028</v>
      </c>
      <c r="J10" s="216">
        <f t="shared" si="10"/>
        <v>2029</v>
      </c>
      <c r="K10" s="216">
        <f t="shared" si="10"/>
        <v>2030</v>
      </c>
      <c r="L10" s="216">
        <f t="shared" si="10"/>
        <v>2031</v>
      </c>
    </row>
    <row r="11" spans="1:13" x14ac:dyDescent="0.25">
      <c r="B11" s="4" t="s">
        <v>18</v>
      </c>
      <c r="E11" s="27"/>
      <c r="F11" s="236">
        <f>Assumptions!F33</f>
        <v>0</v>
      </c>
      <c r="G11" s="236">
        <f>Assumptions!G33</f>
        <v>0</v>
      </c>
      <c r="H11" s="236">
        <f>Assumptions!H33</f>
        <v>0</v>
      </c>
      <c r="I11" s="236">
        <f>Assumptions!I33</f>
        <v>0</v>
      </c>
      <c r="J11" s="236">
        <f>Assumptions!J33</f>
        <v>0</v>
      </c>
      <c r="K11" s="236">
        <f>Assumptions!K33</f>
        <v>0</v>
      </c>
      <c r="L11" s="236">
        <f>Assumptions!L33</f>
        <v>0</v>
      </c>
    </row>
    <row r="12" spans="1:13" x14ac:dyDescent="0.25">
      <c r="E12" s="27"/>
      <c r="F12" s="78"/>
      <c r="G12" s="78"/>
      <c r="H12" s="78"/>
      <c r="I12" s="78"/>
      <c r="J12" s="78"/>
      <c r="K12" s="78"/>
      <c r="L12" s="78"/>
    </row>
    <row r="13" spans="1:13" x14ac:dyDescent="0.25">
      <c r="B13" s="4" t="s">
        <v>19</v>
      </c>
      <c r="E13" s="27"/>
      <c r="F13" s="4">
        <f>E16</f>
        <v>763865</v>
      </c>
      <c r="G13" s="4">
        <f t="shared" ref="G13:L13" si="11">F16</f>
        <v>905082.23841882311</v>
      </c>
      <c r="H13" s="4">
        <f t="shared" si="11"/>
        <v>1086539.6575269992</v>
      </c>
      <c r="I13" s="4">
        <f t="shared" si="11"/>
        <v>1359169.755807885</v>
      </c>
      <c r="J13" s="4">
        <f t="shared" si="11"/>
        <v>1756599.3052893195</v>
      </c>
      <c r="K13" s="4">
        <f t="shared" si="11"/>
        <v>2322265.8556521172</v>
      </c>
      <c r="L13" s="4">
        <f t="shared" si="11"/>
        <v>3111420.1782324463</v>
      </c>
    </row>
    <row r="14" spans="1:13" x14ac:dyDescent="0.25">
      <c r="B14" s="4" t="s">
        <v>20</v>
      </c>
      <c r="E14" s="27"/>
      <c r="F14" s="4">
        <f>IncState!F33</f>
        <v>141217.23841882311</v>
      </c>
      <c r="G14" s="4">
        <f>IncState!G33</f>
        <v>181457.41910817608</v>
      </c>
      <c r="H14" s="4">
        <f>IncState!H33</f>
        <v>272630.09828088572</v>
      </c>
      <c r="I14" s="4">
        <f>IncState!I33</f>
        <v>397429.54948143451</v>
      </c>
      <c r="J14" s="4">
        <f>IncState!J33</f>
        <v>565666.55036279769</v>
      </c>
      <c r="K14" s="4">
        <f>IncState!K33</f>
        <v>789154.32258032891</v>
      </c>
      <c r="L14" s="4">
        <f>IncState!L33</f>
        <v>1081854.7801256645</v>
      </c>
    </row>
    <row r="15" spans="1:13" x14ac:dyDescent="0.25">
      <c r="B15" s="4" t="s">
        <v>21</v>
      </c>
      <c r="E15" s="27"/>
      <c r="F15" s="4">
        <f>F11</f>
        <v>0</v>
      </c>
      <c r="G15" s="4">
        <f t="shared" ref="G15:L15" si="12">G11</f>
        <v>0</v>
      </c>
      <c r="H15" s="4">
        <f t="shared" si="12"/>
        <v>0</v>
      </c>
      <c r="I15" s="4">
        <f t="shared" si="12"/>
        <v>0</v>
      </c>
      <c r="J15" s="4">
        <f t="shared" si="12"/>
        <v>0</v>
      </c>
      <c r="K15" s="4">
        <f t="shared" si="12"/>
        <v>0</v>
      </c>
      <c r="L15" s="4">
        <f t="shared" si="12"/>
        <v>0</v>
      </c>
    </row>
    <row r="16" spans="1:13" x14ac:dyDescent="0.25">
      <c r="B16" s="4" t="s">
        <v>22</v>
      </c>
      <c r="E16" s="27">
        <f>BalSheet!E39</f>
        <v>763865</v>
      </c>
      <c r="F16" s="4">
        <f>SUM(F13:F15)</f>
        <v>905082.23841882311</v>
      </c>
      <c r="G16" s="4">
        <f t="shared" ref="G16:L16" si="13">SUM(G13:G15)</f>
        <v>1086539.6575269992</v>
      </c>
      <c r="H16" s="4">
        <f t="shared" si="13"/>
        <v>1359169.755807885</v>
      </c>
      <c r="I16" s="4">
        <f t="shared" si="13"/>
        <v>1756599.3052893195</v>
      </c>
      <c r="J16" s="4">
        <f t="shared" si="13"/>
        <v>2322265.8556521172</v>
      </c>
      <c r="K16" s="4">
        <f t="shared" si="13"/>
        <v>3111420.1782324463</v>
      </c>
      <c r="L16" s="4">
        <f t="shared" si="13"/>
        <v>4193274.9583581109</v>
      </c>
    </row>
    <row r="17" spans="1:12" x14ac:dyDescent="0.25">
      <c r="A17" s="20" t="s">
        <v>23</v>
      </c>
      <c r="B17" s="42"/>
      <c r="C17" s="216">
        <f>C10</f>
        <v>2022</v>
      </c>
      <c r="D17" s="216">
        <f t="shared" ref="D17:J17" si="14">D10</f>
        <v>2023</v>
      </c>
      <c r="E17" s="216">
        <f t="shared" si="14"/>
        <v>2024</v>
      </c>
      <c r="F17" s="216">
        <f t="shared" si="14"/>
        <v>2025</v>
      </c>
      <c r="G17" s="216">
        <f t="shared" ref="G17:L17" si="15">G10</f>
        <v>2026</v>
      </c>
      <c r="H17" s="216">
        <f t="shared" si="15"/>
        <v>2027</v>
      </c>
      <c r="I17" s="216">
        <f t="shared" si="15"/>
        <v>2028</v>
      </c>
      <c r="J17" s="216">
        <f t="shared" si="15"/>
        <v>2029</v>
      </c>
      <c r="K17" s="216">
        <f t="shared" si="15"/>
        <v>2030</v>
      </c>
      <c r="L17" s="216">
        <f t="shared" si="15"/>
        <v>2031</v>
      </c>
    </row>
    <row r="18" spans="1:12" x14ac:dyDescent="0.25">
      <c r="A18" s="87"/>
      <c r="B18" s="172" t="s">
        <v>157</v>
      </c>
      <c r="C18" s="194"/>
      <c r="D18" s="194"/>
      <c r="E18" s="198">
        <f>BalSheet!E16</f>
        <v>25620.3</v>
      </c>
      <c r="F18" s="132">
        <f>BalSheet!F16</f>
        <v>32333.557946652407</v>
      </c>
      <c r="G18" s="132">
        <f>BalSheet!G16</f>
        <v>41482.774868455461</v>
      </c>
      <c r="H18" s="132">
        <f>BalSheet!H16</f>
        <v>52918.83381589951</v>
      </c>
      <c r="I18" s="132">
        <f>BalSheet!I16</f>
        <v>67101.63415224466</v>
      </c>
      <c r="J18" s="132">
        <f>BalSheet!J16</f>
        <v>84547.654255517977</v>
      </c>
      <c r="K18" s="132">
        <f>BalSheet!K16</f>
        <v>105826.23783606698</v>
      </c>
      <c r="L18" s="132">
        <f>BalSheet!L16</f>
        <v>131552.08134468374</v>
      </c>
    </row>
    <row r="19" spans="1:12" x14ac:dyDescent="0.25">
      <c r="B19" s="4" t="str">
        <f>BalSheet!B18</f>
        <v>Accounts receivable</v>
      </c>
      <c r="D19" s="98"/>
      <c r="E19" s="99">
        <f>BalSheet!E18</f>
        <v>10598</v>
      </c>
      <c r="F19" s="4">
        <f>BalSheet!F18</f>
        <v>13374.981835443854</v>
      </c>
      <c r="G19" s="4">
        <f>BalSheet!G18</f>
        <v>17159.613589844419</v>
      </c>
      <c r="H19" s="4">
        <f>BalSheet!H18</f>
        <v>21890.212088886663</v>
      </c>
      <c r="I19" s="4">
        <f>BalSheet!I18</f>
        <v>27757.01762842312</v>
      </c>
      <c r="J19" s="4">
        <f>BalSheet!J18</f>
        <v>34973.674773518636</v>
      </c>
      <c r="K19" s="4">
        <f>BalSheet!K18</f>
        <v>43775.696170093164</v>
      </c>
      <c r="L19" s="4">
        <f>BalSheet!L18</f>
        <v>54417.354913523974</v>
      </c>
    </row>
    <row r="20" spans="1:12" x14ac:dyDescent="0.25">
      <c r="B20" s="4" t="str">
        <f>BalSheet!B19</f>
        <v>Inventories</v>
      </c>
      <c r="D20" s="98"/>
      <c r="E20" s="99">
        <f>BalSheet!E19</f>
        <v>36488</v>
      </c>
      <c r="F20" s="4">
        <f>BalSheet!F19</f>
        <v>46071.891701239096</v>
      </c>
      <c r="G20" s="4">
        <f>BalSheet!G19</f>
        <v>59108.555710437489</v>
      </c>
      <c r="H20" s="4">
        <f>BalSheet!H19</f>
        <v>74377.701419085279</v>
      </c>
      <c r="I20" s="4">
        <f>BalSheet!I19</f>
        <v>93010.691146523401</v>
      </c>
      <c r="J20" s="4">
        <f>BalSheet!J19</f>
        <v>115553.64336260669</v>
      </c>
      <c r="K20" s="4">
        <f>BalSheet!K19</f>
        <v>142583.84876521051</v>
      </c>
      <c r="L20" s="4">
        <f>BalSheet!L19</f>
        <v>174694.66898719792</v>
      </c>
    </row>
    <row r="21" spans="1:12" x14ac:dyDescent="0.25">
      <c r="B21" s="4" t="s">
        <v>70</v>
      </c>
      <c r="C21" s="98"/>
      <c r="D21" s="98"/>
      <c r="E21" s="99">
        <f>BalSheet!E20</f>
        <v>17501</v>
      </c>
      <c r="F21" s="4">
        <f>BalSheet!F20</f>
        <v>22086.767041149549</v>
      </c>
      <c r="G21" s="4">
        <f>BalSheet!G20</f>
        <v>28336.516081889713</v>
      </c>
      <c r="H21" s="4">
        <f>BalSheet!H20</f>
        <v>36148.386654803311</v>
      </c>
      <c r="I21" s="4">
        <f>BalSheet!I20</f>
        <v>45836.531941407149</v>
      </c>
      <c r="J21" s="4">
        <f>BalSheet!J20</f>
        <v>57753.753747060735</v>
      </c>
      <c r="K21" s="4">
        <f>BalSheet!K20</f>
        <v>72288.965717380677</v>
      </c>
      <c r="L21" s="4">
        <f>BalSheet!L20</f>
        <v>89862.061553272608</v>
      </c>
    </row>
    <row r="22" spans="1:12" x14ac:dyDescent="0.25">
      <c r="B22" s="4" t="s">
        <v>161</v>
      </c>
      <c r="C22" s="98"/>
      <c r="D22" s="98"/>
      <c r="E22" s="99">
        <f>BalSheet!E31</f>
        <v>115586</v>
      </c>
      <c r="F22" s="4">
        <f>BalSheet!F31</f>
        <v>145945.67184223366</v>
      </c>
      <c r="G22" s="4">
        <f>BalSheet!G31</f>
        <v>187242.97084922789</v>
      </c>
      <c r="H22" s="4">
        <f>BalSheet!H31</f>
        <v>235612.28338704206</v>
      </c>
      <c r="I22" s="4">
        <f>BalSheet!I31</f>
        <v>294637.51772807643</v>
      </c>
      <c r="J22" s="4">
        <f>BalSheet!J31</f>
        <v>366048.65768773999</v>
      </c>
      <c r="K22" s="4">
        <f>BalSheet!K31</f>
        <v>451674.43387896352</v>
      </c>
      <c r="L22" s="4">
        <f>BalSheet!L31</f>
        <v>553394.48612021096</v>
      </c>
    </row>
    <row r="23" spans="1:12" x14ac:dyDescent="0.25">
      <c r="B23" s="4" t="s">
        <v>76</v>
      </c>
      <c r="C23" s="98"/>
      <c r="D23" s="98"/>
      <c r="E23" s="99">
        <f>BalSheet!E32</f>
        <v>70174</v>
      </c>
      <c r="F23" s="4">
        <f>BalSheet!F32</f>
        <v>88561.613070431893</v>
      </c>
      <c r="G23" s="4">
        <f>BalSheet!G32</f>
        <v>113621.31761216666</v>
      </c>
      <c r="H23" s="4">
        <f>BalSheet!H32</f>
        <v>144944.68231039186</v>
      </c>
      <c r="I23" s="4">
        <f>BalSheet!I32</f>
        <v>183791.37149056088</v>
      </c>
      <c r="J23" s="4">
        <f>BalSheet!J32</f>
        <v>231576.01939581969</v>
      </c>
      <c r="K23" s="4">
        <f>BalSheet!K32</f>
        <v>289858.05841103208</v>
      </c>
      <c r="L23" s="4">
        <f>BalSheet!L32</f>
        <v>360321.14207413018</v>
      </c>
    </row>
    <row r="24" spans="1:12" x14ac:dyDescent="0.25">
      <c r="A24" s="11" t="s">
        <v>124</v>
      </c>
      <c r="B24" s="17" t="s">
        <v>23</v>
      </c>
      <c r="C24" s="18"/>
      <c r="D24" s="18"/>
      <c r="E24" s="18">
        <f>SUM(E18:E21)-SUM(E22:E23)</f>
        <v>-95552.7</v>
      </c>
      <c r="F24" s="18">
        <f>SUM(F18:F21)-SUM(F22:F23)</f>
        <v>-120640.08638818064</v>
      </c>
      <c r="G24" s="18">
        <f t="shared" ref="G24:L24" si="16">SUM(G18:G21)-SUM(G22:G23)</f>
        <v>-154776.82821076747</v>
      </c>
      <c r="H24" s="18">
        <f t="shared" si="16"/>
        <v>-195221.83171875915</v>
      </c>
      <c r="I24" s="18">
        <f t="shared" si="16"/>
        <v>-244723.01435003898</v>
      </c>
      <c r="J24" s="18">
        <f t="shared" si="16"/>
        <v>-304795.95094485563</v>
      </c>
      <c r="K24" s="18">
        <f t="shared" si="16"/>
        <v>-377057.74380124419</v>
      </c>
      <c r="L24" s="18">
        <f t="shared" si="16"/>
        <v>-463189.46139566298</v>
      </c>
    </row>
    <row r="25" spans="1:12" s="11" customFormat="1" x14ac:dyDescent="0.25">
      <c r="A25" s="24"/>
      <c r="B25" s="11" t="s">
        <v>149</v>
      </c>
      <c r="F25" s="11">
        <f>E24-F24</f>
        <v>25087.386388180646</v>
      </c>
      <c r="G25" s="11">
        <f t="shared" ref="G25:L25" si="17">F24-G24</f>
        <v>34136.741822586831</v>
      </c>
      <c r="H25" s="11">
        <f t="shared" si="17"/>
        <v>40445.003507991671</v>
      </c>
      <c r="I25" s="11">
        <f t="shared" si="17"/>
        <v>49501.182631279837</v>
      </c>
      <c r="J25" s="11">
        <f t="shared" si="17"/>
        <v>60072.936594816652</v>
      </c>
      <c r="K25" s="11">
        <f t="shared" si="17"/>
        <v>72261.792856388551</v>
      </c>
      <c r="L25" s="11">
        <f t="shared" si="17"/>
        <v>86131.717594418791</v>
      </c>
    </row>
    <row r="26" spans="1:12" x14ac:dyDescent="0.25">
      <c r="B26" s="66"/>
      <c r="C26" s="66"/>
      <c r="D26" s="66"/>
      <c r="E26" s="66"/>
      <c r="F26" s="66"/>
      <c r="G26" s="66"/>
      <c r="H26" s="84"/>
      <c r="I26" s="66"/>
      <c r="J26" s="66"/>
      <c r="K26" s="66"/>
      <c r="L26" s="66"/>
    </row>
    <row r="27" spans="1:12" x14ac:dyDescent="0.25">
      <c r="H27" s="6"/>
      <c r="I27" s="4"/>
      <c r="J27" s="4"/>
      <c r="K27" s="4"/>
      <c r="L27" s="4"/>
    </row>
    <row r="28" spans="1:12" x14ac:dyDescent="0.25">
      <c r="H28" s="6"/>
      <c r="I28" s="4"/>
      <c r="J28" s="4"/>
      <c r="K28" s="4"/>
      <c r="L28" s="4"/>
    </row>
    <row r="29" spans="1:12" x14ac:dyDescent="0.25">
      <c r="H29" s="6"/>
      <c r="I29" s="4"/>
      <c r="J29" s="4"/>
      <c r="K29" s="4"/>
      <c r="L29" s="4"/>
    </row>
    <row r="30" spans="1:12" x14ac:dyDescent="0.25">
      <c r="H30" s="6"/>
      <c r="I30" s="4"/>
      <c r="J30" s="4"/>
      <c r="K30" s="4"/>
      <c r="L30" s="4"/>
    </row>
    <row r="31" spans="1:12" x14ac:dyDescent="0.25">
      <c r="H31" s="6"/>
      <c r="I31" s="4"/>
      <c r="J31" s="4"/>
      <c r="K31" s="4"/>
      <c r="L31" s="4"/>
    </row>
    <row r="32" spans="1:12" x14ac:dyDescent="0.25">
      <c r="H32" s="6"/>
      <c r="I32" s="4"/>
      <c r="J32" s="4"/>
      <c r="K32" s="4"/>
      <c r="L32" s="4"/>
    </row>
    <row r="33" spans="8:12" x14ac:dyDescent="0.25">
      <c r="H33" s="6"/>
      <c r="I33" s="4"/>
      <c r="J33" s="4"/>
      <c r="K33" s="4"/>
      <c r="L33" s="4"/>
    </row>
    <row r="34" spans="8:12" x14ac:dyDescent="0.25">
      <c r="H34" s="6"/>
      <c r="I34" s="4"/>
      <c r="J34" s="4"/>
      <c r="K34" s="4"/>
      <c r="L34" s="4"/>
    </row>
    <row r="35" spans="8:12" x14ac:dyDescent="0.25">
      <c r="H35" s="6"/>
      <c r="I35" s="4"/>
      <c r="J35" s="4"/>
      <c r="K35" s="4"/>
      <c r="L35" s="4"/>
    </row>
    <row r="36" spans="8:12" x14ac:dyDescent="0.25">
      <c r="H36" s="6"/>
      <c r="I36" s="4"/>
      <c r="J36" s="4"/>
      <c r="K36" s="4"/>
      <c r="L36" s="4"/>
    </row>
    <row r="37" spans="8:12" x14ac:dyDescent="0.25">
      <c r="H37" s="6"/>
      <c r="I37" s="4"/>
      <c r="J37" s="4"/>
      <c r="K37" s="4"/>
      <c r="L37" s="4"/>
    </row>
    <row r="38" spans="8:12" x14ac:dyDescent="0.25">
      <c r="H38" s="6"/>
      <c r="I38" s="4"/>
      <c r="J38" s="4"/>
      <c r="K38" s="4"/>
      <c r="L38" s="4"/>
    </row>
    <row r="39" spans="8:12" x14ac:dyDescent="0.25">
      <c r="H39" s="6"/>
      <c r="I39" s="4"/>
      <c r="J39" s="4"/>
      <c r="K39" s="4"/>
      <c r="L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L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3" s="2" customFormat="1" x14ac:dyDescent="0.25">
      <c r="A2" s="16" t="s">
        <v>10</v>
      </c>
      <c r="B2" s="193"/>
      <c r="C2" s="243">
        <v>2022</v>
      </c>
      <c r="D2" s="243">
        <f>C2+1</f>
        <v>2023</v>
      </c>
      <c r="E2" s="243">
        <f t="shared" ref="E2:L2" si="0">D2+1</f>
        <v>2024</v>
      </c>
      <c r="F2" s="243">
        <f t="shared" si="0"/>
        <v>2025</v>
      </c>
      <c r="G2" s="243">
        <f t="shared" si="0"/>
        <v>2026</v>
      </c>
      <c r="H2" s="243">
        <f t="shared" si="0"/>
        <v>2027</v>
      </c>
      <c r="I2" s="243">
        <f t="shared" si="0"/>
        <v>2028</v>
      </c>
      <c r="J2" s="243">
        <f t="shared" si="0"/>
        <v>2029</v>
      </c>
      <c r="K2" s="243">
        <f t="shared" si="0"/>
        <v>2030</v>
      </c>
      <c r="L2" s="243">
        <f t="shared" si="0"/>
        <v>2031</v>
      </c>
    </row>
    <row r="3" spans="1:13" s="2" customFormat="1" x14ac:dyDescent="0.25">
      <c r="A3" s="87"/>
      <c r="B3" s="11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13" s="2" customFormat="1" x14ac:dyDescent="0.25">
      <c r="A4" s="11"/>
      <c r="B4" s="4" t="s">
        <v>24</v>
      </c>
      <c r="C4" s="30"/>
      <c r="D4" s="56"/>
      <c r="E4" s="60"/>
      <c r="F4" s="111">
        <f>Assumptions!F22</f>
        <v>5.3600000000000002E-2</v>
      </c>
      <c r="G4" s="111">
        <f>Assumptions!G22</f>
        <v>5.3600000000000002E-2</v>
      </c>
      <c r="H4" s="111">
        <f>Assumptions!H22</f>
        <v>5.3600000000000002E-2</v>
      </c>
      <c r="I4" s="111">
        <f>Assumptions!I22</f>
        <v>5.3600000000000002E-2</v>
      </c>
      <c r="J4" s="111">
        <f>Assumptions!J22</f>
        <v>5.3600000000000002E-2</v>
      </c>
      <c r="K4" s="111">
        <f>Assumptions!K22</f>
        <v>5.3600000000000002E-2</v>
      </c>
      <c r="L4" s="111">
        <f>Assumptions!L22</f>
        <v>5.3600000000000002E-2</v>
      </c>
    </row>
    <row r="5" spans="1:13" s="2" customFormat="1" x14ac:dyDescent="0.25">
      <c r="A5" s="11"/>
      <c r="B5" s="4" t="s">
        <v>25</v>
      </c>
      <c r="C5" s="30"/>
      <c r="D5" s="57"/>
      <c r="E5" s="61"/>
      <c r="F5" s="111">
        <f>Assumptions!F23</f>
        <v>6.9599999999999995E-2</v>
      </c>
      <c r="G5" s="111">
        <f>Assumptions!G23</f>
        <v>6.9599999999999995E-2</v>
      </c>
      <c r="H5" s="111">
        <f>Assumptions!H23</f>
        <v>6.9599999999999995E-2</v>
      </c>
      <c r="I5" s="111">
        <f>Assumptions!I23</f>
        <v>6.9599999999999995E-2</v>
      </c>
      <c r="J5" s="111">
        <f>Assumptions!J23</f>
        <v>6.9599999999999995E-2</v>
      </c>
      <c r="K5" s="111">
        <f>Assumptions!K23</f>
        <v>6.9599999999999995E-2</v>
      </c>
      <c r="L5" s="111">
        <f>Assumptions!L23</f>
        <v>6.9599999999999995E-2</v>
      </c>
    </row>
    <row r="6" spans="1:13" s="2" customFormat="1" x14ac:dyDescent="0.25">
      <c r="A6" s="11"/>
      <c r="B6" s="4" t="s">
        <v>26</v>
      </c>
      <c r="C6" s="30"/>
      <c r="D6" s="56"/>
      <c r="E6" s="60"/>
      <c r="F6" s="111">
        <f>Assumptions!F24</f>
        <v>0.04</v>
      </c>
      <c r="G6" s="111">
        <f>Assumptions!G24</f>
        <v>0.04</v>
      </c>
      <c r="H6" s="111">
        <f>Assumptions!H24</f>
        <v>0.04</v>
      </c>
      <c r="I6" s="111">
        <f>Assumptions!I24</f>
        <v>0.04</v>
      </c>
      <c r="J6" s="111">
        <f>Assumptions!J24</f>
        <v>0.04</v>
      </c>
      <c r="K6" s="111">
        <f>Assumptions!K24</f>
        <v>0.04</v>
      </c>
      <c r="L6" s="111">
        <f>Assumptions!L24</f>
        <v>0.04</v>
      </c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110"/>
      <c r="L7" s="110"/>
    </row>
    <row r="8" spans="1:13" s="2" customFormat="1" x14ac:dyDescent="0.25">
      <c r="A8" s="11"/>
      <c r="B8" s="4" t="s">
        <v>27</v>
      </c>
      <c r="C8" s="30"/>
      <c r="D8" s="58"/>
      <c r="E8" s="62"/>
      <c r="F8" s="112">
        <f>Assumptions!F26</f>
        <v>0</v>
      </c>
      <c r="G8" s="112">
        <f>Assumptions!G26</f>
        <v>0</v>
      </c>
      <c r="H8" s="112">
        <f>Assumptions!H26</f>
        <v>0</v>
      </c>
      <c r="I8" s="112">
        <f>Assumptions!I26</f>
        <v>0</v>
      </c>
      <c r="J8" s="112">
        <f>Assumptions!J26</f>
        <v>0</v>
      </c>
      <c r="K8" s="112">
        <f>Assumptions!K26</f>
        <v>0</v>
      </c>
      <c r="L8" s="112">
        <f>Assumptions!L26</f>
        <v>0</v>
      </c>
    </row>
    <row r="9" spans="1:13" s="2" customFormat="1" x14ac:dyDescent="0.25">
      <c r="A9" s="11"/>
      <c r="B9" s="4" t="s">
        <v>28</v>
      </c>
      <c r="C9" s="30"/>
      <c r="D9" s="58"/>
      <c r="E9" s="62"/>
      <c r="F9" s="112">
        <v>-17311</v>
      </c>
      <c r="G9" s="112">
        <f>Assumptions!G27</f>
        <v>0</v>
      </c>
      <c r="H9" s="112">
        <f>Assumptions!H27</f>
        <v>0</v>
      </c>
      <c r="I9" s="112">
        <f>Assumptions!I27</f>
        <v>0</v>
      </c>
      <c r="J9" s="112">
        <f>Assumptions!J27</f>
        <v>0</v>
      </c>
      <c r="K9" s="112">
        <f>Assumptions!K27</f>
        <v>0</v>
      </c>
      <c r="L9" s="112">
        <f>Assumptions!L27</f>
        <v>0</v>
      </c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108"/>
      <c r="L10" s="108"/>
    </row>
    <row r="11" spans="1:13" x14ac:dyDescent="0.25">
      <c r="A11" s="20" t="s">
        <v>29</v>
      </c>
      <c r="B11" s="54"/>
      <c r="C11" s="234">
        <f>C2</f>
        <v>2022</v>
      </c>
      <c r="D11" s="234">
        <f t="shared" ref="D11:J11" si="1">D2</f>
        <v>2023</v>
      </c>
      <c r="E11" s="234">
        <f t="shared" si="1"/>
        <v>2024</v>
      </c>
      <c r="F11" s="234">
        <f t="shared" si="1"/>
        <v>2025</v>
      </c>
      <c r="G11" s="234">
        <f t="shared" si="1"/>
        <v>2026</v>
      </c>
      <c r="H11" s="234">
        <f t="shared" si="1"/>
        <v>2027</v>
      </c>
      <c r="I11" s="234">
        <f t="shared" si="1"/>
        <v>2028</v>
      </c>
      <c r="J11" s="234">
        <f t="shared" si="1"/>
        <v>2029</v>
      </c>
      <c r="K11" s="234">
        <f t="shared" ref="K11:L11" si="2">K2</f>
        <v>2030</v>
      </c>
      <c r="L11" s="234">
        <f t="shared" si="2"/>
        <v>2031</v>
      </c>
      <c r="M11" s="47"/>
    </row>
    <row r="12" spans="1:13" x14ac:dyDescent="0.25">
      <c r="B12" s="4" t="s">
        <v>30</v>
      </c>
      <c r="E12" s="27"/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7"/>
    </row>
    <row r="13" spans="1:13" x14ac:dyDescent="0.25">
      <c r="B13" s="4" t="s">
        <v>31</v>
      </c>
      <c r="E13" s="28"/>
      <c r="I13" s="4"/>
      <c r="J13" s="4"/>
      <c r="K13" s="4"/>
      <c r="L13" s="4"/>
      <c r="M13" s="47"/>
    </row>
    <row r="14" spans="1:13" x14ac:dyDescent="0.25">
      <c r="B14" s="4" t="s">
        <v>32</v>
      </c>
      <c r="E14" s="27"/>
      <c r="I14" s="4"/>
      <c r="J14" s="4"/>
      <c r="K14" s="4"/>
      <c r="L14" s="4"/>
      <c r="M14" s="47"/>
    </row>
    <row r="15" spans="1:13" x14ac:dyDescent="0.25">
      <c r="E15" s="27"/>
      <c r="I15" s="4"/>
      <c r="J15" s="4"/>
      <c r="K15" s="4"/>
      <c r="L15" s="4"/>
      <c r="M15" s="47"/>
    </row>
    <row r="16" spans="1:13" x14ac:dyDescent="0.25">
      <c r="A16" s="242" t="s">
        <v>33</v>
      </c>
      <c r="B16" s="19"/>
      <c r="C16" s="234">
        <f t="shared" ref="C16:J16" si="3">C11</f>
        <v>2022</v>
      </c>
      <c r="D16" s="234">
        <f t="shared" si="3"/>
        <v>2023</v>
      </c>
      <c r="E16" s="234">
        <f t="shared" si="3"/>
        <v>2024</v>
      </c>
      <c r="F16" s="234">
        <f t="shared" si="3"/>
        <v>2025</v>
      </c>
      <c r="G16" s="234">
        <f t="shared" ref="G16:L16" si="4">G11</f>
        <v>2026</v>
      </c>
      <c r="H16" s="234">
        <f t="shared" si="4"/>
        <v>2027</v>
      </c>
      <c r="I16" s="234">
        <f t="shared" si="4"/>
        <v>2028</v>
      </c>
      <c r="J16" s="234">
        <f t="shared" si="4"/>
        <v>2029</v>
      </c>
      <c r="K16" s="234">
        <f t="shared" si="4"/>
        <v>2030</v>
      </c>
      <c r="L16" s="234">
        <f t="shared" si="4"/>
        <v>2031</v>
      </c>
      <c r="M16" s="47"/>
    </row>
    <row r="17" spans="1:13" x14ac:dyDescent="0.25">
      <c r="B17" s="4" t="s">
        <v>19</v>
      </c>
      <c r="E17" s="27"/>
      <c r="F17" s="4">
        <f>E20</f>
        <v>237066</v>
      </c>
      <c r="G17" s="4">
        <f t="shared" ref="G17:L17" si="5">F20</f>
        <v>219755</v>
      </c>
      <c r="H17" s="4">
        <f t="shared" si="5"/>
        <v>219755</v>
      </c>
      <c r="I17" s="4">
        <f t="shared" si="5"/>
        <v>219755</v>
      </c>
      <c r="J17" s="4">
        <f t="shared" si="5"/>
        <v>219755</v>
      </c>
      <c r="K17" s="4">
        <f t="shared" si="5"/>
        <v>219755</v>
      </c>
      <c r="L17" s="4">
        <f t="shared" si="5"/>
        <v>219755</v>
      </c>
      <c r="M17" s="47"/>
    </row>
    <row r="18" spans="1:13" x14ac:dyDescent="0.25">
      <c r="B18" s="4" t="s">
        <v>34</v>
      </c>
      <c r="E18" s="27"/>
      <c r="F18" s="4">
        <f>F8</f>
        <v>0</v>
      </c>
      <c r="G18" s="4">
        <f t="shared" ref="G18:L18" si="6">G8</f>
        <v>0</v>
      </c>
      <c r="H18" s="4">
        <f t="shared" si="6"/>
        <v>0</v>
      </c>
      <c r="I18" s="4">
        <f t="shared" si="6"/>
        <v>0</v>
      </c>
      <c r="J18" s="4">
        <f t="shared" si="6"/>
        <v>0</v>
      </c>
      <c r="K18" s="4">
        <f t="shared" si="6"/>
        <v>0</v>
      </c>
      <c r="L18" s="4">
        <f t="shared" si="6"/>
        <v>0</v>
      </c>
      <c r="M18" s="47"/>
    </row>
    <row r="19" spans="1:13" x14ac:dyDescent="0.25">
      <c r="B19" s="4" t="s">
        <v>35</v>
      </c>
      <c r="E19" s="27"/>
      <c r="F19" s="4">
        <f>F9</f>
        <v>-17311</v>
      </c>
      <c r="G19" s="4">
        <f t="shared" ref="G19:L19" si="7">G9</f>
        <v>0</v>
      </c>
      <c r="H19" s="4">
        <f t="shared" si="7"/>
        <v>0</v>
      </c>
      <c r="I19" s="4">
        <f t="shared" si="7"/>
        <v>0</v>
      </c>
      <c r="J19" s="4">
        <f t="shared" si="7"/>
        <v>0</v>
      </c>
      <c r="K19" s="4">
        <f t="shared" si="7"/>
        <v>0</v>
      </c>
      <c r="L19" s="4">
        <f t="shared" si="7"/>
        <v>0</v>
      </c>
    </row>
    <row r="20" spans="1:13" x14ac:dyDescent="0.25">
      <c r="B20" s="4" t="s">
        <v>22</v>
      </c>
      <c r="C20" s="10"/>
      <c r="E20" s="27">
        <f>BalSheet!E35</f>
        <v>237066</v>
      </c>
      <c r="F20" s="4">
        <f>SUM(F17:F19)</f>
        <v>219755</v>
      </c>
      <c r="G20" s="4">
        <f t="shared" ref="G20:L20" si="8">SUM(G17:G19)</f>
        <v>219755</v>
      </c>
      <c r="H20" s="4">
        <f t="shared" si="8"/>
        <v>219755</v>
      </c>
      <c r="I20" s="4">
        <f t="shared" si="8"/>
        <v>219755</v>
      </c>
      <c r="J20" s="4">
        <f t="shared" si="8"/>
        <v>219755</v>
      </c>
      <c r="K20" s="4">
        <f t="shared" si="8"/>
        <v>219755</v>
      </c>
      <c r="L20" s="4">
        <f t="shared" si="8"/>
        <v>219755</v>
      </c>
    </row>
    <row r="21" spans="1:13" x14ac:dyDescent="0.25">
      <c r="B21" s="4" t="s">
        <v>31</v>
      </c>
      <c r="D21" s="48"/>
      <c r="E21" s="27"/>
      <c r="F21" s="8">
        <f>F5</f>
        <v>6.9599999999999995E-2</v>
      </c>
      <c r="G21" s="8">
        <f t="shared" ref="G21:L21" si="9">G5</f>
        <v>6.9599999999999995E-2</v>
      </c>
      <c r="H21" s="8">
        <f t="shared" si="9"/>
        <v>6.9599999999999995E-2</v>
      </c>
      <c r="I21" s="8">
        <f t="shared" si="9"/>
        <v>6.9599999999999995E-2</v>
      </c>
      <c r="J21" s="8">
        <f t="shared" si="9"/>
        <v>6.9599999999999995E-2</v>
      </c>
      <c r="K21" s="8">
        <f t="shared" si="9"/>
        <v>6.9599999999999995E-2</v>
      </c>
      <c r="L21" s="8">
        <f t="shared" si="9"/>
        <v>6.9599999999999995E-2</v>
      </c>
    </row>
    <row r="22" spans="1:13" x14ac:dyDescent="0.25">
      <c r="B22" s="4" t="s">
        <v>32</v>
      </c>
      <c r="E22" s="27"/>
      <c r="F22" s="4">
        <f>F20*F21</f>
        <v>15294.947999999999</v>
      </c>
      <c r="G22" s="4">
        <f t="shared" ref="G22:L22" si="10">G20*G21</f>
        <v>15294.947999999999</v>
      </c>
      <c r="H22" s="4">
        <f t="shared" si="10"/>
        <v>15294.947999999999</v>
      </c>
      <c r="I22" s="4">
        <f t="shared" si="10"/>
        <v>15294.947999999999</v>
      </c>
      <c r="J22" s="4">
        <f t="shared" si="10"/>
        <v>15294.947999999999</v>
      </c>
      <c r="K22" s="4">
        <f t="shared" si="10"/>
        <v>15294.947999999999</v>
      </c>
      <c r="L22" s="4">
        <f t="shared" si="10"/>
        <v>15294.947999999999</v>
      </c>
    </row>
    <row r="23" spans="1:13" x14ac:dyDescent="0.25">
      <c r="E23" s="27"/>
      <c r="I23" s="4"/>
      <c r="J23" s="4"/>
      <c r="K23" s="4"/>
      <c r="L23" s="4"/>
    </row>
    <row r="24" spans="1:13" x14ac:dyDescent="0.25">
      <c r="A24" s="20" t="s">
        <v>36</v>
      </c>
      <c r="B24" s="42"/>
      <c r="C24" s="234">
        <f>C16</f>
        <v>2022</v>
      </c>
      <c r="D24" s="234">
        <f t="shared" ref="D24:J24" si="11">D16</f>
        <v>2023</v>
      </c>
      <c r="E24" s="234">
        <f t="shared" si="11"/>
        <v>2024</v>
      </c>
      <c r="F24" s="234">
        <f t="shared" si="11"/>
        <v>2025</v>
      </c>
      <c r="G24" s="234">
        <f t="shared" ref="G24:L24" si="12">G16</f>
        <v>2026</v>
      </c>
      <c r="H24" s="234">
        <f t="shared" si="12"/>
        <v>2027</v>
      </c>
      <c r="I24" s="234">
        <f t="shared" si="12"/>
        <v>2028</v>
      </c>
      <c r="J24" s="234">
        <f t="shared" si="12"/>
        <v>2029</v>
      </c>
      <c r="K24" s="234">
        <f t="shared" si="12"/>
        <v>2030</v>
      </c>
      <c r="L24" s="234">
        <f t="shared" si="12"/>
        <v>2031</v>
      </c>
    </row>
    <row r="25" spans="1:13" x14ac:dyDescent="0.25">
      <c r="A25" s="7"/>
      <c r="B25" s="4" t="s">
        <v>29</v>
      </c>
      <c r="E25" s="27"/>
      <c r="F25" s="4">
        <f>F12</f>
        <v>0</v>
      </c>
      <c r="G25" s="4">
        <f t="shared" ref="G25:L25" si="13">G12</f>
        <v>0</v>
      </c>
      <c r="H25" s="4">
        <f t="shared" si="13"/>
        <v>0</v>
      </c>
      <c r="I25" s="4">
        <f t="shared" si="13"/>
        <v>0</v>
      </c>
      <c r="J25" s="4">
        <f t="shared" si="13"/>
        <v>0</v>
      </c>
      <c r="K25" s="4">
        <f t="shared" si="13"/>
        <v>0</v>
      </c>
      <c r="L25" s="4">
        <f t="shared" si="13"/>
        <v>0</v>
      </c>
    </row>
    <row r="26" spans="1:13" x14ac:dyDescent="0.25">
      <c r="A26" s="7"/>
      <c r="B26" s="4" t="s">
        <v>37</v>
      </c>
      <c r="E26" s="27"/>
      <c r="F26" s="4">
        <f>F20</f>
        <v>219755</v>
      </c>
      <c r="G26" s="4">
        <f t="shared" ref="G26:L26" si="14">G20</f>
        <v>219755</v>
      </c>
      <c r="H26" s="4">
        <f t="shared" si="14"/>
        <v>219755</v>
      </c>
      <c r="I26" s="4">
        <f t="shared" si="14"/>
        <v>219755</v>
      </c>
      <c r="J26" s="4">
        <f t="shared" si="14"/>
        <v>219755</v>
      </c>
      <c r="K26" s="4">
        <f t="shared" si="14"/>
        <v>219755</v>
      </c>
      <c r="L26" s="4">
        <f t="shared" si="14"/>
        <v>219755</v>
      </c>
    </row>
    <row r="27" spans="1:13" x14ac:dyDescent="0.25">
      <c r="A27" s="7"/>
      <c r="B27" s="11" t="s">
        <v>38</v>
      </c>
      <c r="D27" s="11"/>
      <c r="E27" s="24"/>
      <c r="F27" s="11">
        <f>SUM(F25:F26)</f>
        <v>219755</v>
      </c>
      <c r="G27" s="11">
        <f t="shared" ref="G27:L27" si="15">SUM(G25:G26)</f>
        <v>219755</v>
      </c>
      <c r="H27" s="11">
        <f t="shared" si="15"/>
        <v>219755</v>
      </c>
      <c r="I27" s="11">
        <f t="shared" si="15"/>
        <v>219755</v>
      </c>
      <c r="J27" s="11">
        <f t="shared" si="15"/>
        <v>219755</v>
      </c>
      <c r="K27" s="11">
        <f t="shared" si="15"/>
        <v>219755</v>
      </c>
      <c r="L27" s="11">
        <f t="shared" si="15"/>
        <v>219755</v>
      </c>
    </row>
    <row r="28" spans="1:13" x14ac:dyDescent="0.25">
      <c r="A28" s="7"/>
      <c r="B28" s="4" t="s">
        <v>39</v>
      </c>
      <c r="E28" s="27"/>
      <c r="F28" s="4">
        <f>F22</f>
        <v>15294.947999999999</v>
      </c>
      <c r="G28" s="4">
        <f t="shared" ref="G28:L28" si="16">G22</f>
        <v>15294.947999999999</v>
      </c>
      <c r="H28" s="4">
        <f t="shared" si="16"/>
        <v>15294.947999999999</v>
      </c>
      <c r="I28" s="4">
        <f t="shared" si="16"/>
        <v>15294.947999999999</v>
      </c>
      <c r="J28" s="4">
        <f t="shared" si="16"/>
        <v>15294.947999999999</v>
      </c>
      <c r="K28" s="4">
        <f t="shared" si="16"/>
        <v>15294.947999999999</v>
      </c>
      <c r="L28" s="4">
        <f t="shared" si="16"/>
        <v>15294.947999999999</v>
      </c>
    </row>
    <row r="29" spans="1:13" x14ac:dyDescent="0.25">
      <c r="A29" s="7"/>
      <c r="E29" s="27"/>
      <c r="I29" s="4"/>
      <c r="J29" s="4"/>
      <c r="K29" s="4"/>
      <c r="L29" s="4"/>
    </row>
    <row r="30" spans="1:13" x14ac:dyDescent="0.25">
      <c r="A30" s="20" t="s">
        <v>40</v>
      </c>
      <c r="B30" s="42"/>
      <c r="C30" s="234">
        <f>C11</f>
        <v>2022</v>
      </c>
      <c r="D30" s="234">
        <f t="shared" ref="D30:J30" si="17">D11</f>
        <v>2023</v>
      </c>
      <c r="E30" s="234">
        <f t="shared" si="17"/>
        <v>2024</v>
      </c>
      <c r="F30" s="234">
        <f t="shared" si="17"/>
        <v>2025</v>
      </c>
      <c r="G30" s="234">
        <f t="shared" ref="G30:L30" si="18">G11</f>
        <v>2026</v>
      </c>
      <c r="H30" s="234">
        <f t="shared" si="18"/>
        <v>2027</v>
      </c>
      <c r="I30" s="234">
        <f t="shared" si="18"/>
        <v>2028</v>
      </c>
      <c r="J30" s="234">
        <f t="shared" si="18"/>
        <v>2029</v>
      </c>
      <c r="K30" s="234">
        <f t="shared" si="18"/>
        <v>2030</v>
      </c>
      <c r="L30" s="234">
        <f t="shared" si="18"/>
        <v>2031</v>
      </c>
    </row>
    <row r="31" spans="1:13" x14ac:dyDescent="0.25">
      <c r="A31" s="7"/>
      <c r="B31" s="4" t="s">
        <v>167</v>
      </c>
      <c r="E31" s="27"/>
      <c r="F31" s="4">
        <f>BalSheet!F17</f>
        <v>391272.7043211335</v>
      </c>
      <c r="G31" s="4">
        <f>BalSheet!G17</f>
        <v>568439.53702830453</v>
      </c>
      <c r="H31" s="4">
        <f>BalSheet!H17</f>
        <v>811958.14847123611</v>
      </c>
      <c r="I31" s="4">
        <f>BalSheet!I17</f>
        <v>1150714.5912448401</v>
      </c>
      <c r="J31" s="4">
        <f>BalSheet!J17</f>
        <v>1620290.6422667722</v>
      </c>
      <c r="K31" s="4">
        <f>BalSheet!K17</f>
        <v>2266005.8258493226</v>
      </c>
      <c r="L31" s="4">
        <f>BalSheet!L17</f>
        <v>3144734.2789297621</v>
      </c>
    </row>
    <row r="32" spans="1:13" x14ac:dyDescent="0.25">
      <c r="B32" s="4" t="s">
        <v>31</v>
      </c>
      <c r="D32" s="48"/>
      <c r="E32" s="23"/>
      <c r="F32" s="5">
        <f>F6</f>
        <v>0.04</v>
      </c>
      <c r="G32" s="5">
        <f t="shared" ref="G32:L32" si="19">G6</f>
        <v>0.04</v>
      </c>
      <c r="H32" s="5">
        <f t="shared" si="19"/>
        <v>0.04</v>
      </c>
      <c r="I32" s="5">
        <f t="shared" si="19"/>
        <v>0.04</v>
      </c>
      <c r="J32" s="5">
        <f t="shared" si="19"/>
        <v>0.04</v>
      </c>
      <c r="K32" s="5">
        <f t="shared" si="19"/>
        <v>0.04</v>
      </c>
      <c r="L32" s="5">
        <f t="shared" si="19"/>
        <v>0.04</v>
      </c>
    </row>
    <row r="33" spans="2:12" x14ac:dyDescent="0.25">
      <c r="B33" s="4" t="s">
        <v>40</v>
      </c>
      <c r="E33" s="27"/>
      <c r="F33" s="4">
        <f>F31*F32</f>
        <v>15650.90817284534</v>
      </c>
      <c r="G33" s="4">
        <f t="shared" ref="G33:L33" si="20">G31*G32</f>
        <v>22737.581481132183</v>
      </c>
      <c r="H33" s="4">
        <f t="shared" si="20"/>
        <v>32478.325938849444</v>
      </c>
      <c r="I33" s="4">
        <f t="shared" si="20"/>
        <v>46028.583649793603</v>
      </c>
      <c r="J33" s="4">
        <f t="shared" si="20"/>
        <v>64811.625690670888</v>
      </c>
      <c r="K33" s="4">
        <f t="shared" si="20"/>
        <v>90640.233033972909</v>
      </c>
      <c r="L33" s="4">
        <f t="shared" si="20"/>
        <v>125789.37115719049</v>
      </c>
    </row>
    <row r="34" spans="2:12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0"/>
  <sheetViews>
    <sheetView showGridLines="0" zoomScaleNormal="100" workbookViewId="0">
      <selection activeCell="F38" sqref="F15:L3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2" width="11.7109375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x14ac:dyDescent="0.25">
      <c r="A2" s="16" t="s">
        <v>10</v>
      </c>
      <c r="B2" s="15"/>
      <c r="C2" s="244">
        <v>2022</v>
      </c>
      <c r="D2" s="244">
        <f>C2+1</f>
        <v>2023</v>
      </c>
      <c r="E2" s="244">
        <f t="shared" ref="E2:J2" si="0">D2+1</f>
        <v>2024</v>
      </c>
      <c r="F2" s="244">
        <f t="shared" si="0"/>
        <v>2025</v>
      </c>
      <c r="G2" s="244">
        <f t="shared" si="0"/>
        <v>2026</v>
      </c>
      <c r="H2" s="244">
        <f t="shared" si="0"/>
        <v>2027</v>
      </c>
      <c r="I2" s="244">
        <f t="shared" si="0"/>
        <v>2028</v>
      </c>
      <c r="J2" s="244">
        <f t="shared" si="0"/>
        <v>2029</v>
      </c>
      <c r="K2" s="244">
        <f t="shared" ref="K2" si="1">J2+1</f>
        <v>2030</v>
      </c>
      <c r="L2" s="244">
        <f t="shared" ref="L2" si="2">K2+1</f>
        <v>2031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42</v>
      </c>
      <c r="C4" s="31"/>
      <c r="D4" s="31"/>
      <c r="E4" s="32"/>
      <c r="F4" s="175">
        <f>Assumptions!F10</f>
        <v>0.2620288578452401</v>
      </c>
      <c r="G4" s="175">
        <f>Assumptions!G10</f>
        <v>0.28296350611641552</v>
      </c>
      <c r="H4" s="175">
        <f>Assumptions!H10</f>
        <v>0.27568211103785911</v>
      </c>
      <c r="I4" s="175">
        <f>Assumptions!I10</f>
        <v>0.26801044757875814</v>
      </c>
      <c r="J4" s="175">
        <f>Assumptions!J10</f>
        <v>0.25999396771307581</v>
      </c>
      <c r="K4" s="175">
        <f>Assumptions!K10</f>
        <v>0.25167562326733939</v>
      </c>
      <c r="L4" s="175">
        <f>Assumptions!L10</f>
        <v>0.24309513438877106</v>
      </c>
    </row>
    <row r="5" spans="1:12" x14ac:dyDescent="0.25">
      <c r="B5" s="30" t="s">
        <v>43</v>
      </c>
      <c r="C5" s="31"/>
      <c r="D5" s="31"/>
      <c r="E5" s="31"/>
      <c r="F5" s="175">
        <f>Assumptions!F11</f>
        <v>0.73491069857068025</v>
      </c>
      <c r="G5" s="175">
        <f>Assumptions!G11</f>
        <v>0.73491069857068014</v>
      </c>
      <c r="H5" s="175">
        <f>Assumptions!H11</f>
        <v>0.72491069857068013</v>
      </c>
      <c r="I5" s="175">
        <f>Assumptions!I11</f>
        <v>0.71491069857068013</v>
      </c>
      <c r="J5" s="175">
        <f>Assumptions!J11</f>
        <v>0.70491069857068012</v>
      </c>
      <c r="K5" s="175">
        <f>Assumptions!K11</f>
        <v>0.69491069857068011</v>
      </c>
      <c r="L5" s="175">
        <f>Assumptions!L11</f>
        <v>0.6849106985706801</v>
      </c>
    </row>
    <row r="6" spans="1:12" x14ac:dyDescent="0.25">
      <c r="B6" s="30" t="s">
        <v>44</v>
      </c>
      <c r="C6" s="31"/>
      <c r="D6" s="31"/>
      <c r="E6" s="31"/>
      <c r="F6" s="175">
        <f>Assumptions!F12</f>
        <v>0.15881551077361103</v>
      </c>
      <c r="G6" s="175">
        <f>Assumptions!G12</f>
        <v>0.15881551077361106</v>
      </c>
      <c r="H6" s="175">
        <f>Assumptions!H12</f>
        <v>0.14881551077361105</v>
      </c>
      <c r="I6" s="175">
        <f>Assumptions!I12</f>
        <v>0.13881551077361104</v>
      </c>
      <c r="J6" s="175">
        <f>Assumptions!J12</f>
        <v>0.12881551077361103</v>
      </c>
      <c r="K6" s="175">
        <f>Assumptions!K12</f>
        <v>0.11881551077361104</v>
      </c>
      <c r="L6" s="175">
        <f>Assumptions!L12</f>
        <v>0.10881551077361104</v>
      </c>
    </row>
    <row r="7" spans="1:12" x14ac:dyDescent="0.25">
      <c r="A7" s="87"/>
      <c r="B7" s="4" t="s">
        <v>45</v>
      </c>
      <c r="C7" s="30"/>
      <c r="D7" s="30"/>
      <c r="E7" s="30"/>
      <c r="F7" s="176">
        <f>Assumptions!F13</f>
        <v>0</v>
      </c>
      <c r="G7" s="176">
        <f>Assumptions!G13</f>
        <v>0</v>
      </c>
      <c r="H7" s="176">
        <f>Assumptions!H13</f>
        <v>0</v>
      </c>
      <c r="I7" s="176">
        <f>Assumptions!I13</f>
        <v>0</v>
      </c>
      <c r="J7" s="176">
        <f>Assumptions!J13</f>
        <v>0</v>
      </c>
      <c r="K7" s="176">
        <f>Assumptions!K13</f>
        <v>0</v>
      </c>
      <c r="L7" s="176">
        <f>Assumptions!L13</f>
        <v>0</v>
      </c>
    </row>
    <row r="8" spans="1:12" x14ac:dyDescent="0.25">
      <c r="A8" s="87"/>
      <c r="B8" s="4" t="s">
        <v>46</v>
      </c>
      <c r="C8" s="30"/>
      <c r="D8" s="30"/>
      <c r="E8" s="30"/>
      <c r="F8" s="177">
        <f>Assumptions!F14</f>
        <v>0</v>
      </c>
      <c r="G8" s="177">
        <f>Assumptions!G14</f>
        <v>0</v>
      </c>
      <c r="H8" s="177">
        <f>Assumptions!H14</f>
        <v>0</v>
      </c>
      <c r="I8" s="177">
        <f>Assumptions!I14</f>
        <v>0</v>
      </c>
      <c r="J8" s="177">
        <f>Assumptions!J14</f>
        <v>0</v>
      </c>
      <c r="K8" s="177">
        <f>Assumptions!K14</f>
        <v>0</v>
      </c>
      <c r="L8" s="177">
        <f>Assumptions!L14</f>
        <v>0</v>
      </c>
    </row>
    <row r="9" spans="1:12" x14ac:dyDescent="0.25">
      <c r="B9" s="4" t="s">
        <v>144</v>
      </c>
      <c r="F9" s="177">
        <f>Assumptions!F15</f>
        <v>8606</v>
      </c>
      <c r="G9" s="177">
        <f>Assumptions!G15</f>
        <v>11400</v>
      </c>
      <c r="H9" s="177">
        <f>Assumptions!H15</f>
        <v>14194</v>
      </c>
      <c r="I9" s="177">
        <f>Assumptions!I15</f>
        <v>16988</v>
      </c>
      <c r="J9" s="177">
        <f>Assumptions!J15</f>
        <v>19782</v>
      </c>
      <c r="K9" s="177">
        <f>Assumptions!K15</f>
        <v>22576</v>
      </c>
      <c r="L9" s="177">
        <f>Assumptions!L15</f>
        <v>25370</v>
      </c>
    </row>
    <row r="10" spans="1:12" x14ac:dyDescent="0.25">
      <c r="B10" s="30" t="s">
        <v>47</v>
      </c>
      <c r="C10" s="43"/>
      <c r="D10" s="43"/>
      <c r="E10" s="43"/>
      <c r="F10" s="175">
        <f>Assumptions!F16</f>
        <v>0.21727088440505374</v>
      </c>
      <c r="G10" s="175">
        <f>Assumptions!G16</f>
        <v>0.21727088440505374</v>
      </c>
      <c r="H10" s="175">
        <f>Assumptions!H16</f>
        <v>0.21727088440505374</v>
      </c>
      <c r="I10" s="175">
        <f>Assumptions!I16</f>
        <v>0.21727088440505374</v>
      </c>
      <c r="J10" s="175">
        <f>Assumptions!J16</f>
        <v>0.21727088440505374</v>
      </c>
      <c r="K10" s="175">
        <f>Assumptions!K16</f>
        <v>0.21727088440505374</v>
      </c>
      <c r="L10" s="175">
        <f>Assumptions!L16</f>
        <v>0.21727088440505374</v>
      </c>
    </row>
    <row r="11" spans="1:12" x14ac:dyDescent="0.25">
      <c r="B11" s="4" t="s">
        <v>48</v>
      </c>
      <c r="C11" s="30"/>
      <c r="D11" s="30"/>
      <c r="E11" s="39"/>
      <c r="F11" s="177">
        <f>Assumptions!F17</f>
        <v>103504</v>
      </c>
      <c r="G11" s="177">
        <f>Assumptions!G17</f>
        <v>103504</v>
      </c>
      <c r="H11" s="177">
        <f>Assumptions!H17</f>
        <v>103504</v>
      </c>
      <c r="I11" s="177">
        <f>Assumptions!I17</f>
        <v>103504</v>
      </c>
      <c r="J11" s="177">
        <f>Assumptions!J17</f>
        <v>103504</v>
      </c>
      <c r="K11" s="177">
        <f>Assumptions!K17</f>
        <v>103504</v>
      </c>
      <c r="L11" s="177">
        <f>Assumptions!L17</f>
        <v>103504</v>
      </c>
    </row>
    <row r="12" spans="1:12" x14ac:dyDescent="0.25">
      <c r="B12" s="4" t="s">
        <v>49</v>
      </c>
      <c r="C12" s="30"/>
      <c r="D12" s="30"/>
      <c r="E12" s="39"/>
      <c r="F12" s="177">
        <f>Assumptions!F18</f>
        <v>104129</v>
      </c>
      <c r="G12" s="177">
        <f>Assumptions!G18</f>
        <v>104129</v>
      </c>
      <c r="H12" s="177">
        <f>Assumptions!H18</f>
        <v>104129</v>
      </c>
      <c r="I12" s="177">
        <f>Assumptions!I18</f>
        <v>104129</v>
      </c>
      <c r="J12" s="177">
        <f>Assumptions!J18</f>
        <v>104129</v>
      </c>
      <c r="K12" s="177">
        <f>Assumptions!K18</f>
        <v>104129</v>
      </c>
      <c r="L12" s="177">
        <f>Assumptions!L18</f>
        <v>104129</v>
      </c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78" t="s">
        <v>41</v>
      </c>
      <c r="B14" s="179"/>
      <c r="C14" s="151">
        <f>C34</f>
        <v>44926</v>
      </c>
      <c r="D14" s="151">
        <f t="shared" ref="D14:J14" si="3">D34</f>
        <v>45291</v>
      </c>
      <c r="E14" s="151">
        <f t="shared" si="3"/>
        <v>45657</v>
      </c>
      <c r="F14" s="151">
        <f t="shared" si="3"/>
        <v>46022</v>
      </c>
      <c r="G14" s="151">
        <f t="shared" si="3"/>
        <v>46022</v>
      </c>
      <c r="H14" s="151">
        <f t="shared" si="3"/>
        <v>46022</v>
      </c>
      <c r="I14" s="151">
        <f t="shared" si="3"/>
        <v>46022</v>
      </c>
      <c r="J14" s="151">
        <f t="shared" si="3"/>
        <v>46022</v>
      </c>
      <c r="K14" s="234">
        <v>2030</v>
      </c>
      <c r="L14" s="234">
        <v>2031</v>
      </c>
    </row>
    <row r="15" spans="1:12" x14ac:dyDescent="0.25">
      <c r="B15" s="4" t="s">
        <v>50</v>
      </c>
      <c r="C15" s="98">
        <f>'Quarterly Projections'!G7</f>
        <v>739012</v>
      </c>
      <c r="D15" s="124">
        <f>'Quarterly Projections'!L7</f>
        <v>965776</v>
      </c>
      <c r="E15" s="22">
        <f>'Quarterly Projections'!Q7</f>
        <v>1281015</v>
      </c>
      <c r="F15" s="4">
        <f>E15*(1+F4)</f>
        <v>1616677.8973326203</v>
      </c>
      <c r="G15" s="4">
        <f t="shared" ref="G15:L15" si="4">F15*(1+G4)</f>
        <v>2074138.743422773</v>
      </c>
      <c r="H15" s="4">
        <f t="shared" si="4"/>
        <v>2645941.6907949755</v>
      </c>
      <c r="I15" s="4">
        <f t="shared" si="4"/>
        <v>3355081.7076122328</v>
      </c>
      <c r="J15" s="4">
        <f t="shared" si="4"/>
        <v>4227382.7127758991</v>
      </c>
      <c r="K15" s="4">
        <f t="shared" si="4"/>
        <v>5291311.8918033494</v>
      </c>
      <c r="L15" s="4">
        <f t="shared" si="4"/>
        <v>6577604.0672341874</v>
      </c>
    </row>
    <row r="16" spans="1:12" x14ac:dyDescent="0.25">
      <c r="B16" s="4" t="s">
        <v>156</v>
      </c>
      <c r="C16" s="124">
        <f>'Quarterly Projections'!G10</f>
        <v>558096</v>
      </c>
      <c r="D16" s="124">
        <f>'Quarterly Projections'!L10</f>
        <v>714480</v>
      </c>
      <c r="E16" s="22">
        <f>'Quarterly Projections'!Q10</f>
        <v>940962</v>
      </c>
      <c r="F16" s="173">
        <f>F15*F5</f>
        <v>1188113.8828924946</v>
      </c>
      <c r="G16" s="173">
        <f t="shared" ref="G16:L16" si="5">G15*G5</f>
        <v>1524306.7528613429</v>
      </c>
      <c r="H16" s="173">
        <f t="shared" si="5"/>
        <v>1918071.4394514721</v>
      </c>
      <c r="I16" s="173">
        <f t="shared" si="5"/>
        <v>2398583.8073507715</v>
      </c>
      <c r="J16" s="173">
        <f t="shared" si="5"/>
        <v>2979927.3011884759</v>
      </c>
      <c r="K16" s="173">
        <f t="shared" si="5"/>
        <v>3676989.2430884126</v>
      </c>
      <c r="L16" s="173">
        <f t="shared" si="5"/>
        <v>4505071.3966107136</v>
      </c>
    </row>
    <row r="17" spans="1:12" x14ac:dyDescent="0.25">
      <c r="B17" s="4" t="s">
        <v>51</v>
      </c>
      <c r="C17" s="124">
        <f>'Quarterly Projections'!G12</f>
        <v>183528</v>
      </c>
      <c r="D17" s="124">
        <f>'Quarterly Projections'!L12</f>
        <v>205074</v>
      </c>
      <c r="E17" s="22">
        <f>'Quarterly Projections'!Q12</f>
        <v>233997</v>
      </c>
      <c r="F17" s="173">
        <f>F15*F6</f>
        <v>256753.5260212876</v>
      </c>
      <c r="G17" s="173">
        <f t="shared" ref="G17:L17" si="6">G15*G6</f>
        <v>329405.40395202348</v>
      </c>
      <c r="H17" s="173">
        <f t="shared" si="6"/>
        <v>393757.16419284634</v>
      </c>
      <c r="I17" s="173">
        <f t="shared" si="6"/>
        <v>465737.38092939125</v>
      </c>
      <c r="J17" s="173">
        <f t="shared" si="6"/>
        <v>544552.46338176087</v>
      </c>
      <c r="K17" s="173">
        <f t="shared" si="6"/>
        <v>628689.9250870971</v>
      </c>
      <c r="L17" s="173">
        <f t="shared" si="6"/>
        <v>715745.3462426695</v>
      </c>
    </row>
    <row r="18" spans="1:12" s="11" customFormat="1" x14ac:dyDescent="0.25">
      <c r="A18" s="11" t="s">
        <v>124</v>
      </c>
      <c r="B18" s="17" t="s">
        <v>54</v>
      </c>
      <c r="C18" s="18">
        <f>C15-SUM(C16:C17)</f>
        <v>-2612</v>
      </c>
      <c r="D18" s="18">
        <f>D15-SUM(D16:D17)</f>
        <v>46222</v>
      </c>
      <c r="E18" s="18">
        <f>E15-SUM(E16:E17)</f>
        <v>106056</v>
      </c>
      <c r="F18" s="18">
        <f>F15-SUM(F16:F17)</f>
        <v>171810.48841883824</v>
      </c>
      <c r="G18" s="18">
        <f t="shared" ref="G18:L18" si="7">G15-SUM(G16:G17)</f>
        <v>220426.58660940663</v>
      </c>
      <c r="H18" s="18">
        <f t="shared" si="7"/>
        <v>334113.08715065708</v>
      </c>
      <c r="I18" s="18">
        <f t="shared" si="7"/>
        <v>490760.5193320699</v>
      </c>
      <c r="J18" s="18">
        <f t="shared" si="7"/>
        <v>702902.94820566243</v>
      </c>
      <c r="K18" s="18">
        <f t="shared" si="7"/>
        <v>985632.72362784017</v>
      </c>
      <c r="L18" s="18">
        <f t="shared" si="7"/>
        <v>1356787.3243808048</v>
      </c>
    </row>
    <row r="19" spans="1:12" s="11" customFormat="1" x14ac:dyDescent="0.25">
      <c r="E19" s="35"/>
    </row>
    <row r="20" spans="1:12" s="11" customFormat="1" x14ac:dyDescent="0.25">
      <c r="B20" s="4" t="s">
        <v>15</v>
      </c>
      <c r="C20" s="125">
        <v>44728</v>
      </c>
      <c r="D20" s="125">
        <v>69135</v>
      </c>
      <c r="E20" s="25">
        <v>93005</v>
      </c>
      <c r="F20" s="4">
        <f>Calcs!F8</f>
        <v>113593.15466903498</v>
      </c>
      <c r="G20" s="4">
        <f>Calcs!G8</f>
        <v>128039.9262183017</v>
      </c>
      <c r="H20" s="4">
        <f>Calcs!H8</f>
        <v>148037.74938328564</v>
      </c>
      <c r="I20" s="4">
        <f>Calcs!I8</f>
        <v>174813.69554442342</v>
      </c>
      <c r="J20" s="4">
        <f>Calcs!J8</f>
        <v>209832.45403830515</v>
      </c>
      <c r="K20" s="4">
        <f>Calcs!K8</f>
        <v>254818.39998353692</v>
      </c>
      <c r="L20" s="4">
        <f>Calcs!L8</f>
        <v>311773.09945888969</v>
      </c>
    </row>
    <row r="21" spans="1:12" s="11" customFormat="1" x14ac:dyDescent="0.25">
      <c r="B21" s="4" t="s">
        <v>53</v>
      </c>
      <c r="C21" s="98">
        <v>0</v>
      </c>
      <c r="D21" s="98">
        <v>0</v>
      </c>
      <c r="E21" s="126">
        <v>0</v>
      </c>
      <c r="F21" s="4">
        <f>F7</f>
        <v>0</v>
      </c>
      <c r="G21" s="4">
        <f t="shared" ref="G21:L21" si="8">G7</f>
        <v>0</v>
      </c>
      <c r="H21" s="4">
        <f t="shared" si="8"/>
        <v>0</v>
      </c>
      <c r="I21" s="4">
        <f t="shared" si="8"/>
        <v>0</v>
      </c>
      <c r="J21" s="4">
        <f t="shared" si="8"/>
        <v>0</v>
      </c>
      <c r="K21" s="4">
        <f t="shared" si="8"/>
        <v>0</v>
      </c>
      <c r="L21" s="4">
        <f t="shared" si="8"/>
        <v>0</v>
      </c>
    </row>
    <row r="22" spans="1:12" s="129" customFormat="1" x14ac:dyDescent="0.25">
      <c r="A22" s="129" t="s">
        <v>124</v>
      </c>
      <c r="B22" s="130" t="s">
        <v>52</v>
      </c>
      <c r="C22" s="131">
        <f>SUM(C18,C20:C21)</f>
        <v>42116</v>
      </c>
      <c r="D22" s="131">
        <f t="shared" ref="D22:F22" si="9">SUM(D18,D20:D21)</f>
        <v>115357</v>
      </c>
      <c r="E22" s="131">
        <f t="shared" si="9"/>
        <v>199061</v>
      </c>
      <c r="F22" s="131">
        <f t="shared" si="9"/>
        <v>285403.64308787324</v>
      </c>
      <c r="G22" s="131">
        <f t="shared" ref="G22:L22" si="10">SUM(G18,G20:G21)</f>
        <v>348466.51282770833</v>
      </c>
      <c r="H22" s="131">
        <f t="shared" si="10"/>
        <v>482150.83653394273</v>
      </c>
      <c r="I22" s="131">
        <f t="shared" si="10"/>
        <v>665574.21487649332</v>
      </c>
      <c r="J22" s="131">
        <f t="shared" si="10"/>
        <v>912735.40224396763</v>
      </c>
      <c r="K22" s="131">
        <f t="shared" si="10"/>
        <v>1240451.1236113771</v>
      </c>
      <c r="L22" s="131">
        <f t="shared" si="10"/>
        <v>1668560.4238396944</v>
      </c>
    </row>
    <row r="23" spans="1:12" s="11" customFormat="1" x14ac:dyDescent="0.25">
      <c r="C23" s="13"/>
      <c r="D23" s="4"/>
      <c r="E23" s="36"/>
      <c r="F23" s="4"/>
      <c r="G23" s="4"/>
      <c r="H23" s="4"/>
      <c r="I23" s="4"/>
      <c r="J23" s="4"/>
      <c r="K23" s="4"/>
      <c r="L23" s="4"/>
    </row>
    <row r="24" spans="1:12" s="11" customFormat="1" x14ac:dyDescent="0.25">
      <c r="B24" s="4" t="s">
        <v>55</v>
      </c>
      <c r="C24" s="96">
        <v>0</v>
      </c>
      <c r="D24" s="96">
        <v>0</v>
      </c>
      <c r="E24" s="97">
        <v>0</v>
      </c>
      <c r="F24" s="4">
        <f>F8</f>
        <v>0</v>
      </c>
      <c r="G24" s="4">
        <f t="shared" ref="G24:L24" si="11">G8</f>
        <v>0</v>
      </c>
      <c r="H24" s="4">
        <f t="shared" si="11"/>
        <v>0</v>
      </c>
      <c r="I24" s="4">
        <f t="shared" si="11"/>
        <v>0</v>
      </c>
      <c r="J24" s="4">
        <f t="shared" si="11"/>
        <v>0</v>
      </c>
      <c r="K24" s="4">
        <f t="shared" si="11"/>
        <v>0</v>
      </c>
      <c r="L24" s="4">
        <f t="shared" si="11"/>
        <v>0</v>
      </c>
    </row>
    <row r="25" spans="1:12" s="11" customFormat="1" x14ac:dyDescent="0.25">
      <c r="B25" s="4" t="s">
        <v>56</v>
      </c>
      <c r="C25" s="96">
        <v>3976</v>
      </c>
      <c r="D25" s="96">
        <v>3018</v>
      </c>
      <c r="E25" s="97">
        <v>5812</v>
      </c>
      <c r="F25" s="4">
        <f>F9</f>
        <v>8606</v>
      </c>
      <c r="G25" s="4">
        <f t="shared" ref="G25:L25" si="12">G9</f>
        <v>11400</v>
      </c>
      <c r="H25" s="4">
        <f t="shared" si="12"/>
        <v>14194</v>
      </c>
      <c r="I25" s="4">
        <f t="shared" si="12"/>
        <v>16988</v>
      </c>
      <c r="J25" s="4">
        <f t="shared" si="12"/>
        <v>19782</v>
      </c>
      <c r="K25" s="4">
        <f t="shared" si="12"/>
        <v>22576</v>
      </c>
      <c r="L25" s="4">
        <f t="shared" si="12"/>
        <v>25370</v>
      </c>
    </row>
    <row r="26" spans="1:12" s="11" customFormat="1" x14ac:dyDescent="0.25">
      <c r="B26" s="4"/>
      <c r="C26" s="10"/>
      <c r="D26" s="10"/>
      <c r="E26" s="22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/>
      <c r="D27" s="9"/>
      <c r="E27" s="45"/>
      <c r="F27" s="274">
        <f>IF(circ=1,Debt!F33,0)</f>
        <v>0</v>
      </c>
      <c r="G27" s="274">
        <f>IF(circ=1,Debt!G33,0)</f>
        <v>0</v>
      </c>
      <c r="H27" s="274">
        <f>IF(circ=1,Debt!H33,0)</f>
        <v>0</v>
      </c>
      <c r="I27" s="274">
        <f>IF(circ=1,Debt!I33,0)</f>
        <v>0</v>
      </c>
      <c r="J27" s="274">
        <f>IF(circ=1,Debt!J33,0)</f>
        <v>0</v>
      </c>
      <c r="K27" s="274">
        <f>IF(circ=1,Debt!K33,0)</f>
        <v>0</v>
      </c>
      <c r="L27" s="274">
        <f>IF(circ=1,Debt!L33,0)</f>
        <v>0</v>
      </c>
    </row>
    <row r="28" spans="1:12" x14ac:dyDescent="0.25">
      <c r="B28" s="4" t="s">
        <v>32</v>
      </c>
      <c r="C28" s="9">
        <v>-18018</v>
      </c>
      <c r="D28" s="9">
        <v>-32321</v>
      </c>
      <c r="E28" s="45">
        <v>-27020</v>
      </c>
      <c r="F28" s="274">
        <f>IF(circ=1,-Debt!F22,0)</f>
        <v>0</v>
      </c>
      <c r="G28" s="274">
        <f>IF(circ=1,-Debt!G22,0)</f>
        <v>0</v>
      </c>
      <c r="H28" s="274">
        <f>IF(circ=1,-Debt!H22,0)</f>
        <v>0</v>
      </c>
      <c r="I28" s="274">
        <f>IF(circ=1,-Debt!I22,0)</f>
        <v>0</v>
      </c>
      <c r="J28" s="274">
        <f>IF(circ=1,-Debt!J22,0)</f>
        <v>0</v>
      </c>
      <c r="K28" s="274">
        <f>IF(circ=1,-Debt!K22,0)</f>
        <v>0</v>
      </c>
      <c r="L28" s="274">
        <f>IF(circ=1,-Debt!L22,0)</f>
        <v>0</v>
      </c>
    </row>
    <row r="29" spans="1:12" x14ac:dyDescent="0.25">
      <c r="C29" s="10"/>
      <c r="D29" s="10"/>
      <c r="E29" s="22"/>
      <c r="H29" s="4"/>
    </row>
    <row r="30" spans="1:12" s="11" customFormat="1" x14ac:dyDescent="0.25">
      <c r="A30" s="11" t="s">
        <v>124</v>
      </c>
      <c r="B30" s="17" t="s">
        <v>84</v>
      </c>
      <c r="C30" s="18">
        <f t="shared" ref="C30:D30" si="13">C18+SUM(C25:C28)</f>
        <v>-16654</v>
      </c>
      <c r="D30" s="18">
        <f t="shared" si="13"/>
        <v>16919</v>
      </c>
      <c r="E30" s="18">
        <f>E18+SUM(E24:E28)</f>
        <v>84848</v>
      </c>
      <c r="F30" s="18">
        <f>F18+SUM(F24:F28)</f>
        <v>180416.48841883824</v>
      </c>
      <c r="G30" s="18">
        <f t="shared" ref="G30:L30" si="14">G18+SUM(G24:G28)</f>
        <v>231826.58660940663</v>
      </c>
      <c r="H30" s="18">
        <f t="shared" si="14"/>
        <v>348307.08715065708</v>
      </c>
      <c r="I30" s="18">
        <f t="shared" si="14"/>
        <v>507748.5193320699</v>
      </c>
      <c r="J30" s="18">
        <f t="shared" si="14"/>
        <v>722684.94820566243</v>
      </c>
      <c r="K30" s="18">
        <f t="shared" si="14"/>
        <v>1008208.7236278402</v>
      </c>
      <c r="L30" s="18">
        <f t="shared" si="14"/>
        <v>1382157.3243808048</v>
      </c>
    </row>
    <row r="31" spans="1:12" x14ac:dyDescent="0.25">
      <c r="E31" s="37"/>
      <c r="H31" s="4"/>
    </row>
    <row r="32" spans="1:12" x14ac:dyDescent="0.25">
      <c r="B32" s="4" t="s">
        <v>57</v>
      </c>
      <c r="C32" s="133">
        <v>2599</v>
      </c>
      <c r="D32" s="4">
        <v>6967</v>
      </c>
      <c r="E32" s="59">
        <v>18435</v>
      </c>
      <c r="F32" s="4">
        <f>F30*F10</f>
        <v>39199.250000015119</v>
      </c>
      <c r="G32" s="4">
        <f t="shared" ref="G32:L32" si="15">G30*G10</f>
        <v>50369.167501230564</v>
      </c>
      <c r="H32" s="4">
        <f t="shared" si="15"/>
        <v>75676.98886977139</v>
      </c>
      <c r="I32" s="4">
        <f t="shared" si="15"/>
        <v>110318.96985063536</v>
      </c>
      <c r="J32" s="4">
        <f t="shared" si="15"/>
        <v>157018.39784286474</v>
      </c>
      <c r="K32" s="4">
        <f t="shared" si="15"/>
        <v>219054.40104751123</v>
      </c>
      <c r="L32" s="4">
        <f t="shared" si="15"/>
        <v>300302.54425514018</v>
      </c>
    </row>
    <row r="33" spans="1:12" s="11" customFormat="1" x14ac:dyDescent="0.25">
      <c r="A33" s="11" t="s">
        <v>124</v>
      </c>
      <c r="B33" s="17" t="s">
        <v>58</v>
      </c>
      <c r="C33" s="18">
        <f>C30-C32</f>
        <v>-19253</v>
      </c>
      <c r="D33" s="34">
        <f t="shared" ref="D33:F33" si="16">D30-D32</f>
        <v>9952</v>
      </c>
      <c r="E33" s="18">
        <f t="shared" si="16"/>
        <v>66413</v>
      </c>
      <c r="F33" s="18">
        <f t="shared" si="16"/>
        <v>141217.23841882311</v>
      </c>
      <c r="G33" s="18">
        <f t="shared" ref="G33:L33" si="17">G30-G32</f>
        <v>181457.41910817608</v>
      </c>
      <c r="H33" s="18">
        <f t="shared" si="17"/>
        <v>272630.09828088572</v>
      </c>
      <c r="I33" s="18">
        <f t="shared" si="17"/>
        <v>397429.54948143451</v>
      </c>
      <c r="J33" s="18">
        <f t="shared" si="17"/>
        <v>565666.55036279769</v>
      </c>
      <c r="K33" s="18">
        <f t="shared" si="17"/>
        <v>789154.32258032891</v>
      </c>
      <c r="L33" s="18">
        <f t="shared" si="17"/>
        <v>1081854.7801256645</v>
      </c>
    </row>
    <row r="34" spans="1:12" x14ac:dyDescent="0.25">
      <c r="A34" s="20" t="s">
        <v>59</v>
      </c>
      <c r="B34" s="19"/>
      <c r="C34" s="55">
        <v>44926</v>
      </c>
      <c r="D34" s="55">
        <v>45291</v>
      </c>
      <c r="E34" s="55">
        <v>45657</v>
      </c>
      <c r="F34" s="55">
        <v>46022</v>
      </c>
      <c r="G34" s="55">
        <v>46022</v>
      </c>
      <c r="H34" s="55">
        <v>46022</v>
      </c>
      <c r="I34" s="55">
        <v>46022</v>
      </c>
      <c r="J34" s="55">
        <v>46022</v>
      </c>
      <c r="K34" s="55">
        <v>46022</v>
      </c>
      <c r="L34" s="55">
        <v>46022</v>
      </c>
    </row>
    <row r="35" spans="1:12" x14ac:dyDescent="0.25">
      <c r="B35" s="4" t="s">
        <v>48</v>
      </c>
      <c r="C35" s="10">
        <v>51871</v>
      </c>
      <c r="D35" s="10">
        <v>62074</v>
      </c>
      <c r="E35" s="22">
        <v>103504</v>
      </c>
      <c r="F35" s="174">
        <f>F11</f>
        <v>103504</v>
      </c>
      <c r="G35" s="174">
        <f t="shared" ref="G35:L35" si="18">G11</f>
        <v>103504</v>
      </c>
      <c r="H35" s="174">
        <f t="shared" si="18"/>
        <v>103504</v>
      </c>
      <c r="I35" s="174">
        <f t="shared" si="18"/>
        <v>103504</v>
      </c>
      <c r="J35" s="174">
        <f t="shared" si="18"/>
        <v>103504</v>
      </c>
      <c r="K35" s="174">
        <f t="shared" si="18"/>
        <v>103504</v>
      </c>
      <c r="L35" s="174">
        <f t="shared" si="18"/>
        <v>103504</v>
      </c>
    </row>
    <row r="36" spans="1:12" x14ac:dyDescent="0.25">
      <c r="B36" s="4" t="s">
        <v>49</v>
      </c>
      <c r="C36" s="10">
        <v>51871</v>
      </c>
      <c r="D36" s="10">
        <v>62074</v>
      </c>
      <c r="E36" s="22">
        <v>104129</v>
      </c>
      <c r="F36" s="174">
        <f>F12</f>
        <v>104129</v>
      </c>
      <c r="G36" s="174">
        <f t="shared" ref="G36:L36" si="19">G12</f>
        <v>104129</v>
      </c>
      <c r="H36" s="174">
        <f t="shared" si="19"/>
        <v>104129</v>
      </c>
      <c r="I36" s="174">
        <f t="shared" si="19"/>
        <v>104129</v>
      </c>
      <c r="J36" s="174">
        <f t="shared" si="19"/>
        <v>104129</v>
      </c>
      <c r="K36" s="174">
        <f t="shared" si="19"/>
        <v>104129</v>
      </c>
      <c r="L36" s="174">
        <f t="shared" si="19"/>
        <v>104129</v>
      </c>
    </row>
    <row r="37" spans="1:12" x14ac:dyDescent="0.25">
      <c r="B37" s="4" t="s">
        <v>60</v>
      </c>
      <c r="C37" s="181">
        <f>C33/C35</f>
        <v>-0.37117078907289236</v>
      </c>
      <c r="D37" s="181">
        <f>D33/D35</f>
        <v>0.16032477365724779</v>
      </c>
      <c r="E37" s="182">
        <f>E33/E35</f>
        <v>0.6416466996444582</v>
      </c>
      <c r="F37" s="173">
        <f>F33/F35</f>
        <v>1.3643650334172892</v>
      </c>
      <c r="G37" s="173">
        <f t="shared" ref="G37:L37" si="20">G33/G35</f>
        <v>1.7531440244645238</v>
      </c>
      <c r="H37" s="173">
        <f t="shared" si="20"/>
        <v>2.6340054324556124</v>
      </c>
      <c r="I37" s="173">
        <f t="shared" si="20"/>
        <v>3.8397506326464148</v>
      </c>
      <c r="J37" s="173">
        <f t="shared" si="20"/>
        <v>5.4651660840431067</v>
      </c>
      <c r="K37" s="173">
        <f t="shared" si="20"/>
        <v>7.6243847830067333</v>
      </c>
      <c r="L37" s="173">
        <f t="shared" si="20"/>
        <v>10.452299236026285</v>
      </c>
    </row>
    <row r="38" spans="1:12" s="11" customFormat="1" x14ac:dyDescent="0.25">
      <c r="A38" s="11" t="s">
        <v>124</v>
      </c>
      <c r="B38" s="17" t="s">
        <v>61</v>
      </c>
      <c r="C38" s="180">
        <f>C33/C36</f>
        <v>-0.37117078907289236</v>
      </c>
      <c r="D38" s="180">
        <f>D33/D36</f>
        <v>0.16032477365724779</v>
      </c>
      <c r="E38" s="180">
        <f>E33/E36</f>
        <v>0.63779542682634038</v>
      </c>
      <c r="F38" s="180">
        <f>F33/F36</f>
        <v>1.3561758820196401</v>
      </c>
      <c r="G38" s="180">
        <f t="shared" ref="G38:L38" si="21">G33/G36</f>
        <v>1.7426213553205743</v>
      </c>
      <c r="H38" s="180">
        <f t="shared" si="21"/>
        <v>2.6181956830554958</v>
      </c>
      <c r="I38" s="180">
        <f t="shared" si="21"/>
        <v>3.8167037951140848</v>
      </c>
      <c r="J38" s="180">
        <f t="shared" si="21"/>
        <v>5.4323632260253882</v>
      </c>
      <c r="K38" s="180">
        <f t="shared" si="21"/>
        <v>7.578621926459765</v>
      </c>
      <c r="L38" s="180">
        <f t="shared" si="21"/>
        <v>10.389562755098623</v>
      </c>
    </row>
    <row r="39" spans="1:12" x14ac:dyDescent="0.25">
      <c r="C39" s="14"/>
      <c r="D39" s="14"/>
      <c r="E39" s="38"/>
      <c r="F39" s="14"/>
      <c r="G39" s="14"/>
      <c r="H39" s="14"/>
      <c r="I39" s="14"/>
      <c r="J39" s="14"/>
      <c r="K39" s="14"/>
      <c r="L39" s="14"/>
    </row>
    <row r="40" spans="1:12" x14ac:dyDescent="0.25">
      <c r="D40" s="14"/>
      <c r="E40" s="14"/>
      <c r="F40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6:L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x14ac:dyDescent="0.25">
      <c r="A2" s="16" t="s">
        <v>10</v>
      </c>
      <c r="B2" s="64"/>
      <c r="C2" s="245">
        <v>2022</v>
      </c>
      <c r="D2" s="245">
        <f>C2+1</f>
        <v>2023</v>
      </c>
      <c r="E2" s="245">
        <f t="shared" ref="E2:J2" si="0">D2+1</f>
        <v>2024</v>
      </c>
      <c r="F2" s="245">
        <f t="shared" si="0"/>
        <v>2025</v>
      </c>
      <c r="G2" s="245">
        <f t="shared" si="0"/>
        <v>2026</v>
      </c>
      <c r="H2" s="245">
        <f t="shared" si="0"/>
        <v>2027</v>
      </c>
      <c r="I2" s="245">
        <f t="shared" si="0"/>
        <v>2028</v>
      </c>
      <c r="J2" s="245">
        <f t="shared" si="0"/>
        <v>2029</v>
      </c>
      <c r="K2" s="245">
        <f t="shared" ref="K2" si="1">J2+1</f>
        <v>2030</v>
      </c>
      <c r="L2" s="245">
        <f t="shared" ref="L2" si="2">K2+1</f>
        <v>2031</v>
      </c>
    </row>
    <row r="4" spans="1:12" x14ac:dyDescent="0.25">
      <c r="B4" s="4" t="s">
        <v>139</v>
      </c>
      <c r="C4" s="43"/>
      <c r="D4" s="43"/>
      <c r="E4" s="44"/>
      <c r="F4" s="103">
        <f>Assumptions!F37</f>
        <v>0.02</v>
      </c>
      <c r="G4" s="103">
        <f>F4</f>
        <v>0.02</v>
      </c>
      <c r="H4" s="103">
        <f t="shared" ref="H4:J4" si="3">G4</f>
        <v>0.02</v>
      </c>
      <c r="I4" s="103">
        <f t="shared" si="3"/>
        <v>0.02</v>
      </c>
      <c r="J4" s="103">
        <f t="shared" si="3"/>
        <v>0.02</v>
      </c>
      <c r="K4" s="103">
        <f t="shared" ref="K4" si="4">J4</f>
        <v>0.02</v>
      </c>
      <c r="L4" s="103">
        <f t="shared" ref="L4" si="5">K4</f>
        <v>0.02</v>
      </c>
    </row>
    <row r="5" spans="1:12" x14ac:dyDescent="0.25">
      <c r="B5" s="4" t="s">
        <v>152</v>
      </c>
      <c r="C5" s="43"/>
      <c r="D5" s="43"/>
      <c r="E5" s="44"/>
      <c r="F5" s="103">
        <f>Assumptions!F38</f>
        <v>8.2731271686904521E-3</v>
      </c>
      <c r="G5" s="103">
        <f>Assumptions!G38</f>
        <v>8.2731271686904521E-3</v>
      </c>
      <c r="H5" s="103">
        <f>Assumptions!H38</f>
        <v>8.2731271686904521E-3</v>
      </c>
      <c r="I5" s="103">
        <f>Assumptions!I38</f>
        <v>8.2731271686904521E-3</v>
      </c>
      <c r="J5" s="103">
        <f>Assumptions!J38</f>
        <v>8.2731271686904521E-3</v>
      </c>
      <c r="K5" s="103">
        <f>Assumptions!K38</f>
        <v>8.2731271686904521E-3</v>
      </c>
      <c r="L5" s="103">
        <f>Assumptions!L38</f>
        <v>8.2731271686904521E-3</v>
      </c>
    </row>
    <row r="6" spans="1:12" x14ac:dyDescent="0.25">
      <c r="B6" s="4" t="s">
        <v>63</v>
      </c>
      <c r="C6" s="43"/>
      <c r="D6" s="43"/>
      <c r="E6" s="44"/>
      <c r="F6" s="103">
        <f>Assumptions!F39</f>
        <v>3.8777336385528854E-2</v>
      </c>
      <c r="G6" s="103">
        <f>Assumptions!G39</f>
        <v>3.8777336385528854E-2</v>
      </c>
      <c r="H6" s="103">
        <f>Assumptions!H39</f>
        <v>3.8777336385528854E-2</v>
      </c>
      <c r="I6" s="103">
        <f>Assumptions!I39</f>
        <v>3.8777336385528854E-2</v>
      </c>
      <c r="J6" s="103">
        <f>Assumptions!J39</f>
        <v>3.8777336385528854E-2</v>
      </c>
      <c r="K6" s="103">
        <f>Assumptions!K39</f>
        <v>3.8777336385528854E-2</v>
      </c>
      <c r="L6" s="103">
        <f>Assumptions!L39</f>
        <v>3.8777336385528854E-2</v>
      </c>
    </row>
    <row r="7" spans="1:12" x14ac:dyDescent="0.25">
      <c r="B7" s="4" t="s">
        <v>64</v>
      </c>
      <c r="C7" s="43"/>
      <c r="D7" s="43"/>
      <c r="E7" s="44"/>
      <c r="F7" s="103">
        <f>Assumptions!F40</f>
        <v>1.3661822851410795E-2</v>
      </c>
      <c r="G7" s="103">
        <f>Assumptions!G40</f>
        <v>1.3661822851410795E-2</v>
      </c>
      <c r="H7" s="103">
        <f>Assumptions!H40</f>
        <v>1.3661822851410795E-2</v>
      </c>
      <c r="I7" s="103">
        <f>Assumptions!I40</f>
        <v>1.3661822851410795E-2</v>
      </c>
      <c r="J7" s="103">
        <f>Assumptions!J40</f>
        <v>1.3661822851410795E-2</v>
      </c>
      <c r="K7" s="103">
        <f>Assumptions!K40</f>
        <v>1.3661822851410795E-2</v>
      </c>
      <c r="L7" s="103">
        <f>Assumptions!L40</f>
        <v>1.3661822851410795E-2</v>
      </c>
    </row>
    <row r="8" spans="1:12" x14ac:dyDescent="0.25">
      <c r="A8" s="7"/>
      <c r="C8" s="30"/>
      <c r="D8" s="30"/>
      <c r="E8" s="30"/>
      <c r="F8" s="104"/>
      <c r="G8" s="104"/>
      <c r="H8" s="104"/>
      <c r="I8" s="104"/>
      <c r="J8" s="104"/>
      <c r="K8" s="104"/>
      <c r="L8" s="104"/>
    </row>
    <row r="9" spans="1:12" x14ac:dyDescent="0.25">
      <c r="B9" s="4" t="s">
        <v>65</v>
      </c>
      <c r="C9" s="43"/>
      <c r="D9" s="43"/>
      <c r="E9" s="44"/>
      <c r="F9" s="103">
        <f>Assumptions!F42</f>
        <v>0.5813499451606734</v>
      </c>
      <c r="G9" s="103">
        <f>Assumptions!G42</f>
        <v>0.5813499451606734</v>
      </c>
      <c r="H9" s="103">
        <f>Assumptions!H42</f>
        <v>0.5813499451606734</v>
      </c>
      <c r="I9" s="103">
        <f>Assumptions!I42</f>
        <v>0.5813499451606734</v>
      </c>
      <c r="J9" s="103">
        <f>Assumptions!J42</f>
        <v>0.5813499451606734</v>
      </c>
      <c r="K9" s="103">
        <f>Assumptions!K42</f>
        <v>0.5813499451606734</v>
      </c>
      <c r="L9" s="103">
        <f>Assumptions!L42</f>
        <v>0.5813499451606734</v>
      </c>
    </row>
    <row r="10" spans="1:12" x14ac:dyDescent="0.25">
      <c r="C10" s="30"/>
      <c r="D10" s="30"/>
      <c r="E10" s="30"/>
      <c r="F10" s="104"/>
      <c r="G10" s="104"/>
      <c r="H10" s="104"/>
      <c r="I10" s="104"/>
      <c r="J10" s="104"/>
      <c r="K10" s="104"/>
      <c r="L10" s="104"/>
    </row>
    <row r="11" spans="1:12" x14ac:dyDescent="0.25">
      <c r="B11" s="4" t="s">
        <v>151</v>
      </c>
      <c r="C11" s="43"/>
      <c r="D11" s="43"/>
      <c r="E11" s="44"/>
      <c r="F11" s="103">
        <f>Assumptions!F46</f>
        <v>0.12283811673585118</v>
      </c>
      <c r="G11" s="103">
        <f>Assumptions!G46</f>
        <v>0.12283811673585118</v>
      </c>
      <c r="H11" s="103">
        <f>Assumptions!H46</f>
        <v>0.12283811673585118</v>
      </c>
      <c r="I11" s="103">
        <f>Assumptions!I46</f>
        <v>0.12283811673585118</v>
      </c>
      <c r="J11" s="103">
        <f>Assumptions!J46</f>
        <v>0.12283811673585118</v>
      </c>
      <c r="K11" s="103">
        <f>Assumptions!K46</f>
        <v>0.12283811673585118</v>
      </c>
      <c r="L11" s="103">
        <f>Assumptions!L46</f>
        <v>0.12283811673585118</v>
      </c>
    </row>
    <row r="12" spans="1:12" x14ac:dyDescent="0.25">
      <c r="B12" s="4" t="s">
        <v>66</v>
      </c>
      <c r="C12" s="43"/>
      <c r="D12" s="43"/>
      <c r="E12" s="26"/>
      <c r="F12" s="103">
        <f>Assumptions!F47</f>
        <v>5.4779998672927328E-2</v>
      </c>
      <c r="G12" s="103">
        <f>Assumptions!G47</f>
        <v>5.4779998672927328E-2</v>
      </c>
      <c r="H12" s="103">
        <f>Assumptions!H47</f>
        <v>5.4779998672927328E-2</v>
      </c>
      <c r="I12" s="103">
        <f>Assumptions!I47</f>
        <v>5.4779998672927328E-2</v>
      </c>
      <c r="J12" s="103">
        <f>Assumptions!J47</f>
        <v>5.4779998672927328E-2</v>
      </c>
      <c r="K12" s="103">
        <f>Assumptions!K47</f>
        <v>5.4779998672927328E-2</v>
      </c>
      <c r="L12" s="103">
        <f>Assumptions!L47</f>
        <v>5.4779998672927328E-2</v>
      </c>
    </row>
    <row r="13" spans="1:12" x14ac:dyDescent="0.25">
      <c r="B13" s="4" t="s">
        <v>67</v>
      </c>
      <c r="C13" s="43"/>
      <c r="D13" s="43"/>
      <c r="E13" s="44"/>
      <c r="F13" s="237">
        <f>Assumptions!F48</f>
        <v>1.0260566816157499</v>
      </c>
      <c r="G13" s="237">
        <f>Assumptions!G48</f>
        <v>1.0260566816157499</v>
      </c>
      <c r="H13" s="237">
        <f>Assumptions!H48</f>
        <v>1.0260566816157499</v>
      </c>
      <c r="I13" s="237">
        <f>Assumptions!I48</f>
        <v>1.0260566816157499</v>
      </c>
      <c r="J13" s="237">
        <f>Assumptions!J48</f>
        <v>1.0260566816157499</v>
      </c>
      <c r="K13" s="237">
        <f>Assumptions!K48</f>
        <v>1.0260566816157499</v>
      </c>
      <c r="L13" s="237">
        <f>Assumptions!L48</f>
        <v>1.0260566816157499</v>
      </c>
    </row>
    <row r="14" spans="1:12" x14ac:dyDescent="0.25">
      <c r="C14" s="43"/>
      <c r="D14" s="43"/>
      <c r="E14" s="43"/>
      <c r="F14" s="104"/>
      <c r="G14" s="104"/>
      <c r="H14" s="104"/>
      <c r="I14" s="104"/>
      <c r="J14" s="104"/>
      <c r="K14" s="104"/>
      <c r="L14" s="104"/>
    </row>
    <row r="15" spans="1:12" ht="15" customHeight="1" x14ac:dyDescent="0.25">
      <c r="A15" s="178" t="s">
        <v>62</v>
      </c>
      <c r="B15" s="179"/>
      <c r="C15" s="234">
        <f>C2</f>
        <v>2022</v>
      </c>
      <c r="D15" s="234">
        <f>D2</f>
        <v>2023</v>
      </c>
      <c r="E15" s="234">
        <f>E2</f>
        <v>2024</v>
      </c>
      <c r="F15" s="234">
        <f>F2</f>
        <v>2025</v>
      </c>
      <c r="G15" s="234">
        <f>G2</f>
        <v>2026</v>
      </c>
      <c r="H15" s="234">
        <f>H2</f>
        <v>2027</v>
      </c>
      <c r="I15" s="234">
        <f>I2</f>
        <v>2028</v>
      </c>
      <c r="J15" s="234">
        <f>J2</f>
        <v>2029</v>
      </c>
      <c r="K15" s="234">
        <f t="shared" ref="K15:L15" si="6">K2</f>
        <v>2030</v>
      </c>
      <c r="L15" s="234">
        <f t="shared" si="6"/>
        <v>2031</v>
      </c>
    </row>
    <row r="16" spans="1:12" x14ac:dyDescent="0.25">
      <c r="B16" s="4" t="s">
        <v>157</v>
      </c>
      <c r="C16" s="184">
        <f>2%*IncState!C15</f>
        <v>14780.24</v>
      </c>
      <c r="D16" s="98">
        <f>2%*IncState!D15</f>
        <v>19315.52</v>
      </c>
      <c r="E16" s="185">
        <f>2%*IncState!E15</f>
        <v>25620.3</v>
      </c>
      <c r="F16" s="4">
        <f>F4*IncState!F15</f>
        <v>32333.557946652407</v>
      </c>
      <c r="G16" s="4">
        <f>G4*IncState!G15</f>
        <v>41482.774868455461</v>
      </c>
      <c r="H16" s="4">
        <f>H4*IncState!H15</f>
        <v>52918.83381589951</v>
      </c>
      <c r="I16" s="4">
        <f>I4*IncState!I15</f>
        <v>67101.63415224466</v>
      </c>
      <c r="J16" s="4">
        <f>J4*IncState!J15</f>
        <v>84547.654255517977</v>
      </c>
      <c r="K16" s="4">
        <f>K4*IncState!K15</f>
        <v>105826.23783606698</v>
      </c>
      <c r="L16" s="4">
        <f>L4*IncState!L15</f>
        <v>131552.08134468374</v>
      </c>
    </row>
    <row r="17" spans="1:12" x14ac:dyDescent="0.25">
      <c r="B17" s="4" t="s">
        <v>158</v>
      </c>
      <c r="C17" s="184">
        <f>20178-C16</f>
        <v>5397.76</v>
      </c>
      <c r="D17" s="184">
        <f>133545-D16</f>
        <v>114229.48</v>
      </c>
      <c r="E17" s="185">
        <f>293354-E16</f>
        <v>267733.7</v>
      </c>
      <c r="F17" s="4">
        <f>MAX(CashFlow!F22,0)</f>
        <v>391272.7043211335</v>
      </c>
      <c r="G17" s="4">
        <f>MAX(CashFlow!G22,0)</f>
        <v>568439.53702830453</v>
      </c>
      <c r="H17" s="4">
        <f>MAX(CashFlow!H22,0)</f>
        <v>811958.14847123611</v>
      </c>
      <c r="I17" s="4">
        <f>MAX(CashFlow!I22,0)</f>
        <v>1150714.5912448401</v>
      </c>
      <c r="J17" s="4">
        <f>MAX(CashFlow!J22,0)</f>
        <v>1620290.6422667722</v>
      </c>
      <c r="K17" s="4">
        <f>MAX(CashFlow!K22,0)</f>
        <v>2266005.8258493226</v>
      </c>
      <c r="L17" s="4">
        <f>MAX(CashFlow!L22,0)</f>
        <v>3144734.2789297621</v>
      </c>
    </row>
    <row r="18" spans="1:12" x14ac:dyDescent="0.25">
      <c r="B18" s="4" t="s">
        <v>68</v>
      </c>
      <c r="C18" s="186">
        <v>11966</v>
      </c>
      <c r="D18" s="186">
        <v>9124</v>
      </c>
      <c r="E18" s="187">
        <v>10598</v>
      </c>
      <c r="F18" s="4">
        <f>F5*IncState!F15</f>
        <v>13374.981835443854</v>
      </c>
      <c r="G18" s="4">
        <f>G5*IncState!G15</f>
        <v>17159.613589844419</v>
      </c>
      <c r="H18" s="4">
        <f>H5*IncState!H15</f>
        <v>21890.212088886663</v>
      </c>
      <c r="I18" s="4">
        <f>I5*IncState!I15</f>
        <v>27757.01762842312</v>
      </c>
      <c r="J18" s="4">
        <f>J5*IncState!J15</f>
        <v>34973.674773518636</v>
      </c>
      <c r="K18" s="4">
        <f>K5*IncState!K15</f>
        <v>43775.696170093164</v>
      </c>
      <c r="L18" s="4">
        <f>L5*IncState!L15</f>
        <v>54417.354913523974</v>
      </c>
    </row>
    <row r="19" spans="1:12" x14ac:dyDescent="0.25">
      <c r="B19" s="4" t="s">
        <v>69</v>
      </c>
      <c r="C19" s="186">
        <v>39229</v>
      </c>
      <c r="D19" s="186">
        <v>46953</v>
      </c>
      <c r="E19" s="187">
        <v>36488</v>
      </c>
      <c r="F19" s="4">
        <f>F6*IncState!F16</f>
        <v>46071.891701239096</v>
      </c>
      <c r="G19" s="4">
        <f>G6*IncState!G16</f>
        <v>59108.555710437489</v>
      </c>
      <c r="H19" s="4">
        <f>H6*IncState!H16</f>
        <v>74377.701419085279</v>
      </c>
      <c r="I19" s="4">
        <f>I6*IncState!I16</f>
        <v>93010.691146523401</v>
      </c>
      <c r="J19" s="4">
        <f>J6*IncState!J16</f>
        <v>115553.64336260669</v>
      </c>
      <c r="K19" s="4">
        <f>K6*IncState!K16</f>
        <v>142583.84876521051</v>
      </c>
      <c r="L19" s="4">
        <f>L6*IncState!L16</f>
        <v>174694.66898719792</v>
      </c>
    </row>
    <row r="20" spans="1:12" x14ac:dyDescent="0.25">
      <c r="B20" s="4" t="s">
        <v>70</v>
      </c>
      <c r="C20" s="186">
        <v>10949</v>
      </c>
      <c r="D20" s="186">
        <v>15637</v>
      </c>
      <c r="E20" s="187">
        <v>17501</v>
      </c>
      <c r="F20" s="4">
        <f>F7*IncState!F15</f>
        <v>22086.767041149549</v>
      </c>
      <c r="G20" s="4">
        <f>G7*IncState!G15</f>
        <v>28336.516081889713</v>
      </c>
      <c r="H20" s="4">
        <f>H7*IncState!H15</f>
        <v>36148.386654803311</v>
      </c>
      <c r="I20" s="4">
        <f>I7*IncState!I15</f>
        <v>45836.531941407149</v>
      </c>
      <c r="J20" s="4">
        <f>J7*IncState!J15</f>
        <v>57753.753747060735</v>
      </c>
      <c r="K20" s="4">
        <f>K7*IncState!K15</f>
        <v>72288.965717380677</v>
      </c>
      <c r="L20" s="4">
        <f>L7*IncState!L15</f>
        <v>89862.061553272608</v>
      </c>
    </row>
    <row r="21" spans="1:12" s="11" customFormat="1" x14ac:dyDescent="0.25">
      <c r="B21" s="11" t="s">
        <v>71</v>
      </c>
      <c r="C21" s="11">
        <f>SUM(C16:C20)</f>
        <v>82322</v>
      </c>
      <c r="D21" s="11">
        <f>SUM(D16:D20)</f>
        <v>205259</v>
      </c>
      <c r="E21" s="24">
        <f t="shared" ref="E21" si="7">SUM(E16:E20)</f>
        <v>357941</v>
      </c>
      <c r="F21" s="11">
        <f>SUM(F16:F20)</f>
        <v>505139.90284561843</v>
      </c>
      <c r="G21" s="11">
        <f t="shared" ref="G21:L21" si="8">SUM(G16:G20)</f>
        <v>714526.99727893167</v>
      </c>
      <c r="H21" s="11">
        <f t="shared" si="8"/>
        <v>997293.28244991088</v>
      </c>
      <c r="I21" s="11">
        <f t="shared" si="8"/>
        <v>1384420.4661134386</v>
      </c>
      <c r="J21" s="11">
        <f t="shared" si="8"/>
        <v>1913119.3684054762</v>
      </c>
      <c r="K21" s="11">
        <f t="shared" si="8"/>
        <v>2630480.5743380743</v>
      </c>
      <c r="L21" s="11">
        <f t="shared" si="8"/>
        <v>3595260.4457284398</v>
      </c>
    </row>
    <row r="22" spans="1:12" x14ac:dyDescent="0.25">
      <c r="A22" s="7"/>
      <c r="E22" s="27"/>
      <c r="I22" s="4"/>
      <c r="J22" s="4"/>
      <c r="K22" s="4"/>
      <c r="L22" s="4"/>
    </row>
    <row r="23" spans="1:12" x14ac:dyDescent="0.25">
      <c r="B23" s="4" t="s">
        <v>72</v>
      </c>
      <c r="C23" s="186">
        <f>365468+247943+169302</f>
        <v>782713</v>
      </c>
      <c r="D23" s="186">
        <f>542440+382734+199673</f>
        <v>1124847</v>
      </c>
      <c r="E23" s="187">
        <f>683971+374623+315256</f>
        <v>1373850</v>
      </c>
      <c r="F23" s="4">
        <f>Calcs!F9</f>
        <v>1548576.1721077149</v>
      </c>
      <c r="G23" s="4">
        <f>Calcs!G9</f>
        <v>1790439.420252037</v>
      </c>
      <c r="H23" s="4">
        <f>Calcs!H9</f>
        <v>2114280.5332192685</v>
      </c>
      <c r="I23" s="4">
        <f>Calcs!I9</f>
        <v>2537814.1651268797</v>
      </c>
      <c r="J23" s="4">
        <f>Calcs!J9</f>
        <v>3081895.7342753783</v>
      </c>
      <c r="K23" s="4">
        <f>Calcs!K9</f>
        <v>3770733.1391541716</v>
      </c>
      <c r="L23" s="4">
        <f>Calcs!L9</f>
        <v>4632013.9792573638</v>
      </c>
    </row>
    <row r="24" spans="1:12" x14ac:dyDescent="0.25">
      <c r="B24" s="4" t="s">
        <v>159</v>
      </c>
      <c r="C24" s="186">
        <f>8804+21629</f>
        <v>30433</v>
      </c>
      <c r="D24" s="186">
        <f>5415+21629</f>
        <v>27044</v>
      </c>
      <c r="E24" s="187">
        <f>2947+21629</f>
        <v>24576</v>
      </c>
      <c r="F24" s="132">
        <f>E24-IncState!F21</f>
        <v>24576</v>
      </c>
      <c r="G24" s="132">
        <f>F24-IncState!G21</f>
        <v>24576</v>
      </c>
      <c r="H24" s="132">
        <f>G24-IncState!H21</f>
        <v>24576</v>
      </c>
      <c r="I24" s="132">
        <f>H24-IncState!I21</f>
        <v>24576</v>
      </c>
      <c r="J24" s="132">
        <f>I24-IncState!J21</f>
        <v>24576</v>
      </c>
      <c r="K24" s="132">
        <f>J24-IncState!K21</f>
        <v>24576</v>
      </c>
      <c r="L24" s="132">
        <f>K24-IncState!L21</f>
        <v>24576</v>
      </c>
    </row>
    <row r="25" spans="1:12" x14ac:dyDescent="0.25">
      <c r="B25" s="4" t="s">
        <v>160</v>
      </c>
      <c r="C25" s="186">
        <f>2127+288765</f>
        <v>290892</v>
      </c>
      <c r="D25" s="186">
        <f>402995+3865</f>
        <v>406860</v>
      </c>
      <c r="E25" s="187">
        <f>742126+2592</f>
        <v>744718</v>
      </c>
      <c r="F25" s="4">
        <f>F9*IncState!F15</f>
        <v>939855.6069567916</v>
      </c>
      <c r="G25" s="4">
        <f>G9*IncState!G15</f>
        <v>1205800.444744457</v>
      </c>
      <c r="H25" s="4">
        <f>H9*IncState!H15</f>
        <v>1538218.0568419984</v>
      </c>
      <c r="I25" s="4">
        <f>I9*IncState!I15</f>
        <v>1950476.56672995</v>
      </c>
      <c r="J25" s="4">
        <f>J9*IncState!J15</f>
        <v>2457588.7082454478</v>
      </c>
      <c r="K25" s="4">
        <f>K9*IncState!K15</f>
        <v>3076103.8781278962</v>
      </c>
      <c r="L25" s="4">
        <f>L9*IncState!L15</f>
        <v>3823889.7637752173</v>
      </c>
    </row>
    <row r="26" spans="1:12" s="11" customFormat="1" x14ac:dyDescent="0.25">
      <c r="B26" s="11" t="s">
        <v>73</v>
      </c>
      <c r="C26" s="11">
        <f>SUM(C23:C25)</f>
        <v>1104038</v>
      </c>
      <c r="D26" s="11">
        <f>SUM(D23:D25)</f>
        <v>1558751</v>
      </c>
      <c r="E26" s="24">
        <f>SUM(E23:E25)</f>
        <v>2143144</v>
      </c>
      <c r="F26" s="11">
        <f>SUM(F23:F25)</f>
        <v>2513007.7790645063</v>
      </c>
      <c r="G26" s="11">
        <f t="shared" ref="G26:L26" si="9">SUM(G23:G25)</f>
        <v>3020815.8649964938</v>
      </c>
      <c r="H26" s="11">
        <f t="shared" si="9"/>
        <v>3677074.5900612669</v>
      </c>
      <c r="I26" s="11">
        <f t="shared" si="9"/>
        <v>4512866.7318568295</v>
      </c>
      <c r="J26" s="11">
        <f t="shared" si="9"/>
        <v>5564060.4425208261</v>
      </c>
      <c r="K26" s="11">
        <f t="shared" si="9"/>
        <v>6871413.0172820678</v>
      </c>
      <c r="L26" s="11">
        <f t="shared" si="9"/>
        <v>8480479.7430325821</v>
      </c>
    </row>
    <row r="27" spans="1:12" x14ac:dyDescent="0.25">
      <c r="E27" s="27"/>
      <c r="I27" s="4"/>
      <c r="J27" s="4"/>
      <c r="K27" s="4"/>
      <c r="L27" s="4"/>
    </row>
    <row r="28" spans="1:12" s="11" customFormat="1" x14ac:dyDescent="0.25">
      <c r="A28" s="11" t="s">
        <v>124</v>
      </c>
      <c r="B28" s="17" t="s">
        <v>74</v>
      </c>
      <c r="C28" s="18">
        <f>SUM(C26,C21)</f>
        <v>1186360</v>
      </c>
      <c r="D28" s="18">
        <f>SUM(D26,D21)</f>
        <v>1764010</v>
      </c>
      <c r="E28" s="18">
        <f>SUM(E26,E21)</f>
        <v>2501085</v>
      </c>
      <c r="F28" s="18">
        <f>SUM(F26,F21)</f>
        <v>3018147.6819101246</v>
      </c>
      <c r="G28" s="18">
        <f t="shared" ref="G28:L28" si="10">SUM(G26,G21)</f>
        <v>3735342.8622754253</v>
      </c>
      <c r="H28" s="18">
        <f t="shared" si="10"/>
        <v>4674367.8725111783</v>
      </c>
      <c r="I28" s="18">
        <f t="shared" si="10"/>
        <v>5897287.1979702683</v>
      </c>
      <c r="J28" s="18">
        <f t="shared" si="10"/>
        <v>7477179.8109263023</v>
      </c>
      <c r="K28" s="18">
        <f t="shared" si="10"/>
        <v>9501893.5916201416</v>
      </c>
      <c r="L28" s="18">
        <f t="shared" si="10"/>
        <v>12075740.188761022</v>
      </c>
    </row>
    <row r="29" spans="1:12" x14ac:dyDescent="0.25">
      <c r="A29" s="11"/>
      <c r="E29" s="27"/>
      <c r="I29" s="4"/>
      <c r="J29" s="4"/>
      <c r="K29" s="4"/>
      <c r="L29" s="4"/>
    </row>
    <row r="30" spans="1:12" x14ac:dyDescent="0.25">
      <c r="B30" s="4" t="s">
        <v>75</v>
      </c>
      <c r="C30" s="9">
        <v>110865</v>
      </c>
      <c r="D30" s="9">
        <v>0</v>
      </c>
      <c r="E30" s="45">
        <v>0</v>
      </c>
      <c r="F30" s="4">
        <f>MIN(CashFlow!F22,0)</f>
        <v>0</v>
      </c>
      <c r="G30" s="4">
        <f>MIN(CashFlow!G22,0)</f>
        <v>0</v>
      </c>
      <c r="H30" s="4">
        <f>MIN(CashFlow!H22,0)</f>
        <v>0</v>
      </c>
      <c r="I30" s="4">
        <f>MIN(CashFlow!I22,0)</f>
        <v>0</v>
      </c>
      <c r="J30" s="4">
        <f>MIN(CashFlow!J22,0)</f>
        <v>0</v>
      </c>
      <c r="K30" s="4">
        <f>MIN(CashFlow!K22,0)</f>
        <v>0</v>
      </c>
      <c r="L30" s="4">
        <f>MIN(CashFlow!L22,0)</f>
        <v>0</v>
      </c>
    </row>
    <row r="31" spans="1:12" x14ac:dyDescent="0.25">
      <c r="B31" s="4" t="s">
        <v>150</v>
      </c>
      <c r="C31" s="186">
        <f>21270+19706+9667+5939</f>
        <v>56582</v>
      </c>
      <c r="D31" s="9">
        <f>29957+31405+15770+6423</f>
        <v>83555</v>
      </c>
      <c r="E31" s="45">
        <f>32225+49778+26516+7067</f>
        <v>115586</v>
      </c>
      <c r="F31" s="4">
        <f>F11*IncState!F16</f>
        <v>145945.67184223366</v>
      </c>
      <c r="G31" s="4">
        <f>G11*IncState!G16</f>
        <v>187242.97084922789</v>
      </c>
      <c r="H31" s="4">
        <f>H11*IncState!H16</f>
        <v>235612.28338704206</v>
      </c>
      <c r="I31" s="4">
        <f>I11*IncState!I16</f>
        <v>294637.51772807643</v>
      </c>
      <c r="J31" s="4">
        <f>J11*IncState!J16</f>
        <v>366048.65768773999</v>
      </c>
      <c r="K31" s="4">
        <f>K11*IncState!K16</f>
        <v>451674.43387896352</v>
      </c>
      <c r="L31" s="4">
        <f>L11*IncState!L16</f>
        <v>553394.48612021096</v>
      </c>
    </row>
    <row r="32" spans="1:12" x14ac:dyDescent="0.25">
      <c r="B32" s="4" t="s">
        <v>76</v>
      </c>
      <c r="C32" s="186">
        <f>25335+7971+9317</f>
        <v>42623</v>
      </c>
      <c r="D32" s="9">
        <f>30349+9482+10239</f>
        <v>50070</v>
      </c>
      <c r="E32" s="45">
        <f>42868+71+13256+13979</f>
        <v>70174</v>
      </c>
      <c r="F32" s="4">
        <f>F12*IncState!F15</f>
        <v>88561.613070431893</v>
      </c>
      <c r="G32" s="4">
        <f>G12*IncState!G15</f>
        <v>113621.31761216666</v>
      </c>
      <c r="H32" s="4">
        <f>H12*IncState!H15</f>
        <v>144944.68231039186</v>
      </c>
      <c r="I32" s="4">
        <f>I12*IncState!I15</f>
        <v>183791.37149056088</v>
      </c>
      <c r="J32" s="4">
        <f>J12*IncState!J15</f>
        <v>231576.01939581969</v>
      </c>
      <c r="K32" s="4">
        <f>K12*IncState!K15</f>
        <v>289858.05841103208</v>
      </c>
      <c r="L32" s="4">
        <f>L12*IncState!L15</f>
        <v>360321.14207413018</v>
      </c>
    </row>
    <row r="33" spans="1:12" s="11" customFormat="1" x14ac:dyDescent="0.25">
      <c r="B33" s="11" t="s">
        <v>77</v>
      </c>
      <c r="C33" s="11">
        <f t="shared" ref="C33:E33" si="11">SUM(C30:C32)</f>
        <v>210070</v>
      </c>
      <c r="D33" s="11">
        <f t="shared" si="11"/>
        <v>133625</v>
      </c>
      <c r="E33" s="24">
        <f t="shared" si="11"/>
        <v>185760</v>
      </c>
      <c r="F33" s="11">
        <f>SUM(F30:F32)</f>
        <v>234507.28491266555</v>
      </c>
      <c r="G33" s="11">
        <f t="shared" ref="G33:L33" si="12">SUM(G30:G32)</f>
        <v>300864.28846139455</v>
      </c>
      <c r="H33" s="11">
        <f t="shared" si="12"/>
        <v>380556.96569743392</v>
      </c>
      <c r="I33" s="11">
        <f t="shared" si="12"/>
        <v>478428.88921863731</v>
      </c>
      <c r="J33" s="11">
        <f t="shared" si="12"/>
        <v>597624.67708355968</v>
      </c>
      <c r="K33" s="11">
        <f t="shared" si="12"/>
        <v>741532.49228999554</v>
      </c>
      <c r="L33" s="11">
        <f t="shared" si="12"/>
        <v>913715.6281943412</v>
      </c>
    </row>
    <row r="34" spans="1:12" x14ac:dyDescent="0.25">
      <c r="B34" s="11"/>
      <c r="E34" s="27"/>
      <c r="I34" s="4"/>
      <c r="J34" s="4"/>
      <c r="K34" s="4"/>
      <c r="L34" s="4"/>
    </row>
    <row r="35" spans="1:12" x14ac:dyDescent="0.25">
      <c r="B35" s="4" t="s">
        <v>78</v>
      </c>
      <c r="C35" s="186">
        <f>2609+96297</f>
        <v>98906</v>
      </c>
      <c r="D35" s="9">
        <f>4491+93175</f>
        <v>97666</v>
      </c>
      <c r="E35" s="45">
        <f>17311+219755</f>
        <v>237066</v>
      </c>
      <c r="F35" s="4">
        <f>Debt!F20</f>
        <v>219755</v>
      </c>
      <c r="G35" s="4">
        <f>Debt!G20</f>
        <v>219755</v>
      </c>
      <c r="H35" s="4">
        <f>Debt!H20</f>
        <v>219755</v>
      </c>
      <c r="I35" s="4">
        <f>Debt!I20</f>
        <v>219755</v>
      </c>
      <c r="J35" s="4">
        <f>Debt!J20</f>
        <v>219755</v>
      </c>
      <c r="K35" s="4">
        <f>Debt!K20</f>
        <v>219755</v>
      </c>
      <c r="L35" s="4">
        <f>Debt!L20</f>
        <v>219755</v>
      </c>
    </row>
    <row r="36" spans="1:12" x14ac:dyDescent="0.25">
      <c r="B36" s="4" t="s">
        <v>79</v>
      </c>
      <c r="C36" s="186">
        <f>6119+237130+161228+220923+8</f>
        <v>625408</v>
      </c>
      <c r="D36" s="9">
        <f>290920+191419+367775+6676</f>
        <v>856790</v>
      </c>
      <c r="E36" s="45">
        <f>8015+369297+309311+627763+8</f>
        <v>1314394</v>
      </c>
      <c r="F36" s="4">
        <f>F13*IncState!F15</f>
        <v>1658803.1585786364</v>
      </c>
      <c r="G36" s="4">
        <f>G13*IncState!G15</f>
        <v>2128183.916287032</v>
      </c>
      <c r="H36" s="4">
        <f>H13*IncState!H15</f>
        <v>2714886.151005859</v>
      </c>
      <c r="I36" s="4">
        <f>I13*IncState!I15</f>
        <v>3442504.0034623113</v>
      </c>
      <c r="J36" s="4">
        <f>J13*IncState!J15</f>
        <v>4337534.2781906258</v>
      </c>
      <c r="K36" s="4">
        <f>K13*IncState!K15</f>
        <v>5429185.9210977005</v>
      </c>
      <c r="L36" s="4">
        <f>L13*IncState!L15</f>
        <v>6748994.6022085706</v>
      </c>
    </row>
    <row r="37" spans="1:12" x14ac:dyDescent="0.25">
      <c r="B37" s="11" t="s">
        <v>80</v>
      </c>
      <c r="C37" s="11">
        <f t="shared" ref="C37:E37" si="13">SUM(C35:C36)</f>
        <v>724314</v>
      </c>
      <c r="D37" s="11">
        <f t="shared" si="13"/>
        <v>954456</v>
      </c>
      <c r="E37" s="24">
        <f t="shared" si="13"/>
        <v>1551460</v>
      </c>
      <c r="F37" s="11">
        <f>SUM(F35:F36)</f>
        <v>1878558.1585786364</v>
      </c>
      <c r="G37" s="11">
        <f t="shared" ref="G37:L37" si="14">SUM(G35:G36)</f>
        <v>2347938.916287032</v>
      </c>
      <c r="H37" s="11">
        <f t="shared" si="14"/>
        <v>2934641.151005859</v>
      </c>
      <c r="I37" s="11">
        <f t="shared" si="14"/>
        <v>3662259.0034623113</v>
      </c>
      <c r="J37" s="11">
        <f t="shared" si="14"/>
        <v>4557289.2781906258</v>
      </c>
      <c r="K37" s="11">
        <f t="shared" si="14"/>
        <v>5648940.9210977005</v>
      </c>
      <c r="L37" s="11">
        <f t="shared" si="14"/>
        <v>6968749.6022085706</v>
      </c>
    </row>
    <row r="38" spans="1:12" x14ac:dyDescent="0.25">
      <c r="E38" s="27"/>
      <c r="I38" s="4"/>
      <c r="J38" s="4"/>
      <c r="K38" s="4"/>
      <c r="L38" s="4"/>
    </row>
    <row r="39" spans="1:12" x14ac:dyDescent="0.25">
      <c r="B39" s="4" t="s">
        <v>17</v>
      </c>
      <c r="C39" s="188">
        <v>251976</v>
      </c>
      <c r="D39" s="188">
        <v>675929</v>
      </c>
      <c r="E39" s="27">
        <v>763865</v>
      </c>
      <c r="F39" s="4">
        <f>Calcs!F16</f>
        <v>905082.23841882311</v>
      </c>
      <c r="G39" s="4">
        <f>Calcs!G16</f>
        <v>1086539.6575269992</v>
      </c>
      <c r="H39" s="4">
        <f>Calcs!H16</f>
        <v>1359169.755807885</v>
      </c>
      <c r="I39" s="4">
        <f>Calcs!I16</f>
        <v>1756599.3052893195</v>
      </c>
      <c r="J39" s="4">
        <f>Calcs!J16</f>
        <v>2322265.8556521172</v>
      </c>
      <c r="K39" s="4">
        <f>Calcs!K16</f>
        <v>3111420.1782324463</v>
      </c>
      <c r="L39" s="4">
        <f>Calcs!L16</f>
        <v>4193274.9583581109</v>
      </c>
    </row>
    <row r="40" spans="1:12" s="11" customFormat="1" x14ac:dyDescent="0.25">
      <c r="A40" s="11" t="s">
        <v>124</v>
      </c>
      <c r="B40" s="17" t="s">
        <v>81</v>
      </c>
      <c r="C40" s="18">
        <f>SUM(C39,C37,C33)</f>
        <v>1186360</v>
      </c>
      <c r="D40" s="18">
        <f>SUM(D39,D37,D33)</f>
        <v>1764010</v>
      </c>
      <c r="E40" s="18">
        <f t="shared" ref="E40:F40" si="15">SUM(E39,E37,E33)</f>
        <v>2501085</v>
      </c>
      <c r="F40" s="18">
        <f t="shared" si="15"/>
        <v>3018147.6819101246</v>
      </c>
      <c r="G40" s="18">
        <f t="shared" ref="G40:L40" si="16">SUM(G39,G37,G33)</f>
        <v>3735342.8622754258</v>
      </c>
      <c r="H40" s="18">
        <f t="shared" si="16"/>
        <v>4674367.8725111783</v>
      </c>
      <c r="I40" s="18">
        <f t="shared" si="16"/>
        <v>5897287.1979702683</v>
      </c>
      <c r="J40" s="18">
        <f t="shared" si="16"/>
        <v>7477179.8109263023</v>
      </c>
      <c r="K40" s="18">
        <f t="shared" si="16"/>
        <v>9501893.5916201416</v>
      </c>
      <c r="L40" s="18">
        <f t="shared" si="16"/>
        <v>12075740.188761024</v>
      </c>
    </row>
    <row r="41" spans="1:12" x14ac:dyDescent="0.25">
      <c r="E41" s="27"/>
      <c r="I41" s="4"/>
      <c r="J41" s="4"/>
      <c r="K41" s="4"/>
      <c r="L41" s="4"/>
    </row>
    <row r="42" spans="1:12" x14ac:dyDescent="0.25">
      <c r="A42" s="4" t="s">
        <v>124</v>
      </c>
      <c r="B42" s="11" t="s">
        <v>82</v>
      </c>
      <c r="C42" s="46">
        <f>C40-C28</f>
        <v>0</v>
      </c>
      <c r="D42" s="46">
        <f t="shared" ref="D42:J42" si="17">D40-D28</f>
        <v>0</v>
      </c>
      <c r="E42" s="152">
        <f t="shared" si="17"/>
        <v>0</v>
      </c>
      <c r="F42" s="46">
        <f t="shared" si="17"/>
        <v>0</v>
      </c>
      <c r="G42" s="46">
        <f t="shared" ref="G42:L42" si="18">G40-G28</f>
        <v>0</v>
      </c>
      <c r="H42" s="46">
        <f t="shared" si="18"/>
        <v>0</v>
      </c>
      <c r="I42" s="46">
        <f t="shared" si="18"/>
        <v>0</v>
      </c>
      <c r="J42" s="46">
        <f t="shared" si="18"/>
        <v>0</v>
      </c>
      <c r="K42" s="46">
        <f t="shared" si="18"/>
        <v>0</v>
      </c>
      <c r="L42" s="46">
        <f t="shared" si="18"/>
        <v>0</v>
      </c>
    </row>
    <row r="43" spans="1:12" x14ac:dyDescent="0.25">
      <c r="I43" s="4"/>
      <c r="J43" s="4"/>
      <c r="K43" s="4"/>
      <c r="L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6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zoomScaleNormal="100" workbookViewId="0">
      <selection activeCell="F22" sqref="F4:L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s="2" customFormat="1" x14ac:dyDescent="0.25">
      <c r="A2" s="178" t="s">
        <v>83</v>
      </c>
      <c r="B2" s="179"/>
      <c r="C2" s="183">
        <v>2022</v>
      </c>
      <c r="D2" s="183">
        <f>C2+1</f>
        <v>2023</v>
      </c>
      <c r="E2" s="183">
        <f t="shared" ref="E2:J2" si="0">D2+1</f>
        <v>2024</v>
      </c>
      <c r="F2" s="183">
        <f t="shared" si="0"/>
        <v>2025</v>
      </c>
      <c r="G2" s="183">
        <f t="shared" si="0"/>
        <v>2026</v>
      </c>
      <c r="H2" s="183">
        <f t="shared" si="0"/>
        <v>2027</v>
      </c>
      <c r="I2" s="183">
        <f t="shared" si="0"/>
        <v>2028</v>
      </c>
      <c r="J2" s="183">
        <f t="shared" si="0"/>
        <v>2029</v>
      </c>
      <c r="K2" s="183">
        <f t="shared" ref="K2" si="1">J2+1</f>
        <v>2030</v>
      </c>
      <c r="L2" s="183">
        <f t="shared" ref="L2" si="2">K2+1</f>
        <v>2031</v>
      </c>
    </row>
    <row r="3" spans="1:12" x14ac:dyDescent="0.25">
      <c r="B3" s="4" t="s">
        <v>155</v>
      </c>
      <c r="F3" s="4">
        <f>IncState!F33</f>
        <v>141217.23841882311</v>
      </c>
      <c r="G3" s="4">
        <f>IncState!G33</f>
        <v>181457.41910817608</v>
      </c>
      <c r="H3" s="4">
        <f>IncState!H33</f>
        <v>272630.09828088572</v>
      </c>
      <c r="I3" s="4">
        <f>IncState!I33</f>
        <v>397429.54948143451</v>
      </c>
      <c r="J3" s="4">
        <f>IncState!J33</f>
        <v>565666.55036279769</v>
      </c>
      <c r="K3" s="4">
        <f>IncState!K33</f>
        <v>789154.32258032891</v>
      </c>
      <c r="L3" s="4">
        <f>IncState!L33</f>
        <v>1081854.7801256645</v>
      </c>
    </row>
    <row r="4" spans="1:12" x14ac:dyDescent="0.25">
      <c r="B4" s="4" t="s">
        <v>15</v>
      </c>
      <c r="F4" s="4">
        <f>IncState!F20</f>
        <v>113593.15466903498</v>
      </c>
      <c r="G4" s="4">
        <f>IncState!G20</f>
        <v>128039.9262183017</v>
      </c>
      <c r="H4" s="4">
        <f>IncState!H20</f>
        <v>148037.74938328564</v>
      </c>
      <c r="I4" s="4">
        <f>IncState!I20</f>
        <v>174813.69554442342</v>
      </c>
      <c r="J4" s="4">
        <f>IncState!J20</f>
        <v>209832.45403830515</v>
      </c>
      <c r="K4" s="4">
        <f>IncState!K20</f>
        <v>254818.39998353692</v>
      </c>
      <c r="L4" s="4">
        <f>IncState!L20</f>
        <v>311773.09945888969</v>
      </c>
    </row>
    <row r="5" spans="1:12" x14ac:dyDescent="0.25">
      <c r="B5" s="4" t="s">
        <v>53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  <c r="K5" s="4">
        <f>IncState!K21</f>
        <v>0</v>
      </c>
      <c r="L5" s="4">
        <f>IncState!L21</f>
        <v>0</v>
      </c>
    </row>
    <row r="6" spans="1:12" x14ac:dyDescent="0.25">
      <c r="B6" s="4" t="s">
        <v>89</v>
      </c>
      <c r="F6" s="4">
        <f>Calcs!F25</f>
        <v>25087.386388180646</v>
      </c>
      <c r="G6" s="4">
        <f>Calcs!G25</f>
        <v>34136.741822586831</v>
      </c>
      <c r="H6" s="4">
        <f>Calcs!H25</f>
        <v>40445.003507991671</v>
      </c>
      <c r="I6" s="4">
        <f>Calcs!I25</f>
        <v>49501.182631279837</v>
      </c>
      <c r="J6" s="4">
        <f>Calcs!J25</f>
        <v>60072.936594816652</v>
      </c>
      <c r="K6" s="4">
        <f>Calcs!K25</f>
        <v>72261.792856388551</v>
      </c>
      <c r="L6" s="4">
        <f>Calcs!L25</f>
        <v>86131.717594418791</v>
      </c>
    </row>
    <row r="7" spans="1:12" x14ac:dyDescent="0.25">
      <c r="B7" s="4" t="s">
        <v>217</v>
      </c>
      <c r="F7" s="4">
        <f>BalSheet!E25-BalSheet!F25</f>
        <v>-195137.6069567916</v>
      </c>
      <c r="G7" s="4">
        <f>BalSheet!F25-BalSheet!G25</f>
        <v>-265944.83778766543</v>
      </c>
      <c r="H7" s="4">
        <f>BalSheet!G25-BalSheet!H25</f>
        <v>-332417.61209754134</v>
      </c>
      <c r="I7" s="4">
        <f>BalSheet!H25-BalSheet!I25</f>
        <v>-412258.50988795166</v>
      </c>
      <c r="J7" s="4">
        <f>BalSheet!I25-BalSheet!J25</f>
        <v>-507112.14151549782</v>
      </c>
      <c r="K7" s="4">
        <f>BalSheet!J25-BalSheet!K25</f>
        <v>-618515.16988244839</v>
      </c>
      <c r="L7" s="4">
        <f>BalSheet!K25-BalSheet!L25</f>
        <v>-747785.88564732112</v>
      </c>
    </row>
    <row r="8" spans="1:12" x14ac:dyDescent="0.25">
      <c r="B8" s="4" t="s">
        <v>218</v>
      </c>
      <c r="F8" s="4">
        <f>BalSheet!F36-BalSheet!E36</f>
        <v>344409.15857863636</v>
      </c>
      <c r="G8" s="4">
        <f>BalSheet!G36-BalSheet!F36</f>
        <v>469380.7577083956</v>
      </c>
      <c r="H8" s="4">
        <f>BalSheet!H36-BalSheet!G36</f>
        <v>586702.23471882707</v>
      </c>
      <c r="I8" s="4">
        <f>BalSheet!I36-BalSheet!H36</f>
        <v>727617.85245645232</v>
      </c>
      <c r="J8" s="4">
        <f>BalSheet!J36-BalSheet!I36</f>
        <v>895030.27472831449</v>
      </c>
      <c r="K8" s="4">
        <f>BalSheet!K36-BalSheet!J36</f>
        <v>1091651.6429070747</v>
      </c>
      <c r="L8" s="4">
        <f>BalSheet!L36-BalSheet!K36</f>
        <v>1319808.6811108701</v>
      </c>
    </row>
    <row r="9" spans="1:12" s="11" customFormat="1" x14ac:dyDescent="0.25">
      <c r="B9" s="11" t="s">
        <v>219</v>
      </c>
      <c r="F9" s="11">
        <f>SUM(F3:F8)</f>
        <v>429169.33109788352</v>
      </c>
      <c r="G9" s="11">
        <f t="shared" ref="G9:L9" si="3">SUM(G3:G8)</f>
        <v>547070.00706979481</v>
      </c>
      <c r="H9" s="11">
        <f t="shared" si="3"/>
        <v>715397.47379344876</v>
      </c>
      <c r="I9" s="11">
        <f t="shared" si="3"/>
        <v>937103.77022563841</v>
      </c>
      <c r="J9" s="11">
        <f t="shared" si="3"/>
        <v>1223490.0742087362</v>
      </c>
      <c r="K9" s="11">
        <f t="shared" si="3"/>
        <v>1589370.9884448806</v>
      </c>
      <c r="L9" s="11">
        <f t="shared" si="3"/>
        <v>2051782.3926425218</v>
      </c>
    </row>
    <row r="10" spans="1:12" x14ac:dyDescent="0.25">
      <c r="I10" s="4"/>
      <c r="J10" s="4"/>
      <c r="K10" s="4"/>
      <c r="L10" s="4"/>
    </row>
    <row r="11" spans="1:12" x14ac:dyDescent="0.25">
      <c r="B11" s="4" t="s">
        <v>14</v>
      </c>
      <c r="F11" s="4">
        <f>-Calcs!F7</f>
        <v>-288319.32677675004</v>
      </c>
      <c r="G11" s="4">
        <f>-Calcs!G7</f>
        <v>-369903.17436262377</v>
      </c>
      <c r="H11" s="4">
        <f>-Calcs!H7</f>
        <v>-471878.86235051719</v>
      </c>
      <c r="I11" s="4">
        <f>-Calcs!I7</f>
        <v>-598347.32745203446</v>
      </c>
      <c r="J11" s="4">
        <f>-Calcs!J7</f>
        <v>-753914.02318680391</v>
      </c>
      <c r="K11" s="4">
        <f>-Calcs!K7</f>
        <v>-943655.8048623302</v>
      </c>
      <c r="L11" s="4">
        <f>-Calcs!L7</f>
        <v>-1173053.9395620823</v>
      </c>
    </row>
    <row r="12" spans="1:12" s="11" customFormat="1" x14ac:dyDescent="0.25">
      <c r="B12" s="11" t="s">
        <v>220</v>
      </c>
      <c r="F12" s="11">
        <f>SUM(F11)</f>
        <v>-288319.32677675004</v>
      </c>
      <c r="G12" s="11">
        <f t="shared" ref="G12:L12" si="4">SUM(G11)</f>
        <v>-369903.17436262377</v>
      </c>
      <c r="H12" s="11">
        <f t="shared" si="4"/>
        <v>-471878.86235051719</v>
      </c>
      <c r="I12" s="11">
        <f t="shared" si="4"/>
        <v>-598347.32745203446</v>
      </c>
      <c r="J12" s="11">
        <f t="shared" si="4"/>
        <v>-753914.02318680391</v>
      </c>
      <c r="K12" s="11">
        <f t="shared" si="4"/>
        <v>-943655.8048623302</v>
      </c>
      <c r="L12" s="11">
        <f t="shared" si="4"/>
        <v>-1173053.9395620823</v>
      </c>
    </row>
    <row r="13" spans="1:12" x14ac:dyDescent="0.25">
      <c r="I13" s="4"/>
      <c r="J13" s="4"/>
      <c r="K13" s="4"/>
      <c r="L13" s="4"/>
    </row>
    <row r="14" spans="1:12" x14ac:dyDescent="0.25">
      <c r="B14" s="4" t="s">
        <v>221</v>
      </c>
      <c r="F14" s="4">
        <f>SUM(Debt!F8:F9)</f>
        <v>-17311</v>
      </c>
      <c r="G14" s="4">
        <f>SUM(Debt!G8:G9)</f>
        <v>0</v>
      </c>
      <c r="H14" s="4">
        <f>SUM(Debt!H8:H9)</f>
        <v>0</v>
      </c>
      <c r="I14" s="4">
        <f>SUM(Debt!I8:I9)</f>
        <v>0</v>
      </c>
      <c r="J14" s="4">
        <f>SUM(Debt!J8:J9)</f>
        <v>0</v>
      </c>
      <c r="K14" s="4">
        <f>SUM(Debt!K8:K9)</f>
        <v>0</v>
      </c>
      <c r="L14" s="4">
        <f>SUM(Debt!L8:L9)</f>
        <v>0</v>
      </c>
    </row>
    <row r="15" spans="1:12" x14ac:dyDescent="0.25">
      <c r="B15" s="4" t="s">
        <v>222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  <c r="K15" s="4">
        <f>Calcs!K11</f>
        <v>0</v>
      </c>
      <c r="L15" s="4">
        <f>Calcs!L11</f>
        <v>0</v>
      </c>
    </row>
    <row r="16" spans="1:12" s="11" customFormat="1" x14ac:dyDescent="0.25">
      <c r="B16" s="11" t="s">
        <v>220</v>
      </c>
      <c r="F16" s="11">
        <f>SUM(F14:F15)</f>
        <v>-17311</v>
      </c>
      <c r="G16" s="11">
        <f t="shared" ref="G16:L16" si="5">SUM(G14:G15)</f>
        <v>0</v>
      </c>
      <c r="H16" s="11">
        <f t="shared" si="5"/>
        <v>0</v>
      </c>
      <c r="I16" s="11">
        <f t="shared" si="5"/>
        <v>0</v>
      </c>
      <c r="J16" s="11">
        <f t="shared" si="5"/>
        <v>0</v>
      </c>
      <c r="K16" s="11">
        <f t="shared" si="5"/>
        <v>0</v>
      </c>
      <c r="L16" s="11">
        <f t="shared" si="5"/>
        <v>0</v>
      </c>
    </row>
    <row r="17" spans="2:12" x14ac:dyDescent="0.25">
      <c r="I17" s="4"/>
      <c r="J17" s="4"/>
      <c r="K17" s="4"/>
      <c r="L17" s="4"/>
    </row>
    <row r="18" spans="2:12" x14ac:dyDescent="0.25">
      <c r="B18" s="4" t="s">
        <v>223</v>
      </c>
      <c r="F18" s="4">
        <f>SUM(F16,F12,F9)</f>
        <v>123539.00432113349</v>
      </c>
      <c r="G18" s="4">
        <f t="shared" ref="G18:L18" si="6">SUM(G16,G12,G9)</f>
        <v>177166.83270717104</v>
      </c>
      <c r="H18" s="4">
        <f t="shared" si="6"/>
        <v>243518.61144293158</v>
      </c>
      <c r="I18" s="4">
        <f t="shared" si="6"/>
        <v>338756.44277360395</v>
      </c>
      <c r="J18" s="4">
        <f t="shared" si="6"/>
        <v>469576.05102193228</v>
      </c>
      <c r="K18" s="4">
        <f t="shared" si="6"/>
        <v>645715.18358255038</v>
      </c>
      <c r="L18" s="4">
        <f t="shared" si="6"/>
        <v>878728.45308043947</v>
      </c>
    </row>
    <row r="19" spans="2:12" x14ac:dyDescent="0.25">
      <c r="I19" s="4"/>
      <c r="J19" s="4"/>
      <c r="K19" s="4"/>
      <c r="L19" s="4"/>
    </row>
    <row r="20" spans="2:12" x14ac:dyDescent="0.25">
      <c r="B20" s="4" t="s">
        <v>224</v>
      </c>
      <c r="F20" s="4">
        <f>BalSheet!E17</f>
        <v>267733.7</v>
      </c>
      <c r="G20" s="4">
        <f>BalSheet!F17</f>
        <v>391272.7043211335</v>
      </c>
      <c r="H20" s="4">
        <f>BalSheet!G17</f>
        <v>568439.53702830453</v>
      </c>
      <c r="I20" s="4">
        <f>BalSheet!H17</f>
        <v>811958.14847123611</v>
      </c>
      <c r="J20" s="4">
        <f>BalSheet!I17</f>
        <v>1150714.5912448401</v>
      </c>
      <c r="K20" s="4">
        <f>BalSheet!J17</f>
        <v>1620290.6422667722</v>
      </c>
      <c r="L20" s="4">
        <f>BalSheet!K17</f>
        <v>2266005.8258493226</v>
      </c>
    </row>
    <row r="21" spans="2:12" x14ac:dyDescent="0.25">
      <c r="B21" s="4" t="str">
        <f>B18</f>
        <v>Net changes in cash</v>
      </c>
      <c r="F21" s="4">
        <f>F18</f>
        <v>123539.00432113349</v>
      </c>
      <c r="G21" s="4">
        <f t="shared" ref="G21:L21" si="7">G18</f>
        <v>177166.83270717104</v>
      </c>
      <c r="H21" s="4">
        <f t="shared" si="7"/>
        <v>243518.61144293158</v>
      </c>
      <c r="I21" s="4">
        <f t="shared" si="7"/>
        <v>338756.44277360395</v>
      </c>
      <c r="J21" s="4">
        <f t="shared" si="7"/>
        <v>469576.05102193228</v>
      </c>
      <c r="K21" s="4">
        <f t="shared" si="7"/>
        <v>645715.18358255038</v>
      </c>
      <c r="L21" s="4">
        <f t="shared" si="7"/>
        <v>878728.45308043947</v>
      </c>
    </row>
    <row r="22" spans="2:12" x14ac:dyDescent="0.25">
      <c r="B22" s="4" t="s">
        <v>225</v>
      </c>
      <c r="F22" s="4">
        <f>SUM(F20:F21)</f>
        <v>391272.7043211335</v>
      </c>
      <c r="G22" s="4">
        <f t="shared" ref="G22:L22" si="8">SUM(G20:G21)</f>
        <v>568439.53702830453</v>
      </c>
      <c r="H22" s="4">
        <f t="shared" si="8"/>
        <v>811958.14847123611</v>
      </c>
      <c r="I22" s="4">
        <f t="shared" si="8"/>
        <v>1150714.5912448401</v>
      </c>
      <c r="J22" s="4">
        <f t="shared" si="8"/>
        <v>1620290.6422667722</v>
      </c>
      <c r="K22" s="4">
        <f t="shared" si="8"/>
        <v>2266005.8258493226</v>
      </c>
      <c r="L22" s="4">
        <f t="shared" si="8"/>
        <v>3144734.2789297621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L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5" t="str">
        <f>CoName</f>
        <v>CoName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s="2" customFormat="1" ht="16.350000000000001" customHeight="1" x14ac:dyDescent="0.25">
      <c r="A2" s="178" t="s">
        <v>86</v>
      </c>
      <c r="B2" s="179"/>
      <c r="C2" s="183">
        <v>2022</v>
      </c>
      <c r="D2" s="183">
        <f>C2+1</f>
        <v>2023</v>
      </c>
      <c r="E2" s="183">
        <f t="shared" ref="E2:J2" si="0">D2+1</f>
        <v>2024</v>
      </c>
      <c r="F2" s="183">
        <f t="shared" si="0"/>
        <v>2025</v>
      </c>
      <c r="G2" s="183">
        <f t="shared" si="0"/>
        <v>2026</v>
      </c>
      <c r="H2" s="183">
        <f t="shared" si="0"/>
        <v>2027</v>
      </c>
      <c r="I2" s="183">
        <f t="shared" si="0"/>
        <v>2028</v>
      </c>
      <c r="J2" s="183">
        <f t="shared" si="0"/>
        <v>2029</v>
      </c>
      <c r="K2" s="183">
        <f t="shared" ref="K2" si="1">J2+1</f>
        <v>2030</v>
      </c>
      <c r="L2" s="183">
        <f t="shared" ref="L2" si="2">K2+1</f>
        <v>2031</v>
      </c>
    </row>
    <row r="3" spans="1:12" x14ac:dyDescent="0.25">
      <c r="A3" s="11" t="s">
        <v>124</v>
      </c>
      <c r="B3" s="4" t="s">
        <v>87</v>
      </c>
      <c r="D3" s="217"/>
      <c r="E3" s="23"/>
      <c r="F3" s="218">
        <f>IncState!F15</f>
        <v>1616677.8973326203</v>
      </c>
      <c r="G3" s="218">
        <f>IncState!G15</f>
        <v>2074138.743422773</v>
      </c>
      <c r="H3" s="218">
        <f>IncState!H15</f>
        <v>2645941.6907949755</v>
      </c>
      <c r="I3" s="218">
        <f>IncState!I15</f>
        <v>3355081.7076122328</v>
      </c>
      <c r="J3" s="218">
        <f>IncState!J15</f>
        <v>4227382.7127758991</v>
      </c>
      <c r="K3" s="218">
        <f>IncState!K15</f>
        <v>5291311.8918033494</v>
      </c>
      <c r="L3" s="218">
        <f>IncState!L15</f>
        <v>6577604.0672341874</v>
      </c>
    </row>
    <row r="4" spans="1:12" x14ac:dyDescent="0.25">
      <c r="B4" s="4" t="s">
        <v>54</v>
      </c>
      <c r="E4" s="27"/>
      <c r="F4" s="4">
        <f>IncState!F18</f>
        <v>171810.48841883824</v>
      </c>
      <c r="G4" s="4">
        <f>IncState!G18</f>
        <v>220426.58660940663</v>
      </c>
      <c r="H4" s="4">
        <f>IncState!H18</f>
        <v>334113.08715065708</v>
      </c>
      <c r="I4" s="4">
        <f>IncState!I18</f>
        <v>490760.5193320699</v>
      </c>
      <c r="J4" s="4">
        <f>IncState!J18</f>
        <v>702902.94820566243</v>
      </c>
      <c r="K4" s="4">
        <f>IncState!K18</f>
        <v>985632.72362784017</v>
      </c>
      <c r="L4" s="4">
        <f>IncState!L18</f>
        <v>1356787.3243808048</v>
      </c>
    </row>
    <row r="5" spans="1:12" x14ac:dyDescent="0.25">
      <c r="B5" s="30" t="s">
        <v>92</v>
      </c>
      <c r="C5" s="30"/>
      <c r="D5" s="30"/>
      <c r="E5" s="39"/>
      <c r="F5" s="43">
        <f>Assumptions!F16</f>
        <v>0.21727088440505374</v>
      </c>
      <c r="G5" s="43">
        <f>Assumptions!G16</f>
        <v>0.21727088440505374</v>
      </c>
      <c r="H5" s="43">
        <f>Assumptions!H16</f>
        <v>0.21727088440505374</v>
      </c>
      <c r="I5" s="43">
        <f>Assumptions!I16</f>
        <v>0.21727088440505374</v>
      </c>
      <c r="J5" s="43">
        <f>Assumptions!J16</f>
        <v>0.21727088440505374</v>
      </c>
      <c r="K5" s="43">
        <f>Assumptions!K16</f>
        <v>0.21727088440505374</v>
      </c>
      <c r="L5" s="43">
        <f>Assumptions!L16</f>
        <v>0.21727088440505374</v>
      </c>
    </row>
    <row r="6" spans="1:12" x14ac:dyDescent="0.25">
      <c r="C6" s="5"/>
      <c r="D6" s="5"/>
      <c r="E6" s="23"/>
      <c r="F6" s="5"/>
      <c r="G6" s="5"/>
      <c r="H6" s="5"/>
      <c r="I6" s="5"/>
      <c r="J6" s="5"/>
      <c r="K6" s="5"/>
      <c r="L6" s="5"/>
    </row>
    <row r="7" spans="1:12" x14ac:dyDescent="0.25">
      <c r="A7" s="24" t="s">
        <v>124</v>
      </c>
      <c r="B7" s="21" t="s">
        <v>88</v>
      </c>
      <c r="C7" s="119"/>
      <c r="D7" s="119"/>
      <c r="E7" s="119"/>
      <c r="F7" s="134">
        <f t="shared" ref="F7:J7" si="3">F4*(1-F5)</f>
        <v>134481.07165001301</v>
      </c>
      <c r="G7" s="134">
        <f t="shared" ref="G7:L7" si="4">G4*(1-G5)</f>
        <v>172534.30719039368</v>
      </c>
      <c r="H7" s="134">
        <f t="shared" si="4"/>
        <v>261520.04121413102</v>
      </c>
      <c r="I7" s="134">
        <f t="shared" si="4"/>
        <v>384132.54726570763</v>
      </c>
      <c r="J7" s="134">
        <f t="shared" si="4"/>
        <v>550182.60299809847</v>
      </c>
      <c r="K7" s="134">
        <f t="shared" si="4"/>
        <v>771483.43006665749</v>
      </c>
      <c r="L7" s="134">
        <f t="shared" si="4"/>
        <v>1061996.9424630208</v>
      </c>
    </row>
    <row r="8" spans="1:12" x14ac:dyDescent="0.25">
      <c r="B8" s="4" t="s">
        <v>15</v>
      </c>
      <c r="C8" s="119"/>
      <c r="D8" s="119"/>
      <c r="E8" s="120"/>
      <c r="F8" s="135">
        <f>CashFlow!F4</f>
        <v>113593.15466903498</v>
      </c>
      <c r="G8" s="135">
        <f>CashFlow!G4</f>
        <v>128039.9262183017</v>
      </c>
      <c r="H8" s="135">
        <f>CashFlow!H4</f>
        <v>148037.74938328564</v>
      </c>
      <c r="I8" s="135">
        <f>CashFlow!I4</f>
        <v>174813.69554442342</v>
      </c>
      <c r="J8" s="135">
        <f>CashFlow!J4</f>
        <v>209832.45403830515</v>
      </c>
      <c r="K8" s="135">
        <f>CashFlow!K4</f>
        <v>254818.39998353692</v>
      </c>
      <c r="L8" s="135">
        <f>CashFlow!L4</f>
        <v>311773.09945888969</v>
      </c>
    </row>
    <row r="9" spans="1:12" x14ac:dyDescent="0.25">
      <c r="B9" s="4" t="s">
        <v>53</v>
      </c>
      <c r="C9" s="5"/>
      <c r="D9" s="5"/>
      <c r="E9" s="23"/>
      <c r="F9" s="136">
        <f>CashFlow!F5</f>
        <v>0</v>
      </c>
      <c r="G9" s="136">
        <f>CashFlow!G5</f>
        <v>0</v>
      </c>
      <c r="H9" s="136">
        <f>CashFlow!H5</f>
        <v>0</v>
      </c>
      <c r="I9" s="136">
        <f>CashFlow!I5</f>
        <v>0</v>
      </c>
      <c r="J9" s="136">
        <f>CashFlow!J5</f>
        <v>0</v>
      </c>
      <c r="K9" s="136">
        <f>CashFlow!K5</f>
        <v>0</v>
      </c>
      <c r="L9" s="136">
        <f>CashFlow!L5</f>
        <v>0</v>
      </c>
    </row>
    <row r="10" spans="1:12" x14ac:dyDescent="0.25">
      <c r="B10" s="4" t="s">
        <v>89</v>
      </c>
      <c r="C10" s="5"/>
      <c r="D10" s="5"/>
      <c r="E10" s="23"/>
      <c r="F10" s="136">
        <f>CashFlow!F6</f>
        <v>25087.386388180646</v>
      </c>
      <c r="G10" s="136">
        <f>CashFlow!G6</f>
        <v>34136.741822586831</v>
      </c>
      <c r="H10" s="136">
        <f>CashFlow!H6</f>
        <v>40445.003507991671</v>
      </c>
      <c r="I10" s="136">
        <f>CashFlow!I6</f>
        <v>49501.182631279837</v>
      </c>
      <c r="J10" s="136">
        <f>CashFlow!J6</f>
        <v>60072.936594816652</v>
      </c>
      <c r="K10" s="136">
        <f>CashFlow!K6</f>
        <v>72261.792856388551</v>
      </c>
      <c r="L10" s="136">
        <f>CashFlow!L6</f>
        <v>86131.717594418791</v>
      </c>
    </row>
    <row r="11" spans="1:12" x14ac:dyDescent="0.25">
      <c r="B11" s="4" t="s">
        <v>162</v>
      </c>
      <c r="C11" s="5"/>
      <c r="D11" s="5"/>
      <c r="E11" s="23"/>
      <c r="F11" s="136">
        <f>CashFlow!F7</f>
        <v>-195137.6069567916</v>
      </c>
      <c r="G11" s="136">
        <f>CashFlow!G7</f>
        <v>-265944.83778766543</v>
      </c>
      <c r="H11" s="136">
        <f>CashFlow!H7</f>
        <v>-332417.61209754134</v>
      </c>
      <c r="I11" s="136">
        <f>CashFlow!I7</f>
        <v>-412258.50988795166</v>
      </c>
      <c r="J11" s="136">
        <f>CashFlow!J7</f>
        <v>-507112.14151549782</v>
      </c>
      <c r="K11" s="136">
        <f>CashFlow!K7</f>
        <v>-618515.16988244839</v>
      </c>
      <c r="L11" s="136">
        <f>CashFlow!L7</f>
        <v>-747785.88564732112</v>
      </c>
    </row>
    <row r="12" spans="1:12" x14ac:dyDescent="0.25">
      <c r="B12" s="4" t="s">
        <v>163</v>
      </c>
      <c r="E12" s="27"/>
      <c r="F12" s="136">
        <f>CashFlow!F8</f>
        <v>344409.15857863636</v>
      </c>
      <c r="G12" s="136">
        <f>CashFlow!G8</f>
        <v>469380.7577083956</v>
      </c>
      <c r="H12" s="136">
        <f>CashFlow!H8</f>
        <v>586702.23471882707</v>
      </c>
      <c r="I12" s="136">
        <f>CashFlow!I8</f>
        <v>727617.85245645232</v>
      </c>
      <c r="J12" s="136">
        <f>CashFlow!J8</f>
        <v>895030.27472831449</v>
      </c>
      <c r="K12" s="136">
        <f>CashFlow!K8</f>
        <v>1091651.6429070747</v>
      </c>
      <c r="L12" s="136">
        <f>CashFlow!L8</f>
        <v>1319808.6811108701</v>
      </c>
    </row>
    <row r="13" spans="1:12" x14ac:dyDescent="0.25">
      <c r="B13" s="4" t="s">
        <v>90</v>
      </c>
      <c r="E13" s="27"/>
      <c r="F13" s="132">
        <f>CashFlow!F11</f>
        <v>-288319.32677675004</v>
      </c>
      <c r="G13" s="132">
        <f>CashFlow!G11</f>
        <v>-369903.17436262377</v>
      </c>
      <c r="H13" s="132">
        <f>CashFlow!H11</f>
        <v>-471878.86235051719</v>
      </c>
      <c r="I13" s="132">
        <f>CashFlow!I11</f>
        <v>-598347.32745203446</v>
      </c>
      <c r="J13" s="132">
        <f>CashFlow!J11</f>
        <v>-753914.02318680391</v>
      </c>
      <c r="K13" s="132">
        <f>CashFlow!K11</f>
        <v>-943655.8048623302</v>
      </c>
      <c r="L13" s="132">
        <f>CashFlow!L11</f>
        <v>-1173053.9395620823</v>
      </c>
    </row>
    <row r="14" spans="1:12" x14ac:dyDescent="0.25">
      <c r="E14" s="63"/>
      <c r="F14" s="137"/>
      <c r="G14" s="137"/>
      <c r="H14" s="137"/>
      <c r="I14" s="137"/>
      <c r="J14" s="137"/>
      <c r="K14" s="137"/>
      <c r="L14" s="137"/>
    </row>
    <row r="15" spans="1:12" s="11" customFormat="1" x14ac:dyDescent="0.25">
      <c r="A15" s="24" t="s">
        <v>124</v>
      </c>
      <c r="B15" s="34" t="s">
        <v>91</v>
      </c>
      <c r="C15" s="34"/>
      <c r="D15" s="34"/>
      <c r="E15" s="34"/>
      <c r="F15" s="34">
        <f>SUM(F7:F13)</f>
        <v>134113.83755232336</v>
      </c>
      <c r="G15" s="34">
        <f t="shared" ref="G15:L15" si="5">SUM(G7:G13)</f>
        <v>168243.72078938858</v>
      </c>
      <c r="H15" s="34">
        <f t="shared" si="5"/>
        <v>232408.55437617691</v>
      </c>
      <c r="I15" s="34">
        <f t="shared" si="5"/>
        <v>325459.44055787707</v>
      </c>
      <c r="J15" s="34">
        <f t="shared" si="5"/>
        <v>454092.10365723295</v>
      </c>
      <c r="K15" s="34">
        <f t="shared" si="5"/>
        <v>628044.29106887896</v>
      </c>
      <c r="L15" s="34">
        <f t="shared" si="5"/>
        <v>858870.61541779572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  <c r="K16" s="84"/>
      <c r="L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35" t="str">
        <f>CoName</f>
        <v>CoName</v>
      </c>
    </row>
    <row r="2" spans="1:13" x14ac:dyDescent="0.25">
      <c r="G2" s="147"/>
    </row>
    <row r="3" spans="1:13" x14ac:dyDescent="0.25">
      <c r="A3" s="27" t="s">
        <v>124</v>
      </c>
      <c r="B3" s="162" t="s">
        <v>100</v>
      </c>
      <c r="C3" s="163"/>
      <c r="D3" s="163"/>
      <c r="E3" s="164"/>
      <c r="F3" s="11"/>
      <c r="G3" s="77" t="s">
        <v>108</v>
      </c>
      <c r="H3" s="77" t="s">
        <v>103</v>
      </c>
      <c r="I3" s="77" t="s">
        <v>104</v>
      </c>
      <c r="J3" s="77" t="s">
        <v>105</v>
      </c>
      <c r="K3" s="77" t="s">
        <v>106</v>
      </c>
      <c r="L3" s="77" t="s">
        <v>111</v>
      </c>
      <c r="M3" s="77" t="s">
        <v>107</v>
      </c>
    </row>
    <row r="4" spans="1:13" x14ac:dyDescent="0.25">
      <c r="A4" s="27"/>
      <c r="B4" s="238" t="s">
        <v>164</v>
      </c>
      <c r="C4" s="67"/>
      <c r="D4" s="72"/>
      <c r="E4" s="239">
        <f>Assumptions!F16</f>
        <v>0.21727088440505374</v>
      </c>
      <c r="G4" s="139"/>
      <c r="H4" s="140"/>
      <c r="I4" s="80"/>
      <c r="J4" s="81"/>
      <c r="K4" s="142"/>
      <c r="L4" s="153">
        <f>E4</f>
        <v>0.21727088440505374</v>
      </c>
      <c r="M4" s="143">
        <f>H4/((1+K4*(1-L4)))</f>
        <v>0</v>
      </c>
    </row>
    <row r="5" spans="1:13" x14ac:dyDescent="0.25">
      <c r="A5" s="27"/>
      <c r="B5" s="67" t="s">
        <v>93</v>
      </c>
      <c r="C5" s="67"/>
      <c r="D5" s="72"/>
      <c r="E5" s="138">
        <v>4.1000000000000002E-2</v>
      </c>
      <c r="G5" s="139"/>
      <c r="H5" s="140"/>
      <c r="I5" s="80"/>
      <c r="J5" s="81"/>
      <c r="K5" s="142"/>
      <c r="L5" s="153">
        <f>L4</f>
        <v>0.21727088440505374</v>
      </c>
      <c r="M5" s="143">
        <f t="shared" ref="M5:M7" si="0">H5/((1+K5*(1-L5)))</f>
        <v>0</v>
      </c>
    </row>
    <row r="6" spans="1:13" x14ac:dyDescent="0.25">
      <c r="A6" s="27"/>
      <c r="B6" s="67" t="s">
        <v>94</v>
      </c>
      <c r="C6" s="67"/>
      <c r="D6" s="72"/>
      <c r="E6" s="138">
        <v>0.05</v>
      </c>
      <c r="G6" s="139"/>
      <c r="H6" s="141"/>
      <c r="I6" s="82"/>
      <c r="J6" s="81"/>
      <c r="K6" s="142"/>
      <c r="L6" s="153">
        <f t="shared" ref="L6:L7" si="1">L5</f>
        <v>0.21727088440505374</v>
      </c>
      <c r="M6" s="143">
        <f t="shared" si="0"/>
        <v>0</v>
      </c>
    </row>
    <row r="7" spans="1:13" x14ac:dyDescent="0.25">
      <c r="A7" s="27"/>
      <c r="B7" s="67" t="s">
        <v>95</v>
      </c>
      <c r="C7" s="67"/>
      <c r="D7" s="72"/>
      <c r="E7" s="200">
        <v>0.67</v>
      </c>
      <c r="G7" s="139"/>
      <c r="H7" s="141"/>
      <c r="I7" s="82"/>
      <c r="J7" s="83"/>
      <c r="K7" s="142"/>
      <c r="L7" s="153">
        <f t="shared" si="1"/>
        <v>0.21727088440505374</v>
      </c>
      <c r="M7" s="143">
        <f t="shared" si="0"/>
        <v>0</v>
      </c>
    </row>
    <row r="8" spans="1:13" x14ac:dyDescent="0.25">
      <c r="A8" s="27"/>
      <c r="B8" s="67" t="s">
        <v>96</v>
      </c>
      <c r="C8" s="67"/>
      <c r="D8" s="72"/>
      <c r="E8" s="138">
        <f>E5+E6*E7</f>
        <v>7.4500000000000011E-2</v>
      </c>
      <c r="L8" s="66"/>
    </row>
    <row r="9" spans="1:13" x14ac:dyDescent="0.25">
      <c r="A9" s="27"/>
      <c r="B9" s="68" t="s">
        <v>97</v>
      </c>
      <c r="C9" s="68"/>
      <c r="D9" s="73"/>
      <c r="E9" s="144">
        <f>1-E10</f>
        <v>0.87850797878085585</v>
      </c>
      <c r="G9" s="4" t="s">
        <v>109</v>
      </c>
      <c r="L9" s="27"/>
      <c r="M9" s="199">
        <f>AVERAGE(M4:M7)</f>
        <v>0</v>
      </c>
    </row>
    <row r="10" spans="1:13" x14ac:dyDescent="0.25">
      <c r="A10" s="27"/>
      <c r="B10" s="69" t="s">
        <v>98</v>
      </c>
      <c r="C10" s="69"/>
      <c r="D10" s="74"/>
      <c r="E10" s="145">
        <f>MAIN!F8/MAIN!F6</f>
        <v>0.12149202121914414</v>
      </c>
      <c r="M10" s="66"/>
    </row>
    <row r="11" spans="1:13" x14ac:dyDescent="0.25">
      <c r="A11" s="27"/>
      <c r="B11" s="161" t="s">
        <v>175</v>
      </c>
      <c r="C11" s="70"/>
      <c r="D11" s="75"/>
      <c r="E11" s="146">
        <f>Assumptions!F23</f>
        <v>6.9599999999999995E-2</v>
      </c>
      <c r="G11" s="4" t="s">
        <v>110</v>
      </c>
      <c r="L11" s="27"/>
      <c r="M11" s="199">
        <f>M9*(1+E10*(1-E4))</f>
        <v>0</v>
      </c>
    </row>
    <row r="12" spans="1:13" x14ac:dyDescent="0.25">
      <c r="A12" s="27"/>
      <c r="B12" s="71" t="s">
        <v>99</v>
      </c>
      <c r="C12" s="71"/>
      <c r="D12" s="76"/>
      <c r="E12" s="146">
        <f>E11*(1-E4)</f>
        <v>5.4477946445408258E-2</v>
      </c>
      <c r="M12" s="66"/>
    </row>
    <row r="13" spans="1:13" s="11" customFormat="1" x14ac:dyDescent="0.25">
      <c r="A13" s="24" t="s">
        <v>124</v>
      </c>
      <c r="B13" s="162" t="s">
        <v>100</v>
      </c>
      <c r="C13" s="163"/>
      <c r="D13" s="164"/>
      <c r="E13" s="158">
        <f>WACC!E8*WACC!E9+WACC!E12*WACC!E10</f>
        <v>7.2067480244694712E-2</v>
      </c>
      <c r="F13" s="4"/>
    </row>
    <row r="14" spans="1:13" s="11" customFormat="1" x14ac:dyDescent="0.25">
      <c r="A14" s="24"/>
      <c r="B14" s="77" t="s">
        <v>101</v>
      </c>
      <c r="C14" s="77"/>
      <c r="D14" s="114"/>
      <c r="E14" s="148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J27" sqref="J27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0" width="11.7109375" style="4" customWidth="1"/>
    <col min="11" max="11" width="12.42578125" style="4" bestFit="1" customWidth="1"/>
    <col min="12" max="12" width="11.7109375" style="4" customWidth="1"/>
    <col min="13" max="16384" width="9" style="4"/>
  </cols>
  <sheetData>
    <row r="1" spans="1:14" ht="19.5" x14ac:dyDescent="0.3">
      <c r="A1" s="235" t="str">
        <f>CoName</f>
        <v>CoName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  <c r="M1" s="41"/>
    </row>
    <row r="2" spans="1:14" x14ac:dyDescent="0.25">
      <c r="A2" s="77" t="s">
        <v>112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77">
        <f t="shared" ref="I2" si="1">H2+1</f>
        <v>5.5</v>
      </c>
      <c r="J2" s="77">
        <f t="shared" ref="J2" si="2">I2+1</f>
        <v>6.5</v>
      </c>
      <c r="K2" s="159"/>
      <c r="L2" s="159"/>
      <c r="M2" s="159"/>
      <c r="N2" s="159"/>
    </row>
    <row r="3" spans="1:14" x14ac:dyDescent="0.25">
      <c r="B3" s="4" t="s">
        <v>180</v>
      </c>
      <c r="D3" s="8">
        <f>1/(1+$K$17)^D2</f>
        <v>0.96580386438043841</v>
      </c>
      <c r="E3" s="8">
        <f t="shared" ref="E3:J3" si="3">1/(1+$K$17)^E2</f>
        <v>0.90087973208551941</v>
      </c>
      <c r="F3" s="8">
        <f t="shared" si="3"/>
        <v>0.84031998795439389</v>
      </c>
      <c r="G3" s="8">
        <f t="shared" si="3"/>
        <v>0.78383124517739733</v>
      </c>
      <c r="H3" s="8">
        <f t="shared" si="3"/>
        <v>0.7311398392557259</v>
      </c>
      <c r="I3" s="8">
        <f t="shared" si="3"/>
        <v>0.68199050221059443</v>
      </c>
      <c r="J3" s="8">
        <f t="shared" si="3"/>
        <v>0.63614512591589212</v>
      </c>
      <c r="K3" s="8"/>
    </row>
    <row r="4" spans="1:14" x14ac:dyDescent="0.25">
      <c r="B4" s="4" t="s">
        <v>181</v>
      </c>
      <c r="D4" s="4">
        <f>D3*'Free Cash Flow'!F15</f>
        <v>129527.66257492425</v>
      </c>
      <c r="E4" s="4">
        <f>E3*'Free Cash Flow'!G15</f>
        <v>151567.35810981531</v>
      </c>
      <c r="F4" s="4">
        <f>F3*'Free Cash Flow'!H15</f>
        <v>195297.55361388708</v>
      </c>
      <c r="G4" s="4">
        <f>G3*'Free Cash Flow'!I15</f>
        <v>255105.2785472199</v>
      </c>
      <c r="H4" s="4">
        <f>H3*'Free Cash Flow'!J15</f>
        <v>332004.82767524372</v>
      </c>
      <c r="I4" s="4">
        <f>I3*'Free Cash Flow'!K15</f>
        <v>428320.24147656152</v>
      </c>
      <c r="J4" s="4">
        <f>J3*'Free Cash Flow'!L15</f>
        <v>546366.35579041345</v>
      </c>
      <c r="K4" s="4">
        <f>(J4*(1+K18))/(K17-K18)</f>
        <v>11898353.423079154</v>
      </c>
    </row>
    <row r="5" spans="1:14" x14ac:dyDescent="0.25">
      <c r="G5" s="147"/>
    </row>
    <row r="6" spans="1:14" x14ac:dyDescent="0.25">
      <c r="A6" s="77" t="s">
        <v>113</v>
      </c>
      <c r="B6" s="19"/>
      <c r="C6" s="42"/>
      <c r="D6" s="86"/>
      <c r="E6" s="77" t="s">
        <v>169</v>
      </c>
      <c r="F6" s="19"/>
      <c r="G6" s="42"/>
      <c r="H6" s="86" t="s">
        <v>165</v>
      </c>
    </row>
    <row r="7" spans="1:14" x14ac:dyDescent="0.25">
      <c r="B7" s="4" t="s">
        <v>114</v>
      </c>
      <c r="C7" s="4">
        <f>SUM(D4:J4)</f>
        <v>2038189.2777880654</v>
      </c>
      <c r="E7" s="4" t="s">
        <v>114</v>
      </c>
      <c r="G7" s="4">
        <f>C7</f>
        <v>2038189.2777880654</v>
      </c>
    </row>
    <row r="8" spans="1:14" x14ac:dyDescent="0.25">
      <c r="B8" s="4" t="s">
        <v>115</v>
      </c>
      <c r="C8" s="4">
        <f>K4*J3</f>
        <v>7569079.5365164746</v>
      </c>
      <c r="E8" s="4" t="s">
        <v>170</v>
      </c>
      <c r="G8" s="4">
        <f>J3*G10*IncState!L22</f>
        <v>12737358.971061321</v>
      </c>
    </row>
    <row r="9" spans="1:14" x14ac:dyDescent="0.25">
      <c r="B9" s="4" t="s">
        <v>116</v>
      </c>
      <c r="C9" s="4">
        <f>SUM(C7:C8)</f>
        <v>9607268.8143045399</v>
      </c>
      <c r="E9" s="4" t="s">
        <v>116</v>
      </c>
      <c r="G9" s="4">
        <f>SUM(G7:G8)</f>
        <v>14775548.248849386</v>
      </c>
    </row>
    <row r="10" spans="1:14" x14ac:dyDescent="0.25">
      <c r="C10" s="85"/>
      <c r="E10" s="4" t="s">
        <v>117</v>
      </c>
      <c r="G10" s="85">
        <v>12</v>
      </c>
    </row>
    <row r="11" spans="1:14" x14ac:dyDescent="0.25">
      <c r="I11" s="159"/>
    </row>
    <row r="12" spans="1:14" x14ac:dyDescent="0.25">
      <c r="B12" s="27" t="s">
        <v>118</v>
      </c>
      <c r="C12" s="37">
        <f>MAIN!F7</f>
        <v>267195</v>
      </c>
      <c r="E12" s="27" t="s">
        <v>118</v>
      </c>
      <c r="F12" s="156"/>
      <c r="G12" s="37">
        <f>C12</f>
        <v>267195</v>
      </c>
      <c r="I12" s="159"/>
    </row>
    <row r="13" spans="1:14" x14ac:dyDescent="0.25">
      <c r="B13" s="27" t="s">
        <v>119</v>
      </c>
      <c r="C13" s="37">
        <f>MAIN!F8</f>
        <v>1259812</v>
      </c>
      <c r="E13" s="27" t="s">
        <v>119</v>
      </c>
      <c r="F13" s="156"/>
      <c r="G13" s="37">
        <f t="shared" ref="G13:G14" si="4">C13</f>
        <v>1259812</v>
      </c>
    </row>
    <row r="14" spans="1:14" x14ac:dyDescent="0.25">
      <c r="B14" s="27" t="s">
        <v>120</v>
      </c>
      <c r="C14" s="79">
        <v>0</v>
      </c>
      <c r="E14" s="4" t="s">
        <v>120</v>
      </c>
      <c r="F14" s="27"/>
      <c r="G14" s="37">
        <f t="shared" si="4"/>
        <v>0</v>
      </c>
    </row>
    <row r="15" spans="1:14" x14ac:dyDescent="0.25">
      <c r="B15" s="4" t="s">
        <v>121</v>
      </c>
      <c r="C15" s="66">
        <f>C9+C12-SUM(C13:C14)</f>
        <v>8614651.8143045399</v>
      </c>
      <c r="E15" s="4" t="s">
        <v>121</v>
      </c>
      <c r="G15" s="66">
        <f>G9+G12-SUM(G13:G14)</f>
        <v>13782931.248849386</v>
      </c>
    </row>
    <row r="17" spans="1:17" x14ac:dyDescent="0.25">
      <c r="B17" s="4" t="s">
        <v>122</v>
      </c>
      <c r="C17" s="4">
        <f>MAIN!F5</f>
        <v>177560</v>
      </c>
      <c r="E17" s="4" t="s">
        <v>122</v>
      </c>
      <c r="G17" s="4">
        <f>C17</f>
        <v>177560</v>
      </c>
      <c r="I17" s="162" t="s">
        <v>100</v>
      </c>
      <c r="J17" s="163"/>
      <c r="K17" s="158">
        <f>WACC!E13</f>
        <v>7.2067480244694712E-2</v>
      </c>
    </row>
    <row r="18" spans="1:17" x14ac:dyDescent="0.25">
      <c r="A18" s="4" t="s">
        <v>124</v>
      </c>
      <c r="B18" s="149" t="s">
        <v>123</v>
      </c>
      <c r="C18" s="157">
        <f>C15/C17</f>
        <v>48.516849596218407</v>
      </c>
      <c r="E18" s="149" t="s">
        <v>123</v>
      </c>
      <c r="F18" s="156"/>
      <c r="G18" s="157">
        <f>G15/G17</f>
        <v>77.6240777700461</v>
      </c>
      <c r="I18" s="77" t="s">
        <v>101</v>
      </c>
      <c r="J18" s="77"/>
      <c r="K18" s="148">
        <v>2.5000000000000001E-2</v>
      </c>
    </row>
    <row r="19" spans="1:17" x14ac:dyDescent="0.25">
      <c r="C19" s="21"/>
    </row>
    <row r="20" spans="1:17" x14ac:dyDescent="0.25">
      <c r="A20" s="115" t="s">
        <v>145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97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146</v>
      </c>
      <c r="D22" s="116"/>
      <c r="E22" s="117">
        <v>5.0000000000000001E-3</v>
      </c>
      <c r="F22" s="116"/>
      <c r="G22" s="116"/>
      <c r="H22" s="116" t="s">
        <v>146</v>
      </c>
      <c r="I22" s="116"/>
      <c r="J22" s="117">
        <v>5.0000000000000001E-3</v>
      </c>
    </row>
    <row r="23" spans="1:17" x14ac:dyDescent="0.25">
      <c r="B23" s="116"/>
      <c r="C23" s="116" t="s">
        <v>147</v>
      </c>
      <c r="D23" s="116"/>
      <c r="E23" s="150">
        <v>2.5000000000000001E-3</v>
      </c>
      <c r="F23" s="116"/>
      <c r="G23" s="116"/>
      <c r="H23" s="116" t="s">
        <v>168</v>
      </c>
      <c r="I23" s="116"/>
      <c r="J23" s="155">
        <v>2</v>
      </c>
    </row>
    <row r="24" spans="1:17" x14ac:dyDescent="0.25">
      <c r="B24" s="116"/>
      <c r="C24" s="116"/>
      <c r="D24" s="116"/>
      <c r="E24" s="167"/>
      <c r="F24" s="116"/>
      <c r="G24" s="116"/>
      <c r="H24" s="116"/>
      <c r="I24" s="116"/>
      <c r="J24" s="166"/>
    </row>
    <row r="25" spans="1:17" x14ac:dyDescent="0.25">
      <c r="B25" s="116"/>
      <c r="C25" s="220"/>
      <c r="D25" s="220"/>
      <c r="E25" s="220" t="s">
        <v>226</v>
      </c>
      <c r="F25" s="220"/>
      <c r="H25" s="220"/>
      <c r="I25" s="169"/>
      <c r="J25" s="169" t="s">
        <v>227</v>
      </c>
      <c r="K25" s="169"/>
      <c r="P25" s="169"/>
    </row>
    <row r="26" spans="1:17" x14ac:dyDescent="0.25">
      <c r="B26" s="159"/>
      <c r="C26" s="277">
        <f>C18</f>
        <v>48.516849596218407</v>
      </c>
      <c r="D26" s="221">
        <f>E26-E23</f>
        <v>2.2500000000000003E-2</v>
      </c>
      <c r="E26" s="221">
        <v>2.5000000000000001E-2</v>
      </c>
      <c r="F26" s="221">
        <f>E26+E23</f>
        <v>2.75E-2</v>
      </c>
      <c r="G26" s="219"/>
      <c r="H26" s="281">
        <f>G18</f>
        <v>77.6240777700461</v>
      </c>
      <c r="I26" s="282">
        <f>J26-J23</f>
        <v>10</v>
      </c>
      <c r="J26" s="282">
        <v>12</v>
      </c>
      <c r="K26" s="205">
        <f>J26+J23</f>
        <v>14</v>
      </c>
    </row>
    <row r="27" spans="1:17" x14ac:dyDescent="0.25">
      <c r="B27" s="159"/>
      <c r="C27" s="208">
        <f>C28+$E$22</f>
        <v>8.2067480244694721E-2</v>
      </c>
      <c r="D27" s="276">
        <f t="dataTable" ref="D27:F31" dt2D="1" dtr="1" r1="K18" r2="K17"/>
        <v>35.205768476071604</v>
      </c>
      <c r="E27" s="278">
        <v>36.586383348434502</v>
      </c>
      <c r="F27" s="275">
        <v>38.0935035006978</v>
      </c>
      <c r="G27" s="221"/>
      <c r="H27" s="221">
        <f>C27</f>
        <v>8.2067480244694721E-2</v>
      </c>
      <c r="I27" s="276">
        <f t="dataTable" ref="I27:K31" dt2D="1" dtr="1" r1="G10" r2="K17" ca="1"/>
        <v>61.704025732400417</v>
      </c>
      <c r="J27" s="280">
        <v>72.959752803264436</v>
      </c>
      <c r="K27" s="276">
        <v>84.215479874128434</v>
      </c>
      <c r="N27" s="222"/>
      <c r="P27" s="169"/>
    </row>
    <row r="28" spans="1:17" x14ac:dyDescent="0.25">
      <c r="B28" s="159"/>
      <c r="C28" s="208">
        <f>C29+$E$22</f>
        <v>7.7067480244694717E-2</v>
      </c>
      <c r="D28" s="276">
        <v>40.180255488104429</v>
      </c>
      <c r="E28" s="278">
        <v>41.926508604011659</v>
      </c>
      <c r="F28" s="276">
        <v>43.848910790568311</v>
      </c>
      <c r="G28" s="169"/>
      <c r="H28" s="221">
        <f t="shared" ref="H28:H31" si="5">C28</f>
        <v>7.7067480244694717E-2</v>
      </c>
      <c r="I28" s="276">
        <v>63.652276034096303</v>
      </c>
      <c r="J28" s="280">
        <v>75.252005487251537</v>
      </c>
      <c r="K28" s="276">
        <v>86.851734940406772</v>
      </c>
      <c r="N28" s="223"/>
      <c r="O28" s="47"/>
      <c r="P28" s="47"/>
      <c r="Q28" s="47"/>
    </row>
    <row r="29" spans="1:17" x14ac:dyDescent="0.25">
      <c r="C29" s="208">
        <v>7.2067480244694712E-2</v>
      </c>
      <c r="D29" s="280">
        <v>46.268109021468184</v>
      </c>
      <c r="E29" s="279">
        <v>48.516849596218407</v>
      </c>
      <c r="F29" s="280">
        <v>51.017875083914525</v>
      </c>
      <c r="G29" s="224"/>
      <c r="H29" s="221">
        <f t="shared" si="5"/>
        <v>7.2067480244694712E-2</v>
      </c>
      <c r="I29" s="280">
        <v>65.668157732630277</v>
      </c>
      <c r="J29" s="280">
        <v>77.6240777700461</v>
      </c>
      <c r="K29" s="280">
        <v>89.579997807461922</v>
      </c>
      <c r="N29" s="226"/>
      <c r="O29" s="165"/>
      <c r="P29" s="165"/>
      <c r="Q29" s="165"/>
    </row>
    <row r="30" spans="1:17" x14ac:dyDescent="0.25">
      <c r="C30" s="208">
        <f>C29-$E$22</f>
        <v>6.7067480244694708E-2</v>
      </c>
      <c r="D30" s="276">
        <v>53.854031795367582</v>
      </c>
      <c r="E30" s="280">
        <v>56.813784466318587</v>
      </c>
      <c r="F30" s="276">
        <v>60.147550424525598</v>
      </c>
      <c r="G30" s="225"/>
      <c r="H30" s="221">
        <f t="shared" si="5"/>
        <v>6.7067480244694708E-2</v>
      </c>
      <c r="I30" s="276">
        <v>67.754368412980739</v>
      </c>
      <c r="J30" s="280">
        <v>80.079158967543549</v>
      </c>
      <c r="K30" s="275">
        <v>92.403949522106373</v>
      </c>
      <c r="M30" s="47"/>
      <c r="N30" s="165"/>
      <c r="O30" s="85"/>
      <c r="P30" s="85"/>
      <c r="Q30" s="85"/>
    </row>
    <row r="31" spans="1:17" x14ac:dyDescent="0.25">
      <c r="C31" s="208">
        <f>C30-$E$22</f>
        <v>6.206748024469471E-2</v>
      </c>
      <c r="D31" s="276">
        <v>63.518116260988343</v>
      </c>
      <c r="E31" s="280">
        <v>67.520934064729246</v>
      </c>
      <c r="F31" s="276">
        <v>72.102737923485734</v>
      </c>
      <c r="G31" s="225"/>
      <c r="H31" s="221">
        <f t="shared" si="5"/>
        <v>6.206748024469471E-2</v>
      </c>
      <c r="I31" s="276">
        <v>69.913726976857916</v>
      </c>
      <c r="J31" s="280">
        <v>82.620581990658678</v>
      </c>
      <c r="K31" s="275">
        <v>95.327437004459441</v>
      </c>
      <c r="M31" s="47"/>
      <c r="N31" s="165"/>
      <c r="O31" s="85"/>
      <c r="P31" s="85"/>
      <c r="Q31" s="85"/>
    </row>
    <row r="32" spans="1:17" x14ac:dyDescent="0.25">
      <c r="D32" s="47"/>
      <c r="E32" s="147"/>
      <c r="F32" s="206"/>
      <c r="G32" s="225"/>
      <c r="H32" s="207"/>
      <c r="I32" s="207"/>
      <c r="J32" s="207"/>
      <c r="K32" s="227"/>
      <c r="L32" s="147"/>
      <c r="M32" s="47"/>
      <c r="N32" s="165"/>
      <c r="O32" s="85"/>
      <c r="P32" s="85"/>
      <c r="Q32" s="85"/>
    </row>
    <row r="33" spans="2:17" x14ac:dyDescent="0.25">
      <c r="D33" s="47"/>
      <c r="E33" s="202"/>
      <c r="F33" s="206"/>
      <c r="G33" s="225"/>
      <c r="H33" s="207"/>
      <c r="I33" s="207"/>
      <c r="J33" s="207"/>
      <c r="K33" s="222"/>
      <c r="M33" s="47"/>
      <c r="N33" s="165"/>
      <c r="O33" s="85"/>
      <c r="P33" s="85"/>
      <c r="Q33" s="85"/>
    </row>
    <row r="34" spans="2:17" x14ac:dyDescent="0.25">
      <c r="D34" s="47"/>
      <c r="E34" s="202"/>
      <c r="F34" s="206"/>
      <c r="G34" s="225"/>
      <c r="H34" s="207"/>
      <c r="I34" s="207"/>
      <c r="J34" s="207"/>
      <c r="K34" s="222"/>
      <c r="M34" s="47"/>
      <c r="N34" s="165"/>
      <c r="O34" s="85"/>
      <c r="P34" s="85"/>
      <c r="Q34" s="85"/>
    </row>
    <row r="35" spans="2:17" x14ac:dyDescent="0.25">
      <c r="B35" s="228"/>
      <c r="C35" s="228"/>
      <c r="D35" s="228"/>
      <c r="E35" s="229"/>
      <c r="F35" s="230"/>
      <c r="G35" s="229"/>
    </row>
    <row r="36" spans="2:17" x14ac:dyDescent="0.25">
      <c r="B36" s="116"/>
      <c r="C36" s="116"/>
      <c r="D36" s="116"/>
      <c r="E36" s="116"/>
      <c r="F36" s="220"/>
      <c r="G36" s="220"/>
      <c r="H36" s="220"/>
      <c r="I36" s="169"/>
      <c r="J36" s="169"/>
      <c r="P36" s="169"/>
    </row>
    <row r="37" spans="2:17" x14ac:dyDescent="0.25">
      <c r="F37" s="208"/>
      <c r="G37" s="208"/>
      <c r="H37" s="206"/>
      <c r="I37" s="206"/>
      <c r="J37" s="206"/>
      <c r="M37" s="169"/>
      <c r="O37" s="85"/>
      <c r="P37" s="85"/>
      <c r="Q37" s="85"/>
    </row>
    <row r="38" spans="2:17" x14ac:dyDescent="0.25">
      <c r="E38" s="47"/>
      <c r="F38" s="205"/>
      <c r="G38" s="231"/>
      <c r="H38" s="225"/>
      <c r="I38" s="225"/>
      <c r="J38" s="225"/>
      <c r="L38" s="85"/>
      <c r="M38" s="85"/>
      <c r="N38" s="232"/>
      <c r="O38" s="168"/>
      <c r="P38" s="168"/>
      <c r="Q38" s="168"/>
    </row>
    <row r="39" spans="2:17" x14ac:dyDescent="0.25">
      <c r="E39" s="47"/>
      <c r="F39" s="206"/>
      <c r="G39" s="225"/>
      <c r="H39" s="205"/>
      <c r="I39" s="205"/>
      <c r="J39" s="205"/>
      <c r="K39" s="47"/>
      <c r="M39" s="47"/>
      <c r="N39" s="165"/>
      <c r="O39" s="233"/>
      <c r="P39" s="233"/>
      <c r="Q39" s="233"/>
    </row>
    <row r="40" spans="2:17" x14ac:dyDescent="0.25">
      <c r="D40" s="8"/>
      <c r="E40" s="47"/>
      <c r="F40" s="206"/>
      <c r="G40" s="225"/>
      <c r="H40" s="205"/>
      <c r="I40" s="205"/>
      <c r="J40" s="205"/>
      <c r="K40" s="8"/>
      <c r="L40" s="47"/>
      <c r="M40" s="47"/>
      <c r="N40" s="165"/>
      <c r="O40" s="233"/>
      <c r="P40" s="233"/>
      <c r="Q40" s="233"/>
    </row>
    <row r="41" spans="2:17" x14ac:dyDescent="0.25">
      <c r="D41" s="8"/>
      <c r="E41" s="147"/>
      <c r="F41" s="206"/>
      <c r="G41" s="225"/>
      <c r="H41" s="205"/>
      <c r="I41" s="205"/>
      <c r="J41" s="205"/>
      <c r="K41" s="8"/>
      <c r="L41" s="147"/>
      <c r="M41" s="47"/>
      <c r="N41" s="165"/>
      <c r="O41" s="233"/>
      <c r="P41" s="233"/>
      <c r="Q41" s="233"/>
    </row>
    <row r="42" spans="2:17" x14ac:dyDescent="0.25">
      <c r="D42" s="8"/>
      <c r="E42" s="47"/>
      <c r="F42" s="206"/>
      <c r="G42" s="225"/>
      <c r="H42" s="205"/>
      <c r="I42" s="205"/>
      <c r="J42" s="205"/>
      <c r="K42" s="8"/>
      <c r="L42" s="47"/>
      <c r="M42" s="47"/>
      <c r="N42" s="165"/>
      <c r="O42" s="233"/>
      <c r="P42" s="233"/>
      <c r="Q42" s="233"/>
    </row>
    <row r="43" spans="2:17" x14ac:dyDescent="0.25">
      <c r="D43" s="8"/>
      <c r="E43" s="8"/>
      <c r="F43" s="206"/>
      <c r="G43" s="225"/>
      <c r="H43" s="205"/>
      <c r="I43" s="205"/>
      <c r="J43" s="205"/>
      <c r="K43" s="8"/>
      <c r="L43" s="47"/>
      <c r="M43" s="47"/>
      <c r="N43" s="165"/>
      <c r="O43" s="233"/>
      <c r="P43" s="233"/>
      <c r="Q43" s="233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8a26cf8-717e-46a4-ac0d-03f11284dc6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2025-12-08T04:07:25Z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