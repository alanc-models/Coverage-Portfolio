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tevens0-my.sharepoint.com/personal/tchen46_stevens_edu/Documents/"/>
    </mc:Choice>
  </mc:AlternateContent>
  <xr:revisionPtr revIDLastSave="0" documentId="13_ncr:1_{F71C9A37-8EC0-45B9-9797-561F85E54BBA}" xr6:coauthVersionLast="47" xr6:coauthVersionMax="47" xr10:uidLastSave="{00000000-0000-0000-0000-000000000000}"/>
  <bookViews>
    <workbookView xWindow="-105" yWindow="0" windowWidth="19410" windowHeight="21705" tabRatio="808" firstSheet="2" activeTab="10" xr2:uid="{00000000-000D-0000-FFFF-FFFF00000000}"/>
  </bookViews>
  <sheets>
    <sheet name="MAIN" sheetId="3" r:id="rId1"/>
    <sheet name="Quarterly Projections" sheetId="32" r:id="rId2"/>
    <sheet name="Assumptions" sheetId="13" r:id="rId3"/>
    <sheet name="Calcs" sheetId="5" r:id="rId4"/>
    <sheet name="Debt" sheetId="6" r:id="rId5"/>
    <sheet name="IncState" sheetId="7" r:id="rId6"/>
    <sheet name="BalSheet" sheetId="8" r:id="rId7"/>
    <sheet name="CashFlow" sheetId="9" r:id="rId8"/>
    <sheet name="Free Cash Flow" sheetId="10" r:id="rId9"/>
    <sheet name="WACC" sheetId="11" r:id="rId10"/>
    <sheet name="DCF Model" sheetId="12" r:id="rId11"/>
  </sheets>
  <externalReferences>
    <externalReference r:id="rId12"/>
  </externalReferences>
  <definedNames>
    <definedName name="Ccy">MAIN!$C$6</definedName>
    <definedName name="CIQWBGuid" hidden="1">"3fed39ac-8be9-4d46-8f70-028dfd35ab66"</definedName>
    <definedName name="CIQWBInfo" hidden="1">"{ ""CIQVersion"":""9.48.1616.5174"" }"</definedName>
    <definedName name="circ">MAIN!$C$9</definedName>
    <definedName name="CoName">MAIN!$C$4</definedName>
    <definedName name="g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OpCase">[1]DCF!$E$98</definedName>
    <definedName name="ScenarioREV">Assumptions!$D$4</definedName>
    <definedName name="TTS" comment="Updated: April 2023">#REF!</definedName>
    <definedName name="Units">MAIN!$C$7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3" l="1"/>
  <c r="H17" i="13"/>
  <c r="I17" i="13"/>
  <c r="J17" i="13"/>
  <c r="F17" i="13"/>
  <c r="H31" i="12"/>
  <c r="H30" i="12"/>
  <c r="H28" i="12"/>
  <c r="H27" i="12"/>
  <c r="H29" i="12"/>
  <c r="K26" i="12"/>
  <c r="I26" i="12"/>
  <c r="C31" i="12"/>
  <c r="C30" i="12"/>
  <c r="C27" i="12"/>
  <c r="C28" i="12"/>
  <c r="D26" i="12"/>
  <c r="F26" i="12"/>
  <c r="G14" i="12"/>
  <c r="C17" i="12"/>
  <c r="G17" i="12" s="1"/>
  <c r="C13" i="12"/>
  <c r="G13" i="12" s="1"/>
  <c r="C12" i="12"/>
  <c r="G12" i="12" s="1"/>
  <c r="G5" i="10"/>
  <c r="H5" i="10"/>
  <c r="I5" i="10"/>
  <c r="J5" i="10"/>
  <c r="G9" i="10"/>
  <c r="H9" i="10"/>
  <c r="I9" i="10"/>
  <c r="J9" i="10"/>
  <c r="G5" i="9"/>
  <c r="H5" i="9"/>
  <c r="I5" i="9"/>
  <c r="J5" i="9"/>
  <c r="G15" i="9"/>
  <c r="H15" i="9"/>
  <c r="I15" i="9"/>
  <c r="J15" i="9"/>
  <c r="G16" i="9"/>
  <c r="H16" i="9"/>
  <c r="I16" i="9"/>
  <c r="J16" i="9"/>
  <c r="G22" i="8"/>
  <c r="H22" i="8"/>
  <c r="I22" i="8"/>
  <c r="J22" i="8"/>
  <c r="G33" i="8"/>
  <c r="H33" i="8"/>
  <c r="I33" i="8"/>
  <c r="J33" i="8"/>
  <c r="G22" i="7"/>
  <c r="H22" i="7"/>
  <c r="I22" i="7"/>
  <c r="J22" i="7"/>
  <c r="G25" i="7"/>
  <c r="H25" i="7"/>
  <c r="I25" i="7"/>
  <c r="J25" i="7"/>
  <c r="G26" i="7"/>
  <c r="H26" i="7"/>
  <c r="I26" i="7"/>
  <c r="J26" i="7"/>
  <c r="G28" i="7"/>
  <c r="H28" i="7"/>
  <c r="I28" i="7"/>
  <c r="J28" i="7"/>
  <c r="G29" i="7"/>
  <c r="H29" i="7"/>
  <c r="I29" i="7"/>
  <c r="J29" i="7"/>
  <c r="G38" i="7"/>
  <c r="H38" i="7"/>
  <c r="I38" i="7"/>
  <c r="J38" i="7"/>
  <c r="G39" i="7"/>
  <c r="H39" i="7"/>
  <c r="I39" i="7"/>
  <c r="J39" i="7"/>
  <c r="F29" i="7"/>
  <c r="F28" i="7"/>
  <c r="E2" i="6"/>
  <c r="F2" i="6"/>
  <c r="G2" i="6"/>
  <c r="H2" i="6"/>
  <c r="I2" i="6"/>
  <c r="J2" i="6"/>
  <c r="D2" i="6"/>
  <c r="G17" i="6"/>
  <c r="G18" i="6"/>
  <c r="H18" i="6"/>
  <c r="I18" i="6"/>
  <c r="J18" i="6"/>
  <c r="G19" i="6"/>
  <c r="H19" i="6"/>
  <c r="I19" i="6"/>
  <c r="J19" i="6"/>
  <c r="G20" i="6"/>
  <c r="H17" i="6" s="1"/>
  <c r="H20" i="6" s="1"/>
  <c r="G21" i="6"/>
  <c r="H21" i="6"/>
  <c r="I21" i="6"/>
  <c r="J21" i="6"/>
  <c r="G22" i="6"/>
  <c r="G26" i="6"/>
  <c r="G27" i="6"/>
  <c r="G28" i="6"/>
  <c r="G32" i="6"/>
  <c r="H32" i="6"/>
  <c r="I32" i="6"/>
  <c r="J32" i="6"/>
  <c r="G10" i="5"/>
  <c r="H10" i="5"/>
  <c r="I10" i="5"/>
  <c r="J10" i="5"/>
  <c r="G11" i="5"/>
  <c r="H11" i="5"/>
  <c r="I11" i="5"/>
  <c r="J11" i="5"/>
  <c r="G16" i="5"/>
  <c r="H16" i="5"/>
  <c r="I16" i="5"/>
  <c r="J16" i="5"/>
  <c r="G18" i="5"/>
  <c r="H18" i="5"/>
  <c r="I18" i="5"/>
  <c r="J18" i="5"/>
  <c r="F9" i="10"/>
  <c r="F8" i="10"/>
  <c r="F21" i="9"/>
  <c r="B22" i="9"/>
  <c r="F16" i="9"/>
  <c r="F15" i="9"/>
  <c r="F5" i="9"/>
  <c r="F4" i="9"/>
  <c r="E24" i="5"/>
  <c r="E23" i="5"/>
  <c r="E22" i="5"/>
  <c r="E21" i="5"/>
  <c r="E20" i="5"/>
  <c r="E19" i="5"/>
  <c r="E17" i="5"/>
  <c r="F13" i="5" s="1"/>
  <c r="F33" i="8"/>
  <c r="F32" i="6"/>
  <c r="F28" i="6"/>
  <c r="F27" i="6"/>
  <c r="F26" i="6"/>
  <c r="F20" i="6"/>
  <c r="F19" i="6"/>
  <c r="F18" i="6"/>
  <c r="F17" i="6"/>
  <c r="E20" i="6"/>
  <c r="F22" i="8"/>
  <c r="E23" i="8"/>
  <c r="E21" i="8"/>
  <c r="E9" i="5"/>
  <c r="F6" i="5" s="1"/>
  <c r="F39" i="7"/>
  <c r="F38" i="7"/>
  <c r="F26" i="7"/>
  <c r="F25" i="7"/>
  <c r="F22" i="7"/>
  <c r="G11" i="13"/>
  <c r="H11" i="13" s="1"/>
  <c r="I11" i="13" s="1"/>
  <c r="J11" i="13" s="1"/>
  <c r="F11" i="13"/>
  <c r="G12" i="13"/>
  <c r="H12" i="13"/>
  <c r="I12" i="13"/>
  <c r="J12" i="13"/>
  <c r="F12" i="13"/>
  <c r="D32" i="13"/>
  <c r="E32" i="13"/>
  <c r="C34" i="8"/>
  <c r="C33" i="8"/>
  <c r="C30" i="8"/>
  <c r="C18" i="8"/>
  <c r="C23" i="8"/>
  <c r="C22" i="8"/>
  <c r="C16" i="8"/>
  <c r="D34" i="8"/>
  <c r="E34" i="8"/>
  <c r="D30" i="8"/>
  <c r="E30" i="8"/>
  <c r="D23" i="8"/>
  <c r="D22" i="8"/>
  <c r="D21" i="8"/>
  <c r="E22" i="8"/>
  <c r="D18" i="8"/>
  <c r="D17" i="8"/>
  <c r="E18" i="8"/>
  <c r="E15" i="8"/>
  <c r="E16" i="8" s="1"/>
  <c r="D15" i="8"/>
  <c r="D16" i="8" s="1"/>
  <c r="C15" i="8"/>
  <c r="D35" i="7"/>
  <c r="C35" i="7"/>
  <c r="E35" i="7"/>
  <c r="C39" i="7"/>
  <c r="C38" i="7"/>
  <c r="D39" i="7"/>
  <c r="D38" i="7"/>
  <c r="E39" i="7"/>
  <c r="E38" i="7"/>
  <c r="C18" i="7"/>
  <c r="D18" i="7"/>
  <c r="E18" i="7"/>
  <c r="F8" i="3"/>
  <c r="F7" i="3"/>
  <c r="I17" i="6" l="1"/>
  <c r="I20" i="6" s="1"/>
  <c r="H26" i="6"/>
  <c r="H27" i="6" s="1"/>
  <c r="H22" i="6"/>
  <c r="H28" i="6" s="1"/>
  <c r="D17" i="13"/>
  <c r="D38" i="13" s="1"/>
  <c r="C17" i="13"/>
  <c r="C38" i="13" s="1"/>
  <c r="E14" i="13"/>
  <c r="D46" i="13"/>
  <c r="D14" i="13"/>
  <c r="E54" i="13"/>
  <c r="F54" i="13" s="1"/>
  <c r="F10" i="8" s="1"/>
  <c r="E12" i="13"/>
  <c r="D10" i="13"/>
  <c r="E10" i="13"/>
  <c r="D33" i="13"/>
  <c r="E33" i="13"/>
  <c r="F33" i="13" s="1"/>
  <c r="G33" i="13" s="1"/>
  <c r="H33" i="13" s="1"/>
  <c r="I33" i="13" s="1"/>
  <c r="J33" i="13" s="1"/>
  <c r="E56" i="13"/>
  <c r="D56" i="13"/>
  <c r="C56" i="13"/>
  <c r="E55" i="13"/>
  <c r="D55" i="13"/>
  <c r="C55" i="13"/>
  <c r="C54" i="13"/>
  <c r="E49" i="13"/>
  <c r="F49" i="13" s="1"/>
  <c r="G49" i="13" s="1"/>
  <c r="D49" i="13"/>
  <c r="C49" i="13"/>
  <c r="E50" i="13"/>
  <c r="D50" i="13"/>
  <c r="C50" i="13"/>
  <c r="E47" i="13"/>
  <c r="F47" i="13" s="1"/>
  <c r="D47" i="13"/>
  <c r="C47" i="13"/>
  <c r="C46" i="13"/>
  <c r="E45" i="13"/>
  <c r="D45" i="13"/>
  <c r="C45" i="13"/>
  <c r="E44" i="13"/>
  <c r="D44" i="13"/>
  <c r="C44" i="13"/>
  <c r="E17" i="13"/>
  <c r="E38" i="13" s="1"/>
  <c r="E15" i="13"/>
  <c r="D15" i="13"/>
  <c r="C15" i="13"/>
  <c r="C14" i="13"/>
  <c r="E13" i="13"/>
  <c r="F13" i="13" s="1"/>
  <c r="F7" i="7" s="1"/>
  <c r="D13" i="13"/>
  <c r="C13" i="13"/>
  <c r="D12" i="13"/>
  <c r="C12" i="13"/>
  <c r="C11" i="13"/>
  <c r="E19" i="13"/>
  <c r="E40" i="13" s="1"/>
  <c r="D19" i="13"/>
  <c r="D40" i="13" s="1"/>
  <c r="C19" i="13"/>
  <c r="C40" i="13" s="1"/>
  <c r="E18" i="13"/>
  <c r="E39" i="13" s="1"/>
  <c r="D18" i="13"/>
  <c r="D39" i="13" s="1"/>
  <c r="C18" i="13"/>
  <c r="C39" i="13" s="1"/>
  <c r="F6" i="3"/>
  <c r="B38" i="13"/>
  <c r="G8" i="13"/>
  <c r="H8" i="13"/>
  <c r="I8" i="13"/>
  <c r="J8" i="13"/>
  <c r="F8" i="13"/>
  <c r="G7" i="13"/>
  <c r="H7" i="13"/>
  <c r="I7" i="13"/>
  <c r="J7" i="13"/>
  <c r="F7" i="13"/>
  <c r="D2" i="8"/>
  <c r="E2" i="8" s="1"/>
  <c r="E14" i="8" s="1"/>
  <c r="D2" i="7"/>
  <c r="E2" i="7" s="1"/>
  <c r="F2" i="7" s="1"/>
  <c r="G2" i="7" s="1"/>
  <c r="H2" i="7" s="1"/>
  <c r="I2" i="7" s="1"/>
  <c r="J2" i="7" s="1"/>
  <c r="D11" i="6"/>
  <c r="D16" i="6" s="1"/>
  <c r="D24" i="6" s="1"/>
  <c r="C21" i="13"/>
  <c r="C30" i="13" s="1"/>
  <c r="C36" i="13" s="1"/>
  <c r="C42" i="13" s="1"/>
  <c r="C52" i="13" s="1"/>
  <c r="D2" i="13"/>
  <c r="E2" i="13" s="1"/>
  <c r="G8" i="7"/>
  <c r="H8" i="7"/>
  <c r="I8" i="7"/>
  <c r="J8" i="7"/>
  <c r="G9" i="7"/>
  <c r="H9" i="7"/>
  <c r="I9" i="7"/>
  <c r="J9" i="7"/>
  <c r="A1" i="10"/>
  <c r="C19" i="8"/>
  <c r="D19" i="8"/>
  <c r="E19" i="8"/>
  <c r="D24" i="8"/>
  <c r="C24" i="8"/>
  <c r="E24" i="8"/>
  <c r="E31" i="8"/>
  <c r="C31" i="8"/>
  <c r="D31" i="8"/>
  <c r="C35" i="8"/>
  <c r="D35" i="8"/>
  <c r="D38" i="8" s="1"/>
  <c r="E35" i="8"/>
  <c r="C10" i="5"/>
  <c r="C18" i="5" s="1"/>
  <c r="D2" i="5"/>
  <c r="E2" i="5" s="1"/>
  <c r="G10" i="13"/>
  <c r="G4" i="7" s="1"/>
  <c r="H10" i="13"/>
  <c r="H4" i="7" s="1"/>
  <c r="I10" i="13"/>
  <c r="I4" i="7" s="1"/>
  <c r="J10" i="13"/>
  <c r="J4" i="7" s="1"/>
  <c r="F32" i="13"/>
  <c r="F3" i="5" s="1"/>
  <c r="C11" i="6"/>
  <c r="C30" i="6" s="1"/>
  <c r="F24" i="13"/>
  <c r="F23" i="13"/>
  <c r="F4" i="6" s="1"/>
  <c r="F25" i="13"/>
  <c r="F6" i="6" s="1"/>
  <c r="D2" i="10"/>
  <c r="E2" i="10" s="1"/>
  <c r="F2" i="10" s="1"/>
  <c r="G2" i="10" s="1"/>
  <c r="H2" i="10" s="1"/>
  <c r="I2" i="10" s="1"/>
  <c r="J2" i="10" s="1"/>
  <c r="D2" i="9"/>
  <c r="E2" i="9"/>
  <c r="F2" i="9"/>
  <c r="G2" i="9"/>
  <c r="H2" i="9"/>
  <c r="I2" i="9"/>
  <c r="J2" i="9"/>
  <c r="D14" i="8"/>
  <c r="C14" i="8"/>
  <c r="F9" i="7"/>
  <c r="J15" i="7"/>
  <c r="I15" i="7"/>
  <c r="H15" i="7"/>
  <c r="G15" i="7"/>
  <c r="F15" i="7"/>
  <c r="E15" i="7"/>
  <c r="D15" i="7"/>
  <c r="C15" i="7"/>
  <c r="A1" i="3"/>
  <c r="A1" i="13"/>
  <c r="A1" i="5"/>
  <c r="A1" i="6"/>
  <c r="A1" i="7"/>
  <c r="A1" i="8"/>
  <c r="A1" i="9"/>
  <c r="A1" i="11"/>
  <c r="A1" i="12"/>
  <c r="C19" i="7"/>
  <c r="C31" i="7" s="1"/>
  <c r="C16" i="13" s="1"/>
  <c r="F8" i="6"/>
  <c r="F11" i="5"/>
  <c r="F16" i="5" s="1"/>
  <c r="B20" i="5"/>
  <c r="F9" i="6"/>
  <c r="G9" i="6"/>
  <c r="H9" i="6"/>
  <c r="I9" i="6"/>
  <c r="J9" i="6"/>
  <c r="J8" i="6"/>
  <c r="I8" i="6"/>
  <c r="H8" i="6"/>
  <c r="G8" i="6"/>
  <c r="E2" i="12"/>
  <c r="F8" i="7"/>
  <c r="F2" i="12" l="1"/>
  <c r="I26" i="6"/>
  <c r="I27" i="6" s="1"/>
  <c r="I22" i="6"/>
  <c r="I28" i="6" s="1"/>
  <c r="J17" i="6"/>
  <c r="J20" i="6" s="1"/>
  <c r="C38" i="8"/>
  <c r="G24" i="13"/>
  <c r="E11" i="11"/>
  <c r="C23" i="7"/>
  <c r="C34" i="7"/>
  <c r="F11" i="7"/>
  <c r="F35" i="7" s="1"/>
  <c r="F36" i="7" s="1"/>
  <c r="D11" i="13"/>
  <c r="D54" i="13"/>
  <c r="D19" i="7"/>
  <c r="D23" i="7" s="1"/>
  <c r="E46" i="13"/>
  <c r="F46" i="13" s="1"/>
  <c r="E11" i="13"/>
  <c r="E10" i="11"/>
  <c r="E9" i="11" s="1"/>
  <c r="F9" i="3"/>
  <c r="D21" i="13"/>
  <c r="D30" i="13" s="1"/>
  <c r="D36" i="13" s="1"/>
  <c r="D42" i="13" s="1"/>
  <c r="D52" i="13" s="1"/>
  <c r="F2" i="13"/>
  <c r="E21" i="13"/>
  <c r="E30" i="13" s="1"/>
  <c r="E36" i="13" s="1"/>
  <c r="E42" i="13" s="1"/>
  <c r="E52" i="13" s="1"/>
  <c r="F2" i="8"/>
  <c r="F11" i="6"/>
  <c r="F30" i="6" s="1"/>
  <c r="E11" i="6"/>
  <c r="E16" i="6" s="1"/>
  <c r="E24" i="6" s="1"/>
  <c r="E30" i="6"/>
  <c r="F5" i="6"/>
  <c r="F21" i="6" s="1"/>
  <c r="F22" i="6" s="1"/>
  <c r="G5" i="6"/>
  <c r="H24" i="13"/>
  <c r="G25" i="13"/>
  <c r="G6" i="6" s="1"/>
  <c r="G54" i="13"/>
  <c r="G13" i="13"/>
  <c r="G23" i="13"/>
  <c r="G4" i="6" s="1"/>
  <c r="D10" i="5"/>
  <c r="D18" i="5" s="1"/>
  <c r="E10" i="5"/>
  <c r="E18" i="5" s="1"/>
  <c r="F2" i="5"/>
  <c r="D30" i="6"/>
  <c r="D26" i="8"/>
  <c r="D40" i="8" s="1"/>
  <c r="C16" i="6"/>
  <c r="C24" i="6" s="1"/>
  <c r="E38" i="8"/>
  <c r="E26" i="8"/>
  <c r="C26" i="8"/>
  <c r="H49" i="13"/>
  <c r="G32" i="13"/>
  <c r="F4" i="5"/>
  <c r="F6" i="8"/>
  <c r="G47" i="13"/>
  <c r="F44" i="13"/>
  <c r="F55" i="13"/>
  <c r="F45" i="13"/>
  <c r="E19" i="7"/>
  <c r="E23" i="7" s="1"/>
  <c r="F50" i="13"/>
  <c r="F56" i="13"/>
  <c r="F15" i="5" l="1"/>
  <c r="F14" i="9"/>
  <c r="F17" i="9" s="1"/>
  <c r="G2" i="12"/>
  <c r="J26" i="6"/>
  <c r="J27" i="6" s="1"/>
  <c r="J22" i="6"/>
  <c r="J28" i="6" s="1"/>
  <c r="G4" i="5"/>
  <c r="H4" i="5" s="1"/>
  <c r="I4" i="5" s="1"/>
  <c r="J4" i="5" s="1"/>
  <c r="F8" i="5"/>
  <c r="C40" i="8"/>
  <c r="F38" i="13"/>
  <c r="D31" i="7"/>
  <c r="G46" i="13"/>
  <c r="H46" i="13" s="1"/>
  <c r="G2" i="13"/>
  <c r="F21" i="13"/>
  <c r="F30" i="13" s="1"/>
  <c r="F36" i="13" s="1"/>
  <c r="F42" i="13" s="1"/>
  <c r="F52" i="13" s="1"/>
  <c r="F14" i="8"/>
  <c r="G2" i="8"/>
  <c r="G11" i="6"/>
  <c r="F16" i="6"/>
  <c r="F24" i="6" s="1"/>
  <c r="E40" i="8"/>
  <c r="H25" i="13"/>
  <c r="I25" i="13" s="1"/>
  <c r="H5" i="6"/>
  <c r="I24" i="13"/>
  <c r="I49" i="13"/>
  <c r="H23" i="13"/>
  <c r="H13" i="13"/>
  <c r="G7" i="7"/>
  <c r="G10" i="8"/>
  <c r="H54" i="13"/>
  <c r="G2" i="5"/>
  <c r="F10" i="5"/>
  <c r="F18" i="5" s="1"/>
  <c r="H32" i="13"/>
  <c r="G3" i="5"/>
  <c r="F5" i="8"/>
  <c r="G45" i="13"/>
  <c r="G44" i="13"/>
  <c r="H44" i="13" s="1"/>
  <c r="I44" i="13" s="1"/>
  <c r="J44" i="13" s="1"/>
  <c r="F4" i="8"/>
  <c r="F12" i="8"/>
  <c r="G56" i="13"/>
  <c r="G50" i="13"/>
  <c r="F8" i="8"/>
  <c r="E31" i="7"/>
  <c r="F11" i="8"/>
  <c r="G55" i="13"/>
  <c r="G6" i="8"/>
  <c r="H47" i="13"/>
  <c r="H2" i="12" l="1"/>
  <c r="G16" i="6"/>
  <c r="G24" i="6" s="1"/>
  <c r="G30" i="6"/>
  <c r="F21" i="7"/>
  <c r="H4" i="6"/>
  <c r="I23" i="13"/>
  <c r="G11" i="7"/>
  <c r="G35" i="7" s="1"/>
  <c r="G36" i="7" s="1"/>
  <c r="G38" i="13"/>
  <c r="J49" i="13"/>
  <c r="I46" i="13"/>
  <c r="D34" i="7"/>
  <c r="D16" i="13"/>
  <c r="E34" i="7"/>
  <c r="E16" i="13"/>
  <c r="H2" i="13"/>
  <c r="G21" i="13"/>
  <c r="G30" i="13" s="1"/>
  <c r="G36" i="13" s="1"/>
  <c r="G42" i="13" s="1"/>
  <c r="G52" i="13" s="1"/>
  <c r="G14" i="8"/>
  <c r="H2" i="8"/>
  <c r="H11" i="6"/>
  <c r="H6" i="6"/>
  <c r="J24" i="13"/>
  <c r="I5" i="6"/>
  <c r="H10" i="8"/>
  <c r="I54" i="13"/>
  <c r="G5" i="7"/>
  <c r="I13" i="13"/>
  <c r="H7" i="7"/>
  <c r="G6" i="7"/>
  <c r="H2" i="5"/>
  <c r="I32" i="13"/>
  <c r="H3" i="5"/>
  <c r="J25" i="13"/>
  <c r="I6" i="6"/>
  <c r="H55" i="13"/>
  <c r="G11" i="8"/>
  <c r="F5" i="7"/>
  <c r="H50" i="13"/>
  <c r="G8" i="8"/>
  <c r="H56" i="13"/>
  <c r="G12" i="8"/>
  <c r="I47" i="13"/>
  <c r="H6" i="8"/>
  <c r="F6" i="7"/>
  <c r="G4" i="8"/>
  <c r="H45" i="13"/>
  <c r="G5" i="8"/>
  <c r="G14" i="9" l="1"/>
  <c r="G17" i="9" s="1"/>
  <c r="G15" i="5"/>
  <c r="H16" i="6"/>
  <c r="H24" i="6" s="1"/>
  <c r="H30" i="6"/>
  <c r="I4" i="6"/>
  <c r="J23" i="13"/>
  <c r="J4" i="6" s="1"/>
  <c r="H38" i="13"/>
  <c r="H11" i="7"/>
  <c r="H35" i="7" s="1"/>
  <c r="H36" i="7" s="1"/>
  <c r="J46" i="13"/>
  <c r="G16" i="13"/>
  <c r="F5" i="10"/>
  <c r="L4" i="11"/>
  <c r="L5" i="11" s="1"/>
  <c r="L6" i="11" s="1"/>
  <c r="L7" i="11" s="1"/>
  <c r="I2" i="13"/>
  <c r="H21" i="13"/>
  <c r="H30" i="13" s="1"/>
  <c r="H36" i="13" s="1"/>
  <c r="H42" i="13" s="1"/>
  <c r="H52" i="13" s="1"/>
  <c r="I2" i="8"/>
  <c r="H14" i="8"/>
  <c r="J11" i="6"/>
  <c r="I11" i="6"/>
  <c r="J5" i="6"/>
  <c r="H6" i="7"/>
  <c r="J13" i="13"/>
  <c r="I7" i="7"/>
  <c r="H5" i="7"/>
  <c r="J54" i="13"/>
  <c r="I10" i="8"/>
  <c r="I2" i="5"/>
  <c r="I3" i="5"/>
  <c r="J32" i="13"/>
  <c r="J6" i="6"/>
  <c r="F18" i="13"/>
  <c r="J47" i="13"/>
  <c r="I6" i="8"/>
  <c r="H12" i="8"/>
  <c r="I56" i="13"/>
  <c r="I50" i="13"/>
  <c r="H8" i="8"/>
  <c r="I45" i="13"/>
  <c r="H5" i="8"/>
  <c r="H4" i="8"/>
  <c r="I55" i="13"/>
  <c r="H11" i="8"/>
  <c r="H14" i="9" l="1"/>
  <c r="H17" i="9" s="1"/>
  <c r="H15" i="5"/>
  <c r="J16" i="6"/>
  <c r="J24" i="6" s="1"/>
  <c r="J30" i="6"/>
  <c r="I16" i="6"/>
  <c r="I24" i="6" s="1"/>
  <c r="I30" i="6"/>
  <c r="I38" i="13"/>
  <c r="I11" i="7"/>
  <c r="I35" i="7" s="1"/>
  <c r="I36" i="7" s="1"/>
  <c r="G10" i="7"/>
  <c r="H16" i="13"/>
  <c r="J2" i="13"/>
  <c r="J21" i="13" s="1"/>
  <c r="J30" i="13" s="1"/>
  <c r="J36" i="13" s="1"/>
  <c r="J42" i="13" s="1"/>
  <c r="J52" i="13" s="1"/>
  <c r="I21" i="13"/>
  <c r="I30" i="13" s="1"/>
  <c r="I36" i="13" s="1"/>
  <c r="I42" i="13" s="1"/>
  <c r="I52" i="13" s="1"/>
  <c r="G18" i="13"/>
  <c r="G39" i="13" s="1"/>
  <c r="F39" i="13"/>
  <c r="I14" i="8"/>
  <c r="J2" i="8"/>
  <c r="J14" i="8" s="1"/>
  <c r="J10" i="8"/>
  <c r="I5" i="7"/>
  <c r="J7" i="7"/>
  <c r="I6" i="7"/>
  <c r="J2" i="5"/>
  <c r="J3" i="5"/>
  <c r="I4" i="8"/>
  <c r="F19" i="13"/>
  <c r="I5" i="8"/>
  <c r="J45" i="13"/>
  <c r="J50" i="13"/>
  <c r="I8" i="8"/>
  <c r="I12" i="8"/>
  <c r="J56" i="13"/>
  <c r="J6" i="8"/>
  <c r="J55" i="13"/>
  <c r="I11" i="8"/>
  <c r="F10" i="7"/>
  <c r="E12" i="11"/>
  <c r="F12" i="7"/>
  <c r="I14" i="9" l="1"/>
  <c r="I17" i="9" s="1"/>
  <c r="I15" i="5"/>
  <c r="J38" i="13"/>
  <c r="J11" i="7"/>
  <c r="J35" i="7" s="1"/>
  <c r="J36" i="7" s="1"/>
  <c r="H10" i="7"/>
  <c r="I16" i="13"/>
  <c r="G12" i="7"/>
  <c r="G19" i="13"/>
  <c r="F40" i="13"/>
  <c r="H18" i="13"/>
  <c r="H39" i="13" s="1"/>
  <c r="J6" i="7"/>
  <c r="J5" i="7"/>
  <c r="J8" i="8"/>
  <c r="M4" i="11"/>
  <c r="J12" i="8"/>
  <c r="J11" i="8"/>
  <c r="J5" i="8"/>
  <c r="F13" i="7"/>
  <c r="J4" i="8"/>
  <c r="J14" i="9" l="1"/>
  <c r="J17" i="9" s="1"/>
  <c r="J15" i="5"/>
  <c r="G40" i="13"/>
  <c r="G13" i="7"/>
  <c r="I18" i="13"/>
  <c r="I12" i="7" s="1"/>
  <c r="H19" i="13"/>
  <c r="H13" i="7" s="1"/>
  <c r="H12" i="7"/>
  <c r="J16" i="13"/>
  <c r="J10" i="7" s="1"/>
  <c r="I10" i="7"/>
  <c r="M5" i="11"/>
  <c r="I39" i="13" l="1"/>
  <c r="J18" i="13"/>
  <c r="H40" i="13"/>
  <c r="I19" i="13"/>
  <c r="J19" i="13"/>
  <c r="J40" i="13" s="1"/>
  <c r="M6" i="11"/>
  <c r="M7" i="11"/>
  <c r="I40" i="13" l="1"/>
  <c r="I13" i="7"/>
  <c r="J39" i="13"/>
  <c r="J12" i="7"/>
  <c r="J13" i="7"/>
  <c r="M9" i="11"/>
  <c r="M11" i="11" s="1"/>
  <c r="E8" i="11" s="1"/>
  <c r="E13" i="11" s="1"/>
  <c r="K17" i="12" s="1"/>
  <c r="H3" i="12" l="1"/>
  <c r="G3" i="12"/>
  <c r="F3" i="12"/>
  <c r="E3" i="12"/>
  <c r="D3" i="12"/>
  <c r="F10" i="13" l="1"/>
  <c r="F4" i="7" l="1"/>
  <c r="F16" i="7" s="1"/>
  <c r="F17" i="7" l="1"/>
  <c r="F18" i="7"/>
  <c r="F3" i="10"/>
  <c r="F7" i="5"/>
  <c r="F15" i="8"/>
  <c r="F17" i="8"/>
  <c r="F20" i="5" s="1"/>
  <c r="F18" i="8"/>
  <c r="F21" i="5" s="1"/>
  <c r="F23" i="8"/>
  <c r="F30" i="8"/>
  <c r="F23" i="5" s="1"/>
  <c r="F34" i="8"/>
  <c r="G16" i="7"/>
  <c r="F9" i="5" l="1"/>
  <c r="F11" i="9"/>
  <c r="F12" i="9" s="1"/>
  <c r="F13" i="10" s="1"/>
  <c r="F19" i="5"/>
  <c r="F7" i="9"/>
  <c r="F11" i="10" s="1"/>
  <c r="F35" i="8"/>
  <c r="F8" i="9"/>
  <c r="F12" i="10" s="1"/>
  <c r="G34" i="8"/>
  <c r="G15" i="8"/>
  <c r="G30" i="8"/>
  <c r="G23" i="5" s="1"/>
  <c r="G18" i="8"/>
  <c r="G21" i="5" s="1"/>
  <c r="G23" i="8"/>
  <c r="G7" i="9" s="1"/>
  <c r="G11" i="10" s="1"/>
  <c r="G17" i="8"/>
  <c r="G20" i="5" s="1"/>
  <c r="G3" i="10"/>
  <c r="G18" i="7"/>
  <c r="G17" i="7"/>
  <c r="H16" i="7"/>
  <c r="G7" i="5"/>
  <c r="F29" i="8"/>
  <c r="F22" i="5" s="1"/>
  <c r="F19" i="7"/>
  <c r="F24" i="5" l="1"/>
  <c r="F25" i="5" s="1"/>
  <c r="F6" i="9" s="1"/>
  <c r="F10" i="10" s="1"/>
  <c r="G6" i="5"/>
  <c r="F21" i="8"/>
  <c r="F24" i="8" s="1"/>
  <c r="G35" i="8"/>
  <c r="G8" i="9"/>
  <c r="G12" i="10" s="1"/>
  <c r="G19" i="5"/>
  <c r="H30" i="8"/>
  <c r="H23" i="5" s="1"/>
  <c r="H23" i="8"/>
  <c r="H18" i="8"/>
  <c r="H21" i="5" s="1"/>
  <c r="H34" i="8"/>
  <c r="H17" i="8"/>
  <c r="H20" i="5" s="1"/>
  <c r="H15" i="8"/>
  <c r="H3" i="10"/>
  <c r="H18" i="7"/>
  <c r="H17" i="7"/>
  <c r="I16" i="7"/>
  <c r="H7" i="5"/>
  <c r="H11" i="9" s="1"/>
  <c r="H12" i="9" s="1"/>
  <c r="H13" i="10" s="1"/>
  <c r="G11" i="9"/>
  <c r="G12" i="9" s="1"/>
  <c r="G13" i="10" s="1"/>
  <c r="F31" i="7"/>
  <c r="F4" i="10"/>
  <c r="F7" i="10" s="1"/>
  <c r="F23" i="7"/>
  <c r="G29" i="8"/>
  <c r="G22" i="5" s="1"/>
  <c r="G19" i="7"/>
  <c r="F15" i="10" l="1"/>
  <c r="D4" i="12" s="1"/>
  <c r="G24" i="5"/>
  <c r="G25" i="5" s="1"/>
  <c r="G6" i="9" s="1"/>
  <c r="G10" i="10" s="1"/>
  <c r="H7" i="9"/>
  <c r="H11" i="10" s="1"/>
  <c r="H35" i="8"/>
  <c r="H8" i="9"/>
  <c r="H12" i="10" s="1"/>
  <c r="H19" i="5"/>
  <c r="I17" i="8"/>
  <c r="I20" i="5" s="1"/>
  <c r="I30" i="8"/>
  <c r="I23" i="5" s="1"/>
  <c r="I23" i="8"/>
  <c r="I7" i="9" s="1"/>
  <c r="I11" i="10" s="1"/>
  <c r="I15" i="8"/>
  <c r="I34" i="8"/>
  <c r="I18" i="8"/>
  <c r="I21" i="5" s="1"/>
  <c r="I3" i="10"/>
  <c r="I18" i="7"/>
  <c r="I17" i="7"/>
  <c r="J16" i="7"/>
  <c r="I7" i="5"/>
  <c r="I11" i="9" s="1"/>
  <c r="I12" i="9" s="1"/>
  <c r="I13" i="10" s="1"/>
  <c r="F33" i="7"/>
  <c r="F34" i="7" s="1"/>
  <c r="G31" i="7"/>
  <c r="G4" i="10"/>
  <c r="G7" i="10" s="1"/>
  <c r="G8" i="5"/>
  <c r="G21" i="7" s="1"/>
  <c r="G9" i="5"/>
  <c r="H29" i="8"/>
  <c r="H22" i="5" s="1"/>
  <c r="H19" i="7"/>
  <c r="G4" i="9" l="1"/>
  <c r="G8" i="10" s="1"/>
  <c r="G15" i="10" s="1"/>
  <c r="E4" i="12" s="1"/>
  <c r="G23" i="7"/>
  <c r="H24" i="5"/>
  <c r="H25" i="5" s="1"/>
  <c r="H6" i="9" s="1"/>
  <c r="H10" i="10" s="1"/>
  <c r="I19" i="5"/>
  <c r="I8" i="9"/>
  <c r="I12" i="10" s="1"/>
  <c r="I35" i="8"/>
  <c r="J34" i="8"/>
  <c r="J15" i="8"/>
  <c r="J18" i="8"/>
  <c r="J21" i="5" s="1"/>
  <c r="J3" i="10"/>
  <c r="J30" i="8"/>
  <c r="J23" i="5" s="1"/>
  <c r="J23" i="8"/>
  <c r="J7" i="9" s="1"/>
  <c r="J11" i="10" s="1"/>
  <c r="J17" i="8"/>
  <c r="J20" i="5" s="1"/>
  <c r="J18" i="7"/>
  <c r="J17" i="7"/>
  <c r="J7" i="5"/>
  <c r="J11" i="9" s="1"/>
  <c r="J12" i="9" s="1"/>
  <c r="J13" i="10" s="1"/>
  <c r="F3" i="9"/>
  <c r="F9" i="9" s="1"/>
  <c r="F19" i="9" s="1"/>
  <c r="F22" i="9" s="1"/>
  <c r="F23" i="9" s="1"/>
  <c r="F40" i="7"/>
  <c r="F14" i="5"/>
  <c r="F17" i="5" s="1"/>
  <c r="F41" i="7"/>
  <c r="G33" i="7"/>
  <c r="G34" i="7" s="1"/>
  <c r="H6" i="5"/>
  <c r="G21" i="8"/>
  <c r="G24" i="8" s="1"/>
  <c r="H31" i="7"/>
  <c r="H4" i="10"/>
  <c r="H7" i="10" s="1"/>
  <c r="I29" i="8"/>
  <c r="I22" i="5" s="1"/>
  <c r="I19" i="7"/>
  <c r="I24" i="5" l="1"/>
  <c r="I25" i="5" s="1"/>
  <c r="I6" i="9" s="1"/>
  <c r="I10" i="10" s="1"/>
  <c r="J35" i="8"/>
  <c r="J8" i="9"/>
  <c r="J12" i="10" s="1"/>
  <c r="J19" i="5"/>
  <c r="F16" i="8"/>
  <c r="F28" i="8"/>
  <c r="F31" i="8" s="1"/>
  <c r="F37" i="8"/>
  <c r="G13" i="5"/>
  <c r="G3" i="9"/>
  <c r="G9" i="9" s="1"/>
  <c r="G19" i="9" s="1"/>
  <c r="G22" i="9" s="1"/>
  <c r="G40" i="7"/>
  <c r="G41" i="7"/>
  <c r="G14" i="5"/>
  <c r="H8" i="5"/>
  <c r="H33" i="7"/>
  <c r="H34" i="7" s="1"/>
  <c r="I31" i="7"/>
  <c r="I4" i="10"/>
  <c r="I7" i="10" s="1"/>
  <c r="J29" i="8"/>
  <c r="J22" i="5" s="1"/>
  <c r="J19" i="7"/>
  <c r="F38" i="8" l="1"/>
  <c r="J24" i="5"/>
  <c r="J25" i="5" s="1"/>
  <c r="J6" i="9" s="1"/>
  <c r="J10" i="10" s="1"/>
  <c r="G17" i="5"/>
  <c r="F19" i="8"/>
  <c r="F26" i="8" s="1"/>
  <c r="G21" i="9"/>
  <c r="G23" i="9" s="1"/>
  <c r="F31" i="6"/>
  <c r="F33" i="6" s="1"/>
  <c r="H3" i="9"/>
  <c r="H40" i="7"/>
  <c r="H41" i="7"/>
  <c r="H14" i="5"/>
  <c r="I33" i="7"/>
  <c r="I34" i="7" s="1"/>
  <c r="J4" i="10"/>
  <c r="J7" i="10" s="1"/>
  <c r="J31" i="7"/>
  <c r="J33" i="7" s="1"/>
  <c r="J34" i="7" s="1"/>
  <c r="H21" i="7"/>
  <c r="H9" i="5"/>
  <c r="F40" i="8" l="1"/>
  <c r="G16" i="8"/>
  <c r="G28" i="8"/>
  <c r="G31" i="8" s="1"/>
  <c r="G37" i="8"/>
  <c r="H13" i="5"/>
  <c r="H17" i="5" s="1"/>
  <c r="I3" i="9"/>
  <c r="I41" i="7"/>
  <c r="I40" i="7"/>
  <c r="I14" i="5"/>
  <c r="J3" i="9"/>
  <c r="J40" i="7"/>
  <c r="J41" i="7"/>
  <c r="J14" i="5"/>
  <c r="H23" i="7"/>
  <c r="H4" i="9"/>
  <c r="I6" i="5"/>
  <c r="H21" i="8"/>
  <c r="H24" i="8" s="1"/>
  <c r="G38" i="8" l="1"/>
  <c r="G19" i="8"/>
  <c r="G26" i="8" s="1"/>
  <c r="G31" i="6"/>
  <c r="G33" i="6" s="1"/>
  <c r="H21" i="9"/>
  <c r="H37" i="8"/>
  <c r="I13" i="5"/>
  <c r="I17" i="5"/>
  <c r="H9" i="9"/>
  <c r="H19" i="9" s="1"/>
  <c r="H22" i="9" s="1"/>
  <c r="H8" i="10"/>
  <c r="H15" i="10" s="1"/>
  <c r="F4" i="12" s="1"/>
  <c r="I8" i="5"/>
  <c r="G40" i="8" l="1"/>
  <c r="H23" i="9"/>
  <c r="J13" i="5"/>
  <c r="J17" i="5" s="1"/>
  <c r="J37" i="8" s="1"/>
  <c r="I37" i="8"/>
  <c r="I21" i="7"/>
  <c r="I9" i="5"/>
  <c r="H28" i="8" l="1"/>
  <c r="H31" i="8" s="1"/>
  <c r="H38" i="8" s="1"/>
  <c r="H16" i="8"/>
  <c r="H19" i="8"/>
  <c r="H26" i="8" s="1"/>
  <c r="H40" i="8" s="1"/>
  <c r="H31" i="6"/>
  <c r="H33" i="6" s="1"/>
  <c r="I21" i="9"/>
  <c r="I23" i="7"/>
  <c r="I4" i="9"/>
  <c r="J6" i="5"/>
  <c r="I21" i="8"/>
  <c r="I24" i="8" s="1"/>
  <c r="I9" i="9" l="1"/>
  <c r="I19" i="9" s="1"/>
  <c r="I22" i="9" s="1"/>
  <c r="I23" i="9" s="1"/>
  <c r="I8" i="10"/>
  <c r="I15" i="10" s="1"/>
  <c r="G4" i="12" s="1"/>
  <c r="J8" i="5"/>
  <c r="I28" i="8" l="1"/>
  <c r="I31" i="8" s="1"/>
  <c r="I38" i="8" s="1"/>
  <c r="I16" i="8"/>
  <c r="J21" i="7"/>
  <c r="J9" i="5"/>
  <c r="J21" i="8" s="1"/>
  <c r="J24" i="8" s="1"/>
  <c r="I19" i="8" l="1"/>
  <c r="I26" i="8" s="1"/>
  <c r="I40" i="8" s="1"/>
  <c r="I31" i="6"/>
  <c r="I33" i="6" s="1"/>
  <c r="J21" i="9"/>
  <c r="J23" i="7"/>
  <c r="G8" i="12" s="1"/>
  <c r="J4" i="9"/>
  <c r="J9" i="9" l="1"/>
  <c r="J19" i="9" s="1"/>
  <c r="J22" i="9" s="1"/>
  <c r="J23" i="9" s="1"/>
  <c r="J8" i="10"/>
  <c r="J15" i="10" s="1"/>
  <c r="H4" i="12" s="1"/>
  <c r="J16" i="8" l="1"/>
  <c r="J28" i="8"/>
  <c r="J31" i="8" s="1"/>
  <c r="J38" i="8" s="1"/>
  <c r="C7" i="12"/>
  <c r="G7" i="12" s="1"/>
  <c r="G9" i="12" s="1"/>
  <c r="G15" i="12" s="1"/>
  <c r="G18" i="12" s="1"/>
  <c r="I4" i="12"/>
  <c r="C8" i="12" s="1"/>
  <c r="H26" i="12" l="1"/>
  <c r="J5" i="3"/>
  <c r="J6" i="3" s="1"/>
  <c r="C9" i="12"/>
  <c r="C15" i="12" s="1"/>
  <c r="C18" i="12" s="1"/>
  <c r="J19" i="8"/>
  <c r="J26" i="8" s="1"/>
  <c r="J40" i="8" s="1"/>
  <c r="J31" i="6"/>
  <c r="J33" i="6" s="1"/>
  <c r="C26" i="12" l="1"/>
  <c r="I5" i="3"/>
  <c r="I6" i="3" l="1"/>
  <c r="K5" i="3"/>
  <c r="K6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Ascoli</author>
  </authors>
  <commentList>
    <comment ref="C5" authorId="0" shapeId="0" xr:uid="{00000000-0006-0000-0000-000001000000}">
      <text>
        <r>
          <rPr>
            <sz val="8"/>
            <color indexed="81"/>
            <rFont val="Tahoma"/>
            <family val="2"/>
          </rPr>
          <t>Latest historical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 Chen</author>
  </authors>
  <commentList>
    <comment ref="G10" authorId="0" shapeId="0" xr:uid="{1083F158-90D8-4485-AB2E-5BC81D005AE5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Fixed for full year instead of mid-year convention</t>
        </r>
      </text>
    </comment>
  </commentList>
</comments>
</file>

<file path=xl/sharedStrings.xml><?xml version="1.0" encoding="utf-8"?>
<sst xmlns="http://schemas.openxmlformats.org/spreadsheetml/2006/main" count="338" uniqueCount="200">
  <si>
    <t>Hist.</t>
  </si>
  <si>
    <t>Proj.</t>
  </si>
  <si>
    <t>Analyst name</t>
  </si>
  <si>
    <t>Company name</t>
  </si>
  <si>
    <t>Latest BS date</t>
  </si>
  <si>
    <t>Currency</t>
  </si>
  <si>
    <t>Units</t>
  </si>
  <si>
    <t>Circular switch</t>
  </si>
  <si>
    <t>m</t>
  </si>
  <si>
    <t>USD</t>
  </si>
  <si>
    <t>Assumptions</t>
  </si>
  <si>
    <t>Net PP&amp;E</t>
  </si>
  <si>
    <t>Capital expenditure % of sales</t>
  </si>
  <si>
    <t>Beginning PP&amp;E</t>
  </si>
  <si>
    <t>Capex</t>
  </si>
  <si>
    <t>Depreciation</t>
  </si>
  <si>
    <t>Ending PP&amp;E</t>
  </si>
  <si>
    <t>Equity</t>
  </si>
  <si>
    <t>Share issuance/(repurchases)</t>
  </si>
  <si>
    <t>Beginning balance</t>
  </si>
  <si>
    <t>Net income</t>
  </si>
  <si>
    <t>Dividends paid</t>
  </si>
  <si>
    <t>Share issuance / (repurchase)</t>
  </si>
  <si>
    <t>Ending balance</t>
  </si>
  <si>
    <t>OWC</t>
  </si>
  <si>
    <t>Interest rate on revolver</t>
  </si>
  <si>
    <t>Interest rate on long-term debt</t>
  </si>
  <si>
    <t>Interest rate on cash</t>
  </si>
  <si>
    <t>Issuance of long-term debt</t>
  </si>
  <si>
    <t>Repayment of long-term debt</t>
  </si>
  <si>
    <t>Revolver</t>
  </si>
  <si>
    <t>Balance</t>
  </si>
  <si>
    <t>Interest rate</t>
  </si>
  <si>
    <t>Interest expense</t>
  </si>
  <si>
    <t>Long term debt</t>
  </si>
  <si>
    <t>Issuance</t>
  </si>
  <si>
    <t>Repayment</t>
  </si>
  <si>
    <t>Debt summary</t>
  </si>
  <si>
    <t>Total long term debt</t>
  </si>
  <si>
    <t xml:space="preserve"> Total debt</t>
  </si>
  <si>
    <t xml:space="preserve"> Total interest expense</t>
  </si>
  <si>
    <t>Interest income</t>
  </si>
  <si>
    <t>Income statement</t>
  </si>
  <si>
    <t>Revenue growth</t>
  </si>
  <si>
    <t>Cost of goods sold as % of sales</t>
  </si>
  <si>
    <t>SG&amp;A % of sales</t>
  </si>
  <si>
    <t>Amortization amount</t>
  </si>
  <si>
    <t>Non recurring items, amount</t>
  </si>
  <si>
    <t>Effective tax rate</t>
  </si>
  <si>
    <t>Basic WASO</t>
  </si>
  <si>
    <t>Diluted WASO</t>
  </si>
  <si>
    <t>Revenue</t>
  </si>
  <si>
    <t>SG&amp;A</t>
  </si>
  <si>
    <t>EBITDA</t>
  </si>
  <si>
    <t>Amortization</t>
  </si>
  <si>
    <t>EBIT</t>
  </si>
  <si>
    <t>Non-recurring items</t>
  </si>
  <si>
    <t>Other income (expense)</t>
  </si>
  <si>
    <t>Tax expense</t>
  </si>
  <si>
    <t xml:space="preserve"> Net income</t>
  </si>
  <si>
    <t>Dividends</t>
  </si>
  <si>
    <t>Shareholder information</t>
  </si>
  <si>
    <t>Basic earnings per share</t>
  </si>
  <si>
    <t>Diluted earnings per share</t>
  </si>
  <si>
    <t>Balance sheet</t>
  </si>
  <si>
    <t>Inventories % of COGS</t>
  </si>
  <si>
    <t>Other current assets % of sales</t>
  </si>
  <si>
    <t>Other long-term assets % of sales</t>
  </si>
  <si>
    <t>Other current liabilities % of sales</t>
  </si>
  <si>
    <t>Other long-term liabilities % of sales</t>
  </si>
  <si>
    <t>Accounts receivable</t>
  </si>
  <si>
    <t>Other current assets</t>
  </si>
  <si>
    <t xml:space="preserve"> Total current assets</t>
  </si>
  <si>
    <t>Property, plant &amp; equipment, net</t>
  </si>
  <si>
    <t xml:space="preserve"> Total non-current assets</t>
  </si>
  <si>
    <t>TOTAL ASSETS</t>
  </si>
  <si>
    <t>Revolver/Short term debt</t>
  </si>
  <si>
    <t>Other current liabilities</t>
  </si>
  <si>
    <t xml:space="preserve"> Total current liabilities</t>
  </si>
  <si>
    <t>Long-term debt, including current maturities</t>
  </si>
  <si>
    <t>Other long-term liabilities</t>
  </si>
  <si>
    <t xml:space="preserve"> Total non-current liabilities</t>
  </si>
  <si>
    <t>TOTAL LIABILITIES &amp; EQUITY</t>
  </si>
  <si>
    <t>Balance check</t>
  </si>
  <si>
    <t>Cash flow statement</t>
  </si>
  <si>
    <t>Pretax Income</t>
  </si>
  <si>
    <t>Alan Chen</t>
  </si>
  <si>
    <t>Free Cash Flows</t>
  </si>
  <si>
    <t>Sales</t>
  </si>
  <si>
    <t>NOPAT</t>
  </si>
  <si>
    <t>(inc) / dec in OWC</t>
  </si>
  <si>
    <t>(Capex)</t>
  </si>
  <si>
    <t>Free Cash Flow</t>
  </si>
  <si>
    <t>Effective Tax Rate</t>
  </si>
  <si>
    <t>Risk free rate</t>
  </si>
  <si>
    <t>Market risk Premium</t>
  </si>
  <si>
    <t>Beta</t>
  </si>
  <si>
    <t>Cost of Equity</t>
  </si>
  <si>
    <t>% Equity</t>
  </si>
  <si>
    <t>% Debt</t>
  </si>
  <si>
    <t>Post tax cost of debt</t>
  </si>
  <si>
    <t>WACC</t>
  </si>
  <si>
    <t>Long Term growth rate</t>
  </si>
  <si>
    <t>Mkt Cap</t>
  </si>
  <si>
    <t>Levered beta</t>
  </si>
  <si>
    <t>Gross debt</t>
  </si>
  <si>
    <t>Market cap</t>
  </si>
  <si>
    <t>Debt/Mcap</t>
  </si>
  <si>
    <t>Unlevered beta</t>
  </si>
  <si>
    <t>Comp</t>
  </si>
  <si>
    <t>Industry beta (average)</t>
  </si>
  <si>
    <t>Re-levered beta</t>
  </si>
  <si>
    <t>MTR</t>
  </si>
  <si>
    <t>Discount Model Year count</t>
  </si>
  <si>
    <t>Value Calculation</t>
  </si>
  <si>
    <t>Total PV of FCFs</t>
  </si>
  <si>
    <t>PV of TV</t>
  </si>
  <si>
    <t>EV</t>
  </si>
  <si>
    <t>Implied EBITDA multiple</t>
  </si>
  <si>
    <t>Cash &amp; Cash Equiv</t>
  </si>
  <si>
    <t>Debt &amp; Claims</t>
  </si>
  <si>
    <t>NCI</t>
  </si>
  <si>
    <t>Equity Value</t>
  </si>
  <si>
    <t>Diluted S/O</t>
  </si>
  <si>
    <t>Implied Share Price</t>
  </si>
  <si>
    <t>*</t>
  </si>
  <si>
    <t>Income Statement</t>
  </si>
  <si>
    <t>Variance</t>
  </si>
  <si>
    <t>Pessimistic Case</t>
  </si>
  <si>
    <t>Optimistic Case</t>
  </si>
  <si>
    <t>Balance Sheet - Assets</t>
  </si>
  <si>
    <t>Balance Sheet - Liabilities</t>
  </si>
  <si>
    <t>Operating Case</t>
  </si>
  <si>
    <t>Street Case</t>
  </si>
  <si>
    <t>COGS % of sales</t>
  </si>
  <si>
    <t>Depreciation % of PP&amp;E</t>
  </si>
  <si>
    <t>Amortization $ Amt</t>
  </si>
  <si>
    <t>Non recurring income / (expense)</t>
  </si>
  <si>
    <t>Interest rate on Revolver</t>
  </si>
  <si>
    <t>Other Income / (expense)</t>
  </si>
  <si>
    <t>Dividend Payout Rate</t>
  </si>
  <si>
    <t>Operating Cash % of sales</t>
  </si>
  <si>
    <t>Calcs</t>
  </si>
  <si>
    <t>CapEx % of Sales</t>
  </si>
  <si>
    <t>Share issuance / (repurchases)</t>
  </si>
  <si>
    <t>Debt</t>
  </si>
  <si>
    <t>Other income (expense), amt</t>
  </si>
  <si>
    <t>Sensitivity analysis</t>
  </si>
  <si>
    <t>Discount rate variance</t>
  </si>
  <si>
    <t>Implied growth rate variance</t>
  </si>
  <si>
    <t>Revenue Growth</t>
  </si>
  <si>
    <t>Change in OWC</t>
  </si>
  <si>
    <t>Accounts payable/Accurals</t>
  </si>
  <si>
    <t>Accounts payable/Accural % of COGS</t>
  </si>
  <si>
    <t>Accounts receivable % of sales</t>
  </si>
  <si>
    <t>Accounts payable % of COGS</t>
  </si>
  <si>
    <t>Depreciation % of beginning PP&amp;E</t>
  </si>
  <si>
    <t>Net Income</t>
  </si>
  <si>
    <t>COGS</t>
  </si>
  <si>
    <t>Operating Cash</t>
  </si>
  <si>
    <t>Excess cash</t>
  </si>
  <si>
    <t>Intangible assets</t>
  </si>
  <si>
    <t>Other assets</t>
  </si>
  <si>
    <t>Accounts payables</t>
  </si>
  <si>
    <t>(inc) / dec in other long-term assets</t>
  </si>
  <si>
    <t>inc / (dec) other long-term liabilities</t>
  </si>
  <si>
    <t>Tax Rate</t>
  </si>
  <si>
    <t xml:space="preserve"> </t>
  </si>
  <si>
    <t>Current Stock Price</t>
  </si>
  <si>
    <t>Excess Cash</t>
  </si>
  <si>
    <t>TV multiple variance</t>
  </si>
  <si>
    <t>Multiples Calculation</t>
  </si>
  <si>
    <t>Multiple TV</t>
  </si>
  <si>
    <t>Diluted s/o</t>
  </si>
  <si>
    <t>Cash</t>
  </si>
  <si>
    <t>Implied Price</t>
  </si>
  <si>
    <t>Difference</t>
  </si>
  <si>
    <t>Investments in unconsolidated entities</t>
  </si>
  <si>
    <t>Dividend payout rate</t>
  </si>
  <si>
    <t>Cost of debt</t>
  </si>
  <si>
    <t>Perpetuity</t>
  </si>
  <si>
    <t>Terminal Mult</t>
  </si>
  <si>
    <t>Model Details</t>
  </si>
  <si>
    <t>Operating Case One</t>
  </si>
  <si>
    <t>Discount Factor</t>
  </si>
  <si>
    <t>PV FCF</t>
  </si>
  <si>
    <t>Wingstop Inc</t>
  </si>
  <si>
    <t>(inc) / dec in LT assets</t>
  </si>
  <si>
    <t>inc / (dec) in LT liabilities</t>
  </si>
  <si>
    <t>CFFO</t>
  </si>
  <si>
    <t>CFFI</t>
  </si>
  <si>
    <t>Dividends Paid</t>
  </si>
  <si>
    <t>Debt issuance / (repayment)</t>
  </si>
  <si>
    <t>CFFF</t>
  </si>
  <si>
    <t>Net changes in cash</t>
  </si>
  <si>
    <t>Beginning cash</t>
  </si>
  <si>
    <t>Ending cash</t>
  </si>
  <si>
    <t>LTGR</t>
  </si>
  <si>
    <t>Exit Mult.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</si>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</sst>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&quot;£&quot;* #,##0_);_(&quot;£&quot;* \(#,##0\);_(&quot;£&quot;* &quot;-&quot;_);_(@_)"/>
    <numFmt numFmtId="165" formatCode="_(&quot;£&quot;* #,##0.00_);_(&quot;£&quot;* \(#,##0.00\);_(&quot;£&quot;* &quot;-&quot;??_);_(@_)"/>
    <numFmt numFmtId="166" formatCode="#,##0.0_);\(#,##0.0\);0.0_);@_)"/>
    <numFmt numFmtId="167" formatCode="#,##0.0_);\(#,##0.0\)"/>
    <numFmt numFmtId="168" formatCode="dd\-mmm\-yy_)"/>
    <numFmt numFmtId="169" formatCode="0.0%_);\(0.0%\)"/>
    <numFmt numFmtId="170" formatCode="#,##0.00_)\x;\(#,##0.00\)\x"/>
    <numFmt numFmtId="171" formatCode="&quot;Yes&quot;;;&quot;No&quot;"/>
    <numFmt numFmtId="172" formatCode="0.00%_);\(0.00%\)"/>
    <numFmt numFmtId="173" formatCode="0.0%"/>
    <numFmt numFmtId="174" formatCode="#,##0.00_);\(#,##0.00\);0.00_);@_)"/>
    <numFmt numFmtId="175" formatCode="yyyy"/>
    <numFmt numFmtId="176" formatCode="#,##0.0_)\x;\(#,##0.0\)\x"/>
    <numFmt numFmtId="177" formatCode="0.0_);\(0.0\)"/>
    <numFmt numFmtId="178" formatCode="0_);\(0\)"/>
    <numFmt numFmtId="179" formatCode="#,##0.0"/>
    <numFmt numFmtId="180" formatCode="&quot;$&quot;#,##0.0_);\(&quot;$&quot;#,##0.0\)"/>
    <numFmt numFmtId="181" formatCode="[$$-409]#,##0.00_);\([$$-409]#,##0.00\)"/>
    <numFmt numFmtId="182" formatCode="&quot;$&quot;#,##0.00"/>
    <numFmt numFmtId="187" formatCode="&quot;$&quot;#,##0"/>
  </numFmts>
  <fonts count="70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8"/>
      <color indexed="81"/>
      <name val="Tahoma"/>
      <family val="2"/>
    </font>
    <font>
      <u/>
      <sz val="10"/>
      <color theme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24"/>
      <color rgb="FF006100"/>
      <name val="Arial"/>
      <family val="2"/>
    </font>
    <font>
      <sz val="24"/>
      <color rgb="FF9C0006"/>
      <name val="Arial"/>
      <family val="2"/>
    </font>
    <font>
      <sz val="24"/>
      <color rgb="FF9C6500"/>
      <name val="Arial"/>
      <family val="2"/>
    </font>
    <font>
      <b/>
      <sz val="24"/>
      <color rgb="FF3F3F3F"/>
      <name val="Arial"/>
      <family val="2"/>
    </font>
    <font>
      <b/>
      <sz val="24"/>
      <color rgb="FFFA7D00"/>
      <name val="Arial"/>
      <family val="2"/>
    </font>
    <font>
      <sz val="24"/>
      <color rgb="FFFA7D00"/>
      <name val="Arial"/>
      <family val="2"/>
    </font>
    <font>
      <b/>
      <sz val="24"/>
      <color theme="0"/>
      <name val="Arial"/>
      <family val="2"/>
    </font>
    <font>
      <sz val="24"/>
      <color rgb="FFFF0000"/>
      <name val="Arial"/>
      <family val="2"/>
    </font>
    <font>
      <i/>
      <sz val="24"/>
      <color rgb="FF7F7F7F"/>
      <name val="Arial"/>
      <family val="2"/>
    </font>
    <font>
      <b/>
      <sz val="24"/>
      <color theme="1"/>
      <name val="Arial"/>
      <family val="2"/>
    </font>
    <font>
      <sz val="24"/>
      <color theme="0"/>
      <name val="Arial"/>
      <family val="2"/>
    </font>
    <font>
      <sz val="24"/>
      <color theme="1"/>
      <name val="Arial"/>
      <family val="2"/>
    </font>
    <font>
      <u/>
      <sz val="10"/>
      <color theme="11"/>
      <name val="Arial"/>
      <family val="2"/>
    </font>
    <font>
      <b/>
      <sz val="14"/>
      <color theme="0"/>
      <name val="Calibri"/>
      <family val="2"/>
    </font>
    <font>
      <b/>
      <sz val="11"/>
      <color theme="2"/>
      <name val="Calibri"/>
      <family val="2"/>
      <scheme val="minor"/>
    </font>
    <font>
      <sz val="10"/>
      <color rgb="FF0000FF"/>
      <name val="Arial"/>
      <family val="2"/>
    </font>
    <font>
      <b/>
      <sz val="14"/>
      <color rgb="FF0000FF"/>
      <name val="Calibri"/>
      <family val="2"/>
    </font>
    <font>
      <i/>
      <sz val="10"/>
      <name val="Arial"/>
      <family val="2"/>
    </font>
    <font>
      <sz val="7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rgb="FF027D07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indexed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27D07"/>
      <name val="Calibri"/>
      <family val="2"/>
      <scheme val="minor"/>
    </font>
    <font>
      <sz val="11"/>
      <color rgb="FF4472C4"/>
      <name val="Calibri"/>
      <family val="2"/>
      <scheme val="minor"/>
    </font>
    <font>
      <i/>
      <sz val="11"/>
      <color indexed="10"/>
      <name val="Calibri"/>
      <family val="2"/>
      <scheme val="minor"/>
    </font>
    <font>
      <i/>
      <sz val="10"/>
      <color theme="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  <font>
      <sz val="11"/>
      <color rgb="FF0500FF"/>
      <name val="Calibri"/>
      <family val="2"/>
      <scheme val="minor"/>
    </font>
    <font>
      <i/>
      <sz val="10"/>
      <color rgb="FF0000FF"/>
      <name val="Arial"/>
      <family val="2"/>
    </font>
    <font>
      <i/>
      <sz val="10"/>
      <color rgb="FF0500FF"/>
      <name val="Arial"/>
      <family val="2"/>
    </font>
    <font>
      <b/>
      <i/>
      <sz val="11"/>
      <color theme="0"/>
      <name val="Calibri"/>
      <family val="2"/>
      <scheme val="minor"/>
    </font>
    <font>
      <b/>
      <i/>
      <sz val="10"/>
      <color theme="0"/>
      <name val="Arial"/>
      <family val="2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rgb="FF0000FF"/>
      <name val="Calibri"/>
      <family val="2"/>
      <scheme val="minor"/>
    </font>
    <font>
      <b/>
      <sz val="15"/>
      <color rgb="FF027D07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i/>
      <sz val="11"/>
      <color rgb="FFEA4335"/>
      <name val="Calibri"/>
      <family val="2"/>
      <scheme val="minor"/>
    </font>
    <font>
      <b/>
      <sz val="15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4F81BD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68">
    <xf numFmtId="167" fontId="0" fillId="0" borderId="0"/>
    <xf numFmtId="15" fontId="5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167" fontId="28" fillId="33" borderId="1" applyNumberFormat="0" applyAlignment="0" applyProtection="0"/>
    <xf numFmtId="169" fontId="5" fillId="0" borderId="0" applyFont="0" applyFill="0" applyBorder="0" applyAlignment="0" applyProtection="0"/>
    <xf numFmtId="167" fontId="28" fillId="0" borderId="0" applyFill="0" applyBorder="0" applyAlignment="0" applyProtection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5" applyNumberFormat="0" applyAlignment="0" applyProtection="0"/>
    <xf numFmtId="0" fontId="17" fillId="5" borderId="6" applyNumberFormat="0" applyAlignment="0" applyProtection="0"/>
    <xf numFmtId="0" fontId="18" fillId="0" borderId="7" applyNumberFormat="0" applyFill="0" applyAlignment="0" applyProtection="0"/>
    <xf numFmtId="0" fontId="19" fillId="6" borderId="8" applyNumberFormat="0" applyAlignment="0" applyProtection="0"/>
    <xf numFmtId="0" fontId="20" fillId="0" borderId="0" applyNumberFormat="0" applyFill="0" applyBorder="0" applyAlignment="0" applyProtection="0"/>
    <xf numFmtId="0" fontId="5" fillId="7" borderId="9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23" fillId="31" borderId="0" applyNumberFormat="0" applyBorder="0" applyAlignment="0" applyProtection="0"/>
    <xf numFmtId="166" fontId="25" fillId="0" borderId="0" applyNumberForma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7" fontId="29" fillId="0" borderId="11" applyNumberFormat="0" applyFill="0" applyAlignment="0" applyProtection="0"/>
    <xf numFmtId="167" fontId="26" fillId="32" borderId="0" applyNumberFormat="0" applyBorder="0" applyProtection="0">
      <alignment horizontal="left" vertical="center"/>
    </xf>
    <xf numFmtId="167" fontId="27" fillId="0" borderId="0" applyNumberFormat="0" applyFill="0" applyBorder="0" applyAlignment="0" applyProtection="0"/>
    <xf numFmtId="171" fontId="6" fillId="0" borderId="0" applyFont="0" applyFill="0" applyBorder="0" applyAlignment="0" applyProtection="0"/>
    <xf numFmtId="169" fontId="28" fillId="33" borderId="1" applyAlignment="0" applyProtection="0"/>
    <xf numFmtId="166" fontId="6" fillId="0" borderId="0" applyNumberFormat="0" applyFill="0" applyBorder="0" applyAlignment="0" applyProtection="0"/>
    <xf numFmtId="166" fontId="6" fillId="0" borderId="0" applyNumberFormat="0" applyFill="0" applyBorder="0" applyAlignment="0" applyProtection="0"/>
    <xf numFmtId="166" fontId="5" fillId="0" borderId="0">
      <protection locked="0"/>
    </xf>
    <xf numFmtId="166" fontId="31" fillId="0" borderId="0" applyNumberFormat="0" applyFill="0" applyBorder="0" applyProtection="0">
      <alignment vertical="center"/>
      <protection hidden="1"/>
    </xf>
    <xf numFmtId="0" fontId="32" fillId="0" borderId="0"/>
    <xf numFmtId="9" fontId="32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4" fillId="0" borderId="0"/>
    <xf numFmtId="167" fontId="42" fillId="32" borderId="0" applyNumberFormat="0" applyBorder="0" applyAlignment="0" applyProtection="0">
      <alignment horizontal="left" vertical="center"/>
    </xf>
    <xf numFmtId="0" fontId="63" fillId="41" borderId="0"/>
    <xf numFmtId="0" fontId="64" fillId="41" borderId="22">
      <alignment horizontal="right"/>
    </xf>
  </cellStyleXfs>
  <cellXfs count="298">
    <xf numFmtId="167" fontId="0" fillId="0" borderId="0" xfId="0"/>
    <xf numFmtId="166" fontId="43" fillId="0" borderId="0" xfId="52" applyNumberFormat="1" applyFont="1" applyFill="1" applyBorder="1" applyAlignment="1">
      <alignment horizontal="center"/>
    </xf>
    <xf numFmtId="167" fontId="43" fillId="0" borderId="0" xfId="0" applyFont="1"/>
    <xf numFmtId="166" fontId="43" fillId="0" borderId="0" xfId="52" applyNumberFormat="1" applyFont="1" applyFill="1" applyBorder="1"/>
    <xf numFmtId="167" fontId="39" fillId="0" borderId="0" xfId="0" applyFont="1"/>
    <xf numFmtId="169" fontId="39" fillId="0" borderId="0" xfId="4" applyFont="1"/>
    <xf numFmtId="167" fontId="44" fillId="0" borderId="0" xfId="0" applyFont="1"/>
    <xf numFmtId="167" fontId="41" fillId="0" borderId="0" xfId="0" applyFont="1"/>
    <xf numFmtId="173" fontId="39" fillId="0" borderId="0" xfId="0" applyNumberFormat="1" applyFont="1"/>
    <xf numFmtId="166" fontId="38" fillId="0" borderId="0" xfId="57" applyFont="1" applyFill="1"/>
    <xf numFmtId="166" fontId="38" fillId="0" borderId="0" xfId="57" applyFont="1"/>
    <xf numFmtId="167" fontId="45" fillId="0" borderId="0" xfId="0" applyFont="1"/>
    <xf numFmtId="167" fontId="38" fillId="0" borderId="0" xfId="0" applyFont="1"/>
    <xf numFmtId="172" fontId="39" fillId="0" borderId="0" xfId="0" applyNumberFormat="1" applyFont="1"/>
    <xf numFmtId="174" fontId="39" fillId="0" borderId="0" xfId="0" applyNumberFormat="1" applyFont="1"/>
    <xf numFmtId="167" fontId="39" fillId="35" borderId="0" xfId="0" applyFont="1" applyFill="1"/>
    <xf numFmtId="166" fontId="33" fillId="35" borderId="0" xfId="54" applyNumberFormat="1" applyFont="1" applyFill="1"/>
    <xf numFmtId="167" fontId="45" fillId="0" borderId="12" xfId="0" applyFont="1" applyBorder="1"/>
    <xf numFmtId="167" fontId="45" fillId="0" borderId="13" xfId="0" applyFont="1" applyBorder="1"/>
    <xf numFmtId="167" fontId="39" fillId="34" borderId="0" xfId="0" applyFont="1" applyFill="1"/>
    <xf numFmtId="166" fontId="33" fillId="34" borderId="0" xfId="54" applyNumberFormat="1" applyFont="1" applyFill="1"/>
    <xf numFmtId="167" fontId="39" fillId="0" borderId="13" xfId="0" applyFont="1" applyBorder="1"/>
    <xf numFmtId="166" fontId="38" fillId="0" borderId="18" xfId="57" applyFont="1" applyBorder="1"/>
    <xf numFmtId="169" fontId="39" fillId="0" borderId="18" xfId="4" applyFont="1" applyBorder="1"/>
    <xf numFmtId="167" fontId="45" fillId="0" borderId="18" xfId="0" applyFont="1" applyBorder="1"/>
    <xf numFmtId="173" fontId="39" fillId="0" borderId="18" xfId="0" applyNumberFormat="1" applyFont="1" applyBorder="1"/>
    <xf numFmtId="167" fontId="39" fillId="0" borderId="18" xfId="0" applyFont="1" applyBorder="1"/>
    <xf numFmtId="169" fontId="39" fillId="0" borderId="18" xfId="4" applyFont="1" applyFill="1" applyBorder="1"/>
    <xf numFmtId="173" fontId="30" fillId="0" borderId="0" xfId="0" applyNumberFormat="1" applyFont="1"/>
    <xf numFmtId="167" fontId="40" fillId="0" borderId="0" xfId="0" applyFont="1"/>
    <xf numFmtId="169" fontId="40" fillId="0" borderId="0" xfId="4" applyFont="1"/>
    <xf numFmtId="169" fontId="40" fillId="0" borderId="18" xfId="4" applyFont="1" applyBorder="1"/>
    <xf numFmtId="167" fontId="47" fillId="0" borderId="0" xfId="0" applyFont="1"/>
    <xf numFmtId="167" fontId="45" fillId="0" borderId="15" xfId="0" applyFont="1" applyBorder="1"/>
    <xf numFmtId="167" fontId="39" fillId="0" borderId="16" xfId="0" applyFont="1" applyBorder="1"/>
    <xf numFmtId="174" fontId="39" fillId="0" borderId="15" xfId="0" applyNumberFormat="1" applyFont="1" applyBorder="1"/>
    <xf numFmtId="167" fontId="40" fillId="0" borderId="18" xfId="0" applyFont="1" applyBorder="1"/>
    <xf numFmtId="173" fontId="30" fillId="0" borderId="18" xfId="0" applyNumberFormat="1" applyFont="1" applyBorder="1"/>
    <xf numFmtId="166" fontId="34" fillId="0" borderId="0" xfId="52" applyNumberFormat="1" applyFont="1" applyFill="1" applyBorder="1" applyAlignment="1">
      <alignment horizontal="right"/>
    </xf>
    <xf numFmtId="167" fontId="35" fillId="34" borderId="0" xfId="0" applyFont="1" applyFill="1"/>
    <xf numFmtId="173" fontId="40" fillId="0" borderId="0" xfId="0" applyNumberFormat="1" applyFont="1"/>
    <xf numFmtId="173" fontId="40" fillId="0" borderId="18" xfId="0" applyNumberFormat="1" applyFont="1" applyBorder="1"/>
    <xf numFmtId="166" fontId="38" fillId="0" borderId="18" xfId="57" applyFont="1" applyFill="1" applyBorder="1"/>
    <xf numFmtId="167" fontId="45" fillId="0" borderId="0" xfId="0" applyFont="1" applyAlignment="1">
      <alignment horizontal="right"/>
    </xf>
    <xf numFmtId="10" fontId="39" fillId="0" borderId="0" xfId="0" applyNumberFormat="1" applyFont="1"/>
    <xf numFmtId="172" fontId="39" fillId="0" borderId="0" xfId="4" applyNumberFormat="1" applyFont="1"/>
    <xf numFmtId="167" fontId="48" fillId="0" borderId="0" xfId="0" applyFont="1"/>
    <xf numFmtId="37" fontId="43" fillId="0" borderId="0" xfId="0" applyNumberFormat="1" applyFont="1" applyAlignment="1">
      <alignment horizontal="center"/>
    </xf>
    <xf numFmtId="167" fontId="37" fillId="33" borderId="1" xfId="3" applyFont="1" applyAlignment="1">
      <alignment horizontal="center"/>
    </xf>
    <xf numFmtId="168" fontId="37" fillId="33" borderId="1" xfId="3" applyNumberFormat="1" applyFont="1" applyAlignment="1">
      <alignment horizontal="center"/>
    </xf>
    <xf numFmtId="166" fontId="34" fillId="0" borderId="0" xfId="52" applyNumberFormat="1" applyFont="1" applyFill="1" applyBorder="1" applyAlignment="1">
      <alignment horizontal="center"/>
    </xf>
    <xf numFmtId="167" fontId="49" fillId="34" borderId="0" xfId="0" applyFont="1" applyFill="1"/>
    <xf numFmtId="175" fontId="33" fillId="34" borderId="0" xfId="0" applyNumberFormat="1" applyFont="1" applyFill="1"/>
    <xf numFmtId="169" fontId="46" fillId="0" borderId="0" xfId="57" applyNumberFormat="1" applyFont="1" applyFill="1" applyBorder="1"/>
    <xf numFmtId="169" fontId="40" fillId="0" borderId="0" xfId="57" applyNumberFormat="1" applyFont="1" applyFill="1" applyBorder="1"/>
    <xf numFmtId="166" fontId="40" fillId="0" borderId="0" xfId="0" applyNumberFormat="1" applyFont="1"/>
    <xf numFmtId="169" fontId="46" fillId="0" borderId="18" xfId="57" applyNumberFormat="1" applyFont="1" applyFill="1" applyBorder="1"/>
    <xf numFmtId="169" fontId="40" fillId="0" borderId="18" xfId="57" applyNumberFormat="1" applyFont="1" applyFill="1" applyBorder="1"/>
    <xf numFmtId="166" fontId="40" fillId="0" borderId="18" xfId="0" applyNumberFormat="1" applyFont="1" applyBorder="1"/>
    <xf numFmtId="167" fontId="39" fillId="0" borderId="18" xfId="0" applyFont="1" applyBorder="1" applyAlignment="1">
      <alignment horizontal="right"/>
    </xf>
    <xf numFmtId="167" fontId="35" fillId="35" borderId="0" xfId="0" applyFont="1" applyFill="1"/>
    <xf numFmtId="167" fontId="33" fillId="35" borderId="0" xfId="53" applyFont="1" applyFill="1">
      <alignment horizontal="left" vertical="center"/>
    </xf>
    <xf numFmtId="167" fontId="39" fillId="0" borderId="15" xfId="0" applyFont="1" applyBorder="1"/>
    <xf numFmtId="167" fontId="39" fillId="36" borderId="0" xfId="0" applyFont="1" applyFill="1"/>
    <xf numFmtId="167" fontId="39" fillId="37" borderId="15" xfId="0" applyFont="1" applyFill="1" applyBorder="1"/>
    <xf numFmtId="167" fontId="39" fillId="37" borderId="0" xfId="0" applyFont="1" applyFill="1"/>
    <xf numFmtId="167" fontId="39" fillId="38" borderId="15" xfId="0" applyFont="1" applyFill="1" applyBorder="1"/>
    <xf numFmtId="167" fontId="39" fillId="38" borderId="0" xfId="0" applyFont="1" applyFill="1"/>
    <xf numFmtId="167" fontId="39" fillId="36" borderId="18" xfId="0" applyFont="1" applyFill="1" applyBorder="1"/>
    <xf numFmtId="167" fontId="39" fillId="37" borderId="16" xfId="0" applyFont="1" applyFill="1" applyBorder="1"/>
    <xf numFmtId="167" fontId="39" fillId="37" borderId="18" xfId="0" applyFont="1" applyFill="1" applyBorder="1"/>
    <xf numFmtId="167" fontId="39" fillId="38" borderId="16" xfId="0" applyFont="1" applyFill="1" applyBorder="1"/>
    <xf numFmtId="167" fontId="39" fillId="38" borderId="18" xfId="0" applyFont="1" applyFill="1" applyBorder="1"/>
    <xf numFmtId="167" fontId="33" fillId="34" borderId="0" xfId="0" applyFont="1" applyFill="1"/>
    <xf numFmtId="167" fontId="39" fillId="0" borderId="20" xfId="0" applyFont="1" applyBorder="1"/>
    <xf numFmtId="167" fontId="39" fillId="0" borderId="1" xfId="0" applyFont="1" applyBorder="1"/>
    <xf numFmtId="167" fontId="39" fillId="39" borderId="19" xfId="0" applyFont="1" applyFill="1" applyBorder="1"/>
    <xf numFmtId="167" fontId="39" fillId="39" borderId="16" xfId="0" applyFont="1" applyFill="1" applyBorder="1"/>
    <xf numFmtId="167" fontId="39" fillId="39" borderId="1" xfId="0" applyFont="1" applyFill="1" applyBorder="1"/>
    <xf numFmtId="167" fontId="39" fillId="39" borderId="14" xfId="0" applyFont="1" applyFill="1" applyBorder="1"/>
    <xf numFmtId="167" fontId="44" fillId="0" borderId="15" xfId="0" applyFont="1" applyBorder="1"/>
    <xf numFmtId="176" fontId="39" fillId="0" borderId="0" xfId="0" applyNumberFormat="1" applyFont="1"/>
    <xf numFmtId="167" fontId="35" fillId="0" borderId="0" xfId="0" applyFont="1"/>
    <xf numFmtId="166" fontId="33" fillId="0" borderId="0" xfId="54" applyNumberFormat="1" applyFont="1" applyFill="1"/>
    <xf numFmtId="166" fontId="51" fillId="0" borderId="0" xfId="54" applyNumberFormat="1" applyFont="1" applyProtection="1"/>
    <xf numFmtId="173" fontId="5" fillId="0" borderId="0" xfId="0" applyNumberFormat="1" applyFont="1"/>
    <xf numFmtId="167" fontId="52" fillId="0" borderId="0" xfId="0" applyFont="1"/>
    <xf numFmtId="167" fontId="5" fillId="0" borderId="0" xfId="0" applyFont="1"/>
    <xf numFmtId="167" fontId="5" fillId="0" borderId="0" xfId="0" applyFont="1" applyProtection="1">
      <protection locked="0"/>
    </xf>
    <xf numFmtId="169" fontId="5" fillId="0" borderId="0" xfId="4" applyFont="1"/>
    <xf numFmtId="166" fontId="54" fillId="0" borderId="0" xfId="54" applyNumberFormat="1" applyFont="1" applyProtection="1"/>
    <xf numFmtId="169" fontId="28" fillId="0" borderId="0" xfId="3" applyNumberFormat="1" applyFill="1" applyBorder="1"/>
    <xf numFmtId="167" fontId="37" fillId="0" borderId="0" xfId="0" applyFont="1"/>
    <xf numFmtId="167" fontId="37" fillId="0" borderId="18" xfId="0" applyFont="1" applyBorder="1"/>
    <xf numFmtId="169" fontId="39" fillId="0" borderId="0" xfId="4" applyFont="1" applyFill="1"/>
    <xf numFmtId="169" fontId="56" fillId="33" borderId="1" xfId="3" applyNumberFormat="1" applyFont="1"/>
    <xf numFmtId="167" fontId="56" fillId="33" borderId="1" xfId="3" applyNumberFormat="1" applyFont="1"/>
    <xf numFmtId="169" fontId="56" fillId="33" borderId="14" xfId="3" applyNumberFormat="1" applyFont="1" applyBorder="1"/>
    <xf numFmtId="169" fontId="56" fillId="0" borderId="15" xfId="3" applyNumberFormat="1" applyFont="1" applyFill="1" applyBorder="1"/>
    <xf numFmtId="173" fontId="30" fillId="36" borderId="14" xfId="0" applyNumberFormat="1" applyFont="1" applyFill="1" applyBorder="1"/>
    <xf numFmtId="177" fontId="56" fillId="33" borderId="1" xfId="3" applyNumberFormat="1" applyFont="1"/>
    <xf numFmtId="167" fontId="33" fillId="35" borderId="0" xfId="0" applyFont="1" applyFill="1"/>
    <xf numFmtId="166" fontId="34" fillId="0" borderId="15" xfId="52" applyNumberFormat="1" applyFont="1" applyFill="1" applyBorder="1" applyAlignment="1">
      <alignment horizontal="center"/>
    </xf>
    <xf numFmtId="167" fontId="40" fillId="0" borderId="13" xfId="0" applyFont="1" applyBorder="1"/>
    <xf numFmtId="167" fontId="50" fillId="0" borderId="13" xfId="0" applyFont="1" applyBorder="1"/>
    <xf numFmtId="173" fontId="30" fillId="40" borderId="1" xfId="0" applyNumberFormat="1" applyFont="1" applyFill="1" applyBorder="1"/>
    <xf numFmtId="167" fontId="30" fillId="40" borderId="19" xfId="0" applyFont="1" applyFill="1" applyBorder="1"/>
    <xf numFmtId="167" fontId="53" fillId="0" borderId="0" xfId="0" applyFont="1" applyAlignment="1">
      <alignment horizontal="right"/>
    </xf>
    <xf numFmtId="167" fontId="33" fillId="34" borderId="17" xfId="0" applyFont="1" applyFill="1" applyBorder="1"/>
    <xf numFmtId="166" fontId="33" fillId="34" borderId="15" xfId="54" applyNumberFormat="1" applyFont="1" applyFill="1" applyBorder="1" applyProtection="1"/>
    <xf numFmtId="166" fontId="39" fillId="0" borderId="0" xfId="59" applyFont="1" applyProtection="1"/>
    <xf numFmtId="172" fontId="37" fillId="33" borderId="1" xfId="3" applyNumberFormat="1" applyFont="1" applyProtection="1"/>
    <xf numFmtId="166" fontId="3" fillId="0" borderId="0" xfId="54" applyNumberFormat="1" applyFont="1" applyProtection="1"/>
    <xf numFmtId="169" fontId="39" fillId="0" borderId="15" xfId="4" applyFont="1" applyBorder="1"/>
    <xf numFmtId="169" fontId="39" fillId="0" borderId="16" xfId="4" applyFont="1" applyBorder="1"/>
    <xf numFmtId="166" fontId="60" fillId="34" borderId="15" xfId="59" applyFont="1" applyFill="1" applyBorder="1" applyProtection="1"/>
    <xf numFmtId="10" fontId="40" fillId="0" borderId="0" xfId="0" applyNumberFormat="1" applyFont="1"/>
    <xf numFmtId="10" fontId="28" fillId="0" borderId="0" xfId="3" applyNumberFormat="1" applyFill="1" applyBorder="1"/>
    <xf numFmtId="169" fontId="56" fillId="33" borderId="19" xfId="3" applyNumberFormat="1" applyFont="1" applyBorder="1"/>
    <xf numFmtId="167" fontId="2" fillId="0" borderId="18" xfId="0" applyFont="1" applyBorder="1"/>
    <xf numFmtId="179" fontId="45" fillId="0" borderId="0" xfId="0" applyNumberFormat="1" applyFont="1"/>
    <xf numFmtId="179" fontId="45" fillId="0" borderId="12" xfId="0" applyNumberFormat="1" applyFont="1" applyBorder="1"/>
    <xf numFmtId="179" fontId="39" fillId="0" borderId="0" xfId="0" applyNumberFormat="1" applyFont="1"/>
    <xf numFmtId="167" fontId="39" fillId="0" borderId="15" xfId="4" applyNumberFormat="1" applyFont="1" applyBorder="1"/>
    <xf numFmtId="179" fontId="39" fillId="0" borderId="15" xfId="4" applyNumberFormat="1" applyFont="1" applyBorder="1"/>
    <xf numFmtId="179" fontId="39" fillId="0" borderId="0" xfId="4" applyNumberFormat="1" applyFont="1"/>
    <xf numFmtId="179" fontId="39" fillId="0" borderId="0" xfId="0" applyNumberFormat="1" applyFont="1" applyAlignment="1">
      <alignment horizontal="right"/>
    </xf>
    <xf numFmtId="173" fontId="39" fillId="36" borderId="19" xfId="0" applyNumberFormat="1" applyFont="1" applyFill="1" applyBorder="1"/>
    <xf numFmtId="37" fontId="33" fillId="34" borderId="18" xfId="0" applyNumberFormat="1" applyFont="1" applyFill="1" applyBorder="1" applyAlignment="1">
      <alignment horizontal="right"/>
    </xf>
    <xf numFmtId="39" fontId="39" fillId="39" borderId="19" xfId="0" applyNumberFormat="1" applyFont="1" applyFill="1" applyBorder="1"/>
    <xf numFmtId="39" fontId="39" fillId="39" borderId="1" xfId="0" applyNumberFormat="1" applyFont="1" applyFill="1" applyBorder="1"/>
    <xf numFmtId="10" fontId="39" fillId="0" borderId="21" xfId="0" applyNumberFormat="1" applyFont="1" applyBorder="1"/>
    <xf numFmtId="39" fontId="39" fillId="0" borderId="0" xfId="0" applyNumberFormat="1" applyFont="1"/>
    <xf numFmtId="173" fontId="39" fillId="37" borderId="16" xfId="0" applyNumberFormat="1" applyFont="1" applyFill="1" applyBorder="1"/>
    <xf numFmtId="173" fontId="39" fillId="37" borderId="1" xfId="0" applyNumberFormat="1" applyFont="1" applyFill="1" applyBorder="1"/>
    <xf numFmtId="173" fontId="39" fillId="38" borderId="19" xfId="0" applyNumberFormat="1" applyFont="1" applyFill="1" applyBorder="1"/>
    <xf numFmtId="167" fontId="39" fillId="0" borderId="0" xfId="0" applyFont="1" applyAlignment="1">
      <alignment horizontal="right"/>
    </xf>
    <xf numFmtId="10" fontId="35" fillId="34" borderId="1" xfId="0" applyNumberFormat="1" applyFont="1" applyFill="1" applyBorder="1"/>
    <xf numFmtId="7" fontId="45" fillId="0" borderId="18" xfId="0" applyNumberFormat="1" applyFont="1" applyBorder="1"/>
    <xf numFmtId="172" fontId="37" fillId="33" borderId="19" xfId="3" applyNumberFormat="1" applyFont="1" applyBorder="1" applyProtection="1"/>
    <xf numFmtId="175" fontId="33" fillId="34" borderId="0" xfId="52" applyNumberFormat="1" applyFont="1" applyFill="1" applyBorder="1" applyAlignment="1">
      <alignment horizontal="right" vertical="center"/>
    </xf>
    <xf numFmtId="167" fontId="45" fillId="0" borderId="18" xfId="0" applyFont="1" applyBorder="1" applyAlignment="1">
      <alignment horizontal="right"/>
    </xf>
    <xf numFmtId="173" fontId="39" fillId="39" borderId="19" xfId="0" applyNumberFormat="1" applyFont="1" applyFill="1" applyBorder="1"/>
    <xf numFmtId="167" fontId="66" fillId="0" borderId="0" xfId="0" applyFont="1"/>
    <xf numFmtId="167" fontId="37" fillId="33" borderId="19" xfId="3" applyNumberFormat="1" applyFont="1" applyBorder="1" applyProtection="1"/>
    <xf numFmtId="167" fontId="39" fillId="0" borderId="21" xfId="0" applyFont="1" applyBorder="1"/>
    <xf numFmtId="180" fontId="45" fillId="0" borderId="14" xfId="0" applyNumberFormat="1" applyFont="1" applyBorder="1"/>
    <xf numFmtId="173" fontId="35" fillId="34" borderId="1" xfId="0" applyNumberFormat="1" applyFont="1" applyFill="1" applyBorder="1"/>
    <xf numFmtId="167" fontId="33" fillId="0" borderId="0" xfId="0" applyFont="1"/>
    <xf numFmtId="167" fontId="37" fillId="33" borderId="1" xfId="3" applyNumberFormat="1" applyFont="1" applyAlignment="1">
      <alignment horizontal="center"/>
    </xf>
    <xf numFmtId="167" fontId="39" fillId="38" borderId="20" xfId="0" applyFont="1" applyFill="1" applyBorder="1"/>
    <xf numFmtId="167" fontId="33" fillId="34" borderId="20" xfId="0" applyFont="1" applyFill="1" applyBorder="1"/>
    <xf numFmtId="167" fontId="33" fillId="34" borderId="15" xfId="0" applyFont="1" applyFill="1" applyBorder="1"/>
    <xf numFmtId="167" fontId="33" fillId="34" borderId="16" xfId="0" applyFont="1" applyFill="1" applyBorder="1"/>
    <xf numFmtId="10" fontId="35" fillId="0" borderId="0" xfId="0" applyNumberFormat="1" applyFont="1"/>
    <xf numFmtId="176" fontId="37" fillId="0" borderId="15" xfId="3" applyNumberFormat="1" applyFont="1" applyFill="1" applyBorder="1" applyProtection="1"/>
    <xf numFmtId="172" fontId="37" fillId="0" borderId="15" xfId="3" applyNumberFormat="1" applyFont="1" applyFill="1" applyBorder="1" applyProtection="1"/>
    <xf numFmtId="176" fontId="35" fillId="0" borderId="0" xfId="0" applyNumberFormat="1" applyFont="1"/>
    <xf numFmtId="167" fontId="39" fillId="0" borderId="0" xfId="0" applyFont="1" applyAlignment="1">
      <alignment horizontal="center"/>
    </xf>
    <xf numFmtId="167" fontId="45" fillId="0" borderId="0" xfId="0" applyFont="1" applyAlignment="1">
      <alignment horizontal="center"/>
    </xf>
    <xf numFmtId="169" fontId="56" fillId="0" borderId="0" xfId="3" applyNumberFormat="1" applyFont="1" applyFill="1" applyBorder="1"/>
    <xf numFmtId="169" fontId="39" fillId="0" borderId="0" xfId="4" applyFont="1" applyFill="1" applyBorder="1"/>
    <xf numFmtId="167" fontId="1" fillId="0" borderId="0" xfId="0" applyFont="1"/>
    <xf numFmtId="166" fontId="1" fillId="0" borderId="0" xfId="57" applyFont="1" applyBorder="1"/>
    <xf numFmtId="166" fontId="1" fillId="0" borderId="0" xfId="57" applyFont="1"/>
    <xf numFmtId="169" fontId="67" fillId="33" borderId="1" xfId="3" applyNumberFormat="1" applyFont="1"/>
    <xf numFmtId="177" fontId="67" fillId="33" borderId="1" xfId="3" applyNumberFormat="1" applyFont="1"/>
    <xf numFmtId="167" fontId="67" fillId="33" borderId="1" xfId="3" applyNumberFormat="1" applyFont="1"/>
    <xf numFmtId="37" fontId="33" fillId="34" borderId="0" xfId="52" applyNumberFormat="1" applyFont="1" applyFill="1" applyBorder="1"/>
    <xf numFmtId="166" fontId="33" fillId="34" borderId="0" xfId="52" applyNumberFormat="1" applyFont="1" applyFill="1" applyBorder="1"/>
    <xf numFmtId="174" fontId="45" fillId="0" borderId="13" xfId="0" applyNumberFormat="1" applyFont="1" applyBorder="1"/>
    <xf numFmtId="39" fontId="38" fillId="0" borderId="0" xfId="57" applyNumberFormat="1" applyFont="1" applyBorder="1"/>
    <xf numFmtId="39" fontId="38" fillId="0" borderId="18" xfId="57" applyNumberFormat="1" applyFont="1" applyBorder="1"/>
    <xf numFmtId="166" fontId="38" fillId="0" borderId="0" xfId="57" applyFont="1" applyFill="1" applyBorder="1"/>
    <xf numFmtId="0" fontId="33" fillId="34" borderId="0" xfId="52" applyNumberFormat="1" applyFont="1" applyFill="1" applyBorder="1" applyAlignment="1">
      <alignment horizontal="right" vertical="center"/>
    </xf>
    <xf numFmtId="166" fontId="37" fillId="0" borderId="0" xfId="0" applyNumberFormat="1" applyFont="1"/>
    <xf numFmtId="166" fontId="37" fillId="0" borderId="18" xfId="0" applyNumberFormat="1" applyFont="1" applyBorder="1"/>
    <xf numFmtId="166" fontId="37" fillId="0" borderId="0" xfId="57" applyFont="1" applyFill="1"/>
    <xf numFmtId="166" fontId="37" fillId="0" borderId="18" xfId="57" applyFont="1" applyFill="1" applyBorder="1"/>
    <xf numFmtId="166" fontId="1" fillId="0" borderId="0" xfId="57" applyFont="1" applyFill="1"/>
    <xf numFmtId="9" fontId="39" fillId="0" borderId="0" xfId="0" applyNumberFormat="1" applyFont="1"/>
    <xf numFmtId="9" fontId="30" fillId="0" borderId="18" xfId="0" applyNumberFormat="1" applyFont="1" applyBorder="1"/>
    <xf numFmtId="178" fontId="33" fillId="34" borderId="0" xfId="0" applyNumberFormat="1" applyFont="1" applyFill="1"/>
    <xf numFmtId="175" fontId="33" fillId="0" borderId="0" xfId="52" applyNumberFormat="1" applyFont="1" applyFill="1" applyBorder="1" applyAlignment="1">
      <alignment horizontal="right" vertical="center"/>
    </xf>
    <xf numFmtId="167" fontId="45" fillId="35" borderId="0" xfId="0" applyFont="1" applyFill="1"/>
    <xf numFmtId="175" fontId="33" fillId="0" borderId="0" xfId="0" applyNumberFormat="1" applyFont="1"/>
    <xf numFmtId="167" fontId="56" fillId="0" borderId="0" xfId="3" applyNumberFormat="1" applyFont="1" applyFill="1" applyBorder="1"/>
    <xf numFmtId="175" fontId="59" fillId="0" borderId="0" xfId="3" applyNumberFormat="1" applyFont="1" applyFill="1" applyBorder="1"/>
    <xf numFmtId="0" fontId="59" fillId="0" borderId="0" xfId="3" applyNumberFormat="1" applyFont="1" applyFill="1" applyBorder="1"/>
    <xf numFmtId="177" fontId="56" fillId="0" borderId="0" xfId="3" applyNumberFormat="1" applyFont="1" applyFill="1" applyBorder="1"/>
    <xf numFmtId="173" fontId="56" fillId="0" borderId="0" xfId="0" applyNumberFormat="1" applyFont="1"/>
    <xf numFmtId="167" fontId="57" fillId="0" borderId="0" xfId="0" applyFont="1"/>
    <xf numFmtId="173" fontId="56" fillId="40" borderId="1" xfId="0" applyNumberFormat="1" applyFont="1" applyFill="1" applyBorder="1"/>
    <xf numFmtId="0" fontId="33" fillId="0" borderId="0" xfId="0" applyNumberFormat="1" applyFont="1"/>
    <xf numFmtId="167" fontId="50" fillId="0" borderId="0" xfId="0" applyFont="1"/>
    <xf numFmtId="167" fontId="30" fillId="0" borderId="0" xfId="0" applyFont="1"/>
    <xf numFmtId="0" fontId="33" fillId="0" borderId="0" xfId="52" applyNumberFormat="1" applyFont="1" applyFill="1" applyBorder="1" applyAlignment="1">
      <alignment horizontal="right" vertical="center"/>
    </xf>
    <xf numFmtId="166" fontId="1" fillId="0" borderId="0" xfId="57" applyFont="1" applyFill="1" applyBorder="1"/>
    <xf numFmtId="169" fontId="67" fillId="0" borderId="0" xfId="3" applyNumberFormat="1" applyFont="1" applyFill="1" applyBorder="1"/>
    <xf numFmtId="177" fontId="67" fillId="0" borderId="0" xfId="3" applyNumberFormat="1" applyFont="1" applyFill="1" applyBorder="1"/>
    <xf numFmtId="167" fontId="67" fillId="0" borderId="0" xfId="3" applyNumberFormat="1" applyFont="1" applyFill="1" applyBorder="1"/>
    <xf numFmtId="174" fontId="45" fillId="0" borderId="0" xfId="0" applyNumberFormat="1" applyFont="1"/>
    <xf numFmtId="0" fontId="33" fillId="0" borderId="0" xfId="0" applyNumberFormat="1" applyFont="1" applyAlignment="1">
      <alignment horizontal="right"/>
    </xf>
    <xf numFmtId="179" fontId="39" fillId="0" borderId="0" xfId="4" applyNumberFormat="1" applyFont="1" applyFill="1" applyBorder="1"/>
    <xf numFmtId="167" fontId="39" fillId="0" borderId="0" xfId="4" applyNumberFormat="1" applyFont="1" applyFill="1" applyBorder="1"/>
    <xf numFmtId="166" fontId="60" fillId="0" borderId="0" xfId="59" applyFont="1" applyProtection="1"/>
    <xf numFmtId="179" fontId="37" fillId="0" borderId="18" xfId="0" applyNumberFormat="1" applyFont="1" applyBorder="1"/>
    <xf numFmtId="166" fontId="1" fillId="0" borderId="17" xfId="57" applyFont="1" applyFill="1" applyBorder="1"/>
    <xf numFmtId="39" fontId="39" fillId="0" borderId="1" xfId="0" applyNumberFormat="1" applyFont="1" applyBorder="1"/>
    <xf numFmtId="2" fontId="39" fillId="36" borderId="19" xfId="0" applyNumberFormat="1" applyFont="1" applyFill="1" applyBorder="1"/>
    <xf numFmtId="169" fontId="56" fillId="36" borderId="1" xfId="3" applyNumberFormat="1" applyFont="1" applyFill="1"/>
    <xf numFmtId="10" fontId="39" fillId="0" borderId="0" xfId="4" applyNumberFormat="1" applyFont="1" applyFill="1" applyBorder="1" applyAlignment="1" applyProtection="1">
      <alignment horizontal="right"/>
    </xf>
    <xf numFmtId="181" fontId="37" fillId="33" borderId="1" xfId="3" applyNumberFormat="1" applyFont="1" applyAlignment="1">
      <alignment horizontal="center"/>
    </xf>
    <xf numFmtId="10" fontId="68" fillId="33" borderId="1" xfId="3" applyNumberFormat="1" applyFont="1" applyAlignment="1">
      <alignment horizontal="center"/>
    </xf>
    <xf numFmtId="176" fontId="39" fillId="0" borderId="0" xfId="0" applyNumberFormat="1" applyFont="1" applyAlignment="1">
      <alignment horizontal="center"/>
    </xf>
    <xf numFmtId="10" fontId="39" fillId="0" borderId="0" xfId="0" applyNumberFormat="1" applyFont="1" applyAlignment="1">
      <alignment horizontal="center"/>
    </xf>
    <xf numFmtId="5" fontId="39" fillId="0" borderId="0" xfId="0" applyNumberFormat="1" applyFont="1" applyAlignment="1">
      <alignment horizontal="center"/>
    </xf>
    <xf numFmtId="173" fontId="39" fillId="0" borderId="0" xfId="0" applyNumberFormat="1" applyFont="1" applyAlignment="1">
      <alignment horizontal="center"/>
    </xf>
    <xf numFmtId="182" fontId="65" fillId="33" borderId="14" xfId="3" applyNumberFormat="1" applyFont="1" applyBorder="1" applyAlignment="1">
      <alignment horizontal="center"/>
    </xf>
    <xf numFmtId="182" fontId="65" fillId="33" borderId="1" xfId="3" applyNumberFormat="1" applyFont="1" applyAlignment="1">
      <alignment horizontal="center"/>
    </xf>
    <xf numFmtId="1" fontId="28" fillId="0" borderId="0" xfId="0" applyNumberFormat="1" applyFont="1"/>
    <xf numFmtId="166" fontId="5" fillId="0" borderId="0" xfId="0" applyNumberFormat="1" applyFont="1" applyAlignment="1">
      <alignment horizontal="right"/>
    </xf>
    <xf numFmtId="173" fontId="28" fillId="0" borderId="0" xfId="0" applyNumberFormat="1" applyFont="1"/>
    <xf numFmtId="175" fontId="5" fillId="0" borderId="0" xfId="0" applyNumberFormat="1" applyFont="1"/>
    <xf numFmtId="169" fontId="37" fillId="0" borderId="0" xfId="0" applyNumberFormat="1" applyFont="1"/>
    <xf numFmtId="1" fontId="33" fillId="34" borderId="0" xfId="0" applyNumberFormat="1" applyFont="1" applyFill="1"/>
    <xf numFmtId="169" fontId="39" fillId="0" borderId="0" xfId="4" applyFont="1" applyBorder="1"/>
    <xf numFmtId="167" fontId="39" fillId="0" borderId="0" xfId="4" applyNumberFormat="1" applyFont="1" applyBorder="1"/>
    <xf numFmtId="166" fontId="39" fillId="0" borderId="0" xfId="59" applyFont="1" applyAlignment="1" applyProtection="1">
      <alignment horizontal="centerContinuous"/>
    </xf>
    <xf numFmtId="166" fontId="39" fillId="0" borderId="0" xfId="59" applyFont="1" applyAlignment="1" applyProtection="1">
      <alignment horizontal="center"/>
    </xf>
    <xf numFmtId="10" fontId="39" fillId="0" borderId="0" xfId="59" applyNumberFormat="1" applyFont="1" applyAlignment="1" applyProtection="1">
      <alignment horizontal="center"/>
    </xf>
    <xf numFmtId="10" fontId="39" fillId="0" borderId="0" xfId="59" applyNumberFormat="1" applyFont="1" applyProtection="1"/>
    <xf numFmtId="176" fontId="39" fillId="0" borderId="0" xfId="59" applyNumberFormat="1" applyFont="1" applyAlignment="1" applyProtection="1">
      <alignment horizontal="right"/>
    </xf>
    <xf numFmtId="167" fontId="35" fillId="0" borderId="0" xfId="0" applyFont="1" applyAlignment="1">
      <alignment horizontal="center"/>
    </xf>
    <xf numFmtId="10" fontId="35" fillId="0" borderId="0" xfId="0" applyNumberFormat="1" applyFont="1" applyAlignment="1">
      <alignment horizontal="center"/>
    </xf>
    <xf numFmtId="176" fontId="35" fillId="0" borderId="0" xfId="59" applyNumberFormat="1" applyFont="1" applyAlignment="1" applyProtection="1">
      <alignment horizontal="right"/>
    </xf>
    <xf numFmtId="10" fontId="39" fillId="0" borderId="0" xfId="59" applyNumberFormat="1" applyFont="1" applyAlignment="1" applyProtection="1">
      <alignment horizontal="right"/>
    </xf>
    <xf numFmtId="172" fontId="39" fillId="0" borderId="0" xfId="59" applyNumberFormat="1" applyFont="1" applyProtection="1"/>
    <xf numFmtId="40" fontId="39" fillId="0" borderId="0" xfId="59" applyNumberFormat="1" applyFont="1" applyProtection="1"/>
    <xf numFmtId="40" fontId="45" fillId="0" borderId="0" xfId="59" applyNumberFormat="1" applyFont="1" applyProtection="1"/>
    <xf numFmtId="176" fontId="35" fillId="0" borderId="0" xfId="0" applyNumberFormat="1" applyFont="1" applyAlignment="1">
      <alignment horizontal="center"/>
    </xf>
    <xf numFmtId="180" fontId="35" fillId="0" borderId="0" xfId="0" applyNumberFormat="1" applyFont="1"/>
    <xf numFmtId="5" fontId="39" fillId="0" borderId="0" xfId="0" applyNumberFormat="1" applyFont="1"/>
    <xf numFmtId="1" fontId="33" fillId="34" borderId="0" xfId="52" applyNumberFormat="1" applyFont="1" applyFill="1" applyBorder="1" applyAlignment="1">
      <alignment horizontal="right" vertical="center"/>
    </xf>
    <xf numFmtId="167" fontId="69" fillId="0" borderId="0" xfId="0" applyFont="1"/>
    <xf numFmtId="167" fontId="57" fillId="40" borderId="1" xfId="0" applyFont="1" applyFill="1" applyBorder="1"/>
    <xf numFmtId="169" fontId="56" fillId="33" borderId="16" xfId="3" applyNumberFormat="1" applyFont="1" applyBorder="1"/>
    <xf numFmtId="167" fontId="39" fillId="36" borderId="23" xfId="0" applyFont="1" applyFill="1" applyBorder="1"/>
    <xf numFmtId="173" fontId="39" fillId="36" borderId="1" xfId="0" applyNumberFormat="1" applyFont="1" applyFill="1" applyBorder="1"/>
    <xf numFmtId="178" fontId="28" fillId="33" borderId="1" xfId="3" applyNumberFormat="1"/>
    <xf numFmtId="175" fontId="58" fillId="0" borderId="0" xfId="0" applyNumberFormat="1" applyFont="1"/>
    <xf numFmtId="166" fontId="33" fillId="34" borderId="0" xfId="54" applyNumberFormat="1" applyFont="1" applyFill="1" applyBorder="1"/>
    <xf numFmtId="1" fontId="33" fillId="35" borderId="0" xfId="0" applyNumberFormat="1" applyFont="1" applyFill="1"/>
    <xf numFmtId="1" fontId="33" fillId="35" borderId="0" xfId="4" applyNumberFormat="1" applyFont="1" applyFill="1"/>
    <xf numFmtId="1" fontId="33" fillId="35" borderId="0" xfId="0" applyNumberFormat="1" applyFont="1" applyFill="1" applyAlignment="1">
      <alignment horizontal="right"/>
    </xf>
    <xf numFmtId="2" fontId="39" fillId="0" borderId="0" xfId="0" applyNumberFormat="1" applyFont="1"/>
    <xf numFmtId="2" fontId="56" fillId="33" borderId="1" xfId="3" applyNumberFormat="1" applyFont="1"/>
    <xf numFmtId="2" fontId="56" fillId="0" borderId="0" xfId="3" applyNumberFormat="1" applyFont="1" applyFill="1" applyBorder="1"/>
    <xf numFmtId="2" fontId="45" fillId="0" borderId="0" xfId="0" applyNumberFormat="1" applyFont="1"/>
    <xf numFmtId="2" fontId="39" fillId="0" borderId="18" xfId="0" applyNumberFormat="1" applyFont="1" applyBorder="1"/>
    <xf numFmtId="2" fontId="67" fillId="33" borderId="1" xfId="3" applyNumberFormat="1" applyFont="1"/>
    <xf numFmtId="2" fontId="67" fillId="0" borderId="0" xfId="3" applyNumberFormat="1" applyFont="1" applyFill="1" applyBorder="1"/>
    <xf numFmtId="2" fontId="38" fillId="0" borderId="0" xfId="57" applyNumberFormat="1" applyFont="1" applyBorder="1"/>
    <xf numFmtId="2" fontId="38" fillId="0" borderId="18" xfId="57" applyNumberFormat="1" applyFont="1" applyBorder="1"/>
    <xf numFmtId="9" fontId="30" fillId="0" borderId="0" xfId="0" applyNumberFormat="1" applyFont="1"/>
    <xf numFmtId="2" fontId="38" fillId="0" borderId="15" xfId="57" applyNumberFormat="1" applyFont="1" applyBorder="1"/>
    <xf numFmtId="3" fontId="37" fillId="0" borderId="0" xfId="0" applyNumberFormat="1" applyFont="1"/>
    <xf numFmtId="3" fontId="38" fillId="0" borderId="0" xfId="57" applyNumberFormat="1" applyFont="1" applyBorder="1"/>
    <xf numFmtId="3" fontId="38" fillId="0" borderId="18" xfId="57" applyNumberFormat="1" applyFont="1" applyBorder="1"/>
    <xf numFmtId="3" fontId="45" fillId="0" borderId="13" xfId="0" applyNumberFormat="1" applyFont="1" applyBorder="1"/>
    <xf numFmtId="3" fontId="45" fillId="0" borderId="0" xfId="0" applyNumberFormat="1" applyFont="1"/>
    <xf numFmtId="3" fontId="45" fillId="0" borderId="16" xfId="0" applyNumberFormat="1" applyFont="1" applyBorder="1"/>
    <xf numFmtId="3" fontId="38" fillId="0" borderId="0" xfId="58" applyNumberFormat="1" applyFont="1" applyBorder="1"/>
    <xf numFmtId="3" fontId="38" fillId="0" borderId="18" xfId="58" applyNumberFormat="1" applyFont="1" applyBorder="1"/>
    <xf numFmtId="3" fontId="37" fillId="0" borderId="17" xfId="0" applyNumberFormat="1" applyFont="1" applyBorder="1"/>
    <xf numFmtId="3" fontId="39" fillId="0" borderId="0" xfId="0" applyNumberFormat="1" applyFont="1"/>
    <xf numFmtId="3" fontId="39" fillId="0" borderId="16" xfId="0" applyNumberFormat="1" applyFont="1" applyBorder="1"/>
    <xf numFmtId="3" fontId="55" fillId="0" borderId="0" xfId="0" applyNumberFormat="1" applyFont="1"/>
    <xf numFmtId="3" fontId="55" fillId="0" borderId="18" xfId="0" applyNumberFormat="1" applyFont="1" applyBorder="1"/>
    <xf numFmtId="3" fontId="38" fillId="0" borderId="0" xfId="57" applyNumberFormat="1" applyFont="1"/>
    <xf numFmtId="3" fontId="38" fillId="0" borderId="0" xfId="57" applyNumberFormat="1" applyFont="1" applyFill="1"/>
    <xf numFmtId="3" fontId="38" fillId="0" borderId="18" xfId="57" applyNumberFormat="1" applyFont="1" applyFill="1" applyBorder="1"/>
    <xf numFmtId="3" fontId="39" fillId="0" borderId="24" xfId="0" applyNumberFormat="1" applyFont="1" applyBorder="1"/>
    <xf numFmtId="3" fontId="39" fillId="0" borderId="17" xfId="0" applyNumberFormat="1" applyFont="1" applyBorder="1"/>
    <xf numFmtId="3" fontId="45" fillId="0" borderId="15" xfId="0" applyNumberFormat="1" applyFont="1" applyBorder="1"/>
    <xf numFmtId="166" fontId="39" fillId="0" borderId="0" xfId="57" applyFont="1" applyFill="1"/>
    <xf numFmtId="187" fontId="39" fillId="0" borderId="0" xfId="59" applyNumberFormat="1" applyFont="1" applyAlignment="1" applyProtection="1">
      <alignment horizontal="center"/>
    </xf>
    <xf numFmtId="187" fontId="39" fillId="0" borderId="0" xfId="0" applyNumberFormat="1" applyFont="1" applyAlignment="1">
      <alignment horizontal="center"/>
    </xf>
    <xf numFmtId="180" fontId="45" fillId="0" borderId="0" xfId="0" applyNumberFormat="1" applyFont="1" applyAlignment="1">
      <alignment horizontal="center"/>
    </xf>
    <xf numFmtId="187" fontId="45" fillId="0" borderId="0" xfId="59" applyNumberFormat="1" applyFont="1" applyAlignment="1" applyProtection="1">
      <alignment horizontal="center"/>
    </xf>
    <xf numFmtId="187" fontId="45" fillId="0" borderId="0" xfId="4" applyNumberFormat="1" applyFont="1" applyFill="1" applyBorder="1" applyAlignment="1" applyProtection="1">
      <alignment horizontal="center"/>
    </xf>
    <xf numFmtId="187" fontId="45" fillId="0" borderId="0" xfId="0" applyNumberFormat="1" applyFont="1" applyAlignment="1">
      <alignment horizontal="center"/>
    </xf>
    <xf numFmtId="176" fontId="39" fillId="0" borderId="0" xfId="59" applyNumberFormat="1" applyFont="1" applyAlignment="1" applyProtection="1">
      <alignment horizontal="center"/>
    </xf>
    <xf numFmtId="167" fontId="33" fillId="0" borderId="0" xfId="0" applyFont="1" applyFill="1" applyBorder="1"/>
    <xf numFmtId="167" fontId="39" fillId="0" borderId="0" xfId="0" applyFont="1" applyFill="1" applyBorder="1"/>
    <xf numFmtId="167" fontId="35" fillId="0" borderId="0" xfId="0" applyFont="1" applyFill="1" applyBorder="1"/>
    <xf numFmtId="7" fontId="45" fillId="0" borderId="0" xfId="0" applyNumberFormat="1" applyFont="1" applyFill="1" applyBorder="1"/>
    <xf numFmtId="180" fontId="45" fillId="0" borderId="0" xfId="0" applyNumberFormat="1" applyFont="1" applyFill="1" applyBorder="1"/>
  </cellXfs>
  <cellStyles count="68">
    <cellStyle name="20% - Accent1" xfId="23" builtinId="30" hidden="1"/>
    <cellStyle name="20% - Accent2" xfId="27" builtinId="34" hidden="1"/>
    <cellStyle name="20% - Accent3" xfId="31" builtinId="38" hidden="1"/>
    <cellStyle name="20% - Accent4" xfId="35" builtinId="42" hidden="1"/>
    <cellStyle name="20% - Accent5" xfId="39" builtinId="46" hidden="1"/>
    <cellStyle name="20% - Accent6" xfId="43" builtinId="50" hidden="1"/>
    <cellStyle name="40% - Accent1" xfId="24" builtinId="31" hidden="1"/>
    <cellStyle name="40% - Accent2" xfId="28" builtinId="35" hidden="1"/>
    <cellStyle name="40% - Accent3" xfId="32" builtinId="39" hidden="1"/>
    <cellStyle name="40% - Accent4" xfId="36" builtinId="43" hidden="1"/>
    <cellStyle name="40% - Accent5" xfId="40" builtinId="47" hidden="1"/>
    <cellStyle name="40% - Accent6" xfId="44" builtinId="51" hidden="1"/>
    <cellStyle name="60% - Accent1" xfId="25" builtinId="32" hidden="1"/>
    <cellStyle name="60% - Accent2" xfId="29" builtinId="36" hidden="1"/>
    <cellStyle name="60% - Accent3" xfId="33" builtinId="40" hidden="1"/>
    <cellStyle name="60% - Accent4" xfId="37" builtinId="44" hidden="1"/>
    <cellStyle name="60% - Accent5" xfId="41" builtinId="48" hidden="1"/>
    <cellStyle name="60% - Accent6" xfId="45" builtinId="52" hidden="1"/>
    <cellStyle name="Accent1" xfId="22" builtinId="29" hidden="1"/>
    <cellStyle name="Accent2" xfId="26" builtinId="33" hidden="1"/>
    <cellStyle name="Accent3" xfId="30" builtinId="37" hidden="1"/>
    <cellStyle name="Accent4" xfId="34" builtinId="41" hidden="1"/>
    <cellStyle name="Accent5" xfId="38" builtinId="45" hidden="1"/>
    <cellStyle name="Accent6" xfId="42" builtinId="49" hidden="1"/>
    <cellStyle name="Bad" xfId="12" builtinId="27" hidden="1"/>
    <cellStyle name="blp_column_header" xfId="66" xr:uid="{AF54CA06-E9C5-47E9-94D2-0FADAEF0B6B2}"/>
    <cellStyle name="Blue" xfId="57" xr:uid="{00000000-0005-0000-0000-000019000000}"/>
    <cellStyle name="Blue 2" xfId="58" xr:uid="{00000000-0005-0000-0000-00001A000000}"/>
    <cellStyle name="Calculation" xfId="15" builtinId="22" hidden="1"/>
    <cellStyle name="Check Cell" xfId="17" builtinId="23" hidden="1"/>
    <cellStyle name="Comma" xfId="47" builtinId="3" hidden="1"/>
    <cellStyle name="Comma [0]" xfId="48" builtinId="6" hidden="1"/>
    <cellStyle name="Currency" xfId="49" builtinId="4" hidden="1"/>
    <cellStyle name="Currency [0]" xfId="50" builtinId="7" hidden="1"/>
    <cellStyle name="Date" xfId="1" xr:uid="{00000000-0005-0000-0000-000021000000}"/>
    <cellStyle name="Explanatory Text" xfId="20" builtinId="53" hidden="1"/>
    <cellStyle name="fa_column_header_bottom" xfId="67" xr:uid="{B37CB0A4-C947-4ACB-B9B9-C19627451DA0}"/>
    <cellStyle name="Followed Hyperlink" xfId="46" builtinId="9" hidden="1"/>
    <cellStyle name="Good" xfId="11" builtinId="26" hidden="1"/>
    <cellStyle name="Header" xfId="52" xr:uid="{00000000-0005-0000-0000-000025000000}"/>
    <cellStyle name="Heading 1" xfId="7" builtinId="16" hidden="1"/>
    <cellStyle name="Heading 2" xfId="8" builtinId="17" hidden="1"/>
    <cellStyle name="Heading 3" xfId="9" builtinId="18" hidden="1"/>
    <cellStyle name="Heading 4" xfId="10" builtinId="19" hidden="1"/>
    <cellStyle name="Historics" xfId="5" xr:uid="{00000000-0005-0000-0000-00002A000000}"/>
    <cellStyle name="Hyperlink" xfId="2" builtinId="8" hidden="1"/>
    <cellStyle name="Hyperlink 2" xfId="63" xr:uid="{57AD9CC5-9338-4D16-BF1A-884F881EA8CD}"/>
    <cellStyle name="Input" xfId="3" builtinId="20" customBuiltin="1"/>
    <cellStyle name="Input %" xfId="56" xr:uid="{00000000-0005-0000-0000-00002D000000}"/>
    <cellStyle name="Linked Cell" xfId="16" builtinId="24" hidden="1"/>
    <cellStyle name="Multiple" xfId="51" xr:uid="{00000000-0005-0000-0000-00002F000000}"/>
    <cellStyle name="Neutral" xfId="13" builtinId="28" hidden="1"/>
    <cellStyle name="Normal" xfId="0" builtinId="0" customBuiltin="1"/>
    <cellStyle name="Normal 2" xfId="59" xr:uid="{0A8E609E-3410-4D42-B3E5-0CEDA3329063}"/>
    <cellStyle name="Normal 2 2" xfId="64" xr:uid="{9D99E413-20CC-4F11-AA53-24332CDFCBF4}"/>
    <cellStyle name="Normal 3" xfId="61" xr:uid="{31E45258-C707-4FFF-AD35-8231101EDEE0}"/>
    <cellStyle name="Note" xfId="19" builtinId="10" hidden="1"/>
    <cellStyle name="Output" xfId="14" builtinId="21" hidden="1"/>
    <cellStyle name="Percent" xfId="4" builtinId="5" customBuiltin="1"/>
    <cellStyle name="Percent 2" xfId="62" xr:uid="{2050E5B5-C816-466F-AB53-D85F6FC7433A}"/>
    <cellStyle name="SubHeader" xfId="53" xr:uid="{00000000-0005-0000-0000-000035000000}"/>
    <cellStyle name="SubHeader2" xfId="54" xr:uid="{00000000-0005-0000-0000-000036000000}"/>
    <cellStyle name="SubHeader3" xfId="65" xr:uid="{E3F0A91E-F702-431E-964C-140D77ADB2F2}"/>
    <cellStyle name="Title" xfId="6" builtinId="15" hidden="1"/>
    <cellStyle name="Total" xfId="21" builtinId="25" hidden="1"/>
    <cellStyle name="Warning Text" xfId="18" builtinId="11" hidden="1"/>
    <cellStyle name="xGuides" xfId="60" xr:uid="{84689593-CF67-4082-A4B0-622C31D0642E}"/>
    <cellStyle name="YesNo" xfId="55" xr:uid="{00000000-0005-0000-0000-00003A000000}"/>
  </cellStyles>
  <dxfs count="5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E00"/>
      <rgbColor rgb="00000080"/>
      <rgbColor rgb="00808000"/>
      <rgbColor rgb="00800080"/>
      <rgbColor rgb="00008080"/>
      <rgbColor rgb="00C0C0C0"/>
      <rgbColor rgb="00808080"/>
      <rgbColor rgb="00EAFFDF"/>
      <rgbColor rgb="00993366"/>
      <rgbColor rgb="00FFFFCB"/>
      <rgbColor rgb="00E3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3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44546A"/>
      <color rgb="FFEA4335"/>
      <color rgb="FF5F6368"/>
      <color rgb="FF34A853"/>
      <color rgb="FF4472C4"/>
      <color rgb="FFFBBC05"/>
      <color rgb="FF0000FF"/>
      <color rgb="FFFF8585"/>
      <color rgb="FF4285F4"/>
      <color rgb="FFB4DE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and\Downloads\Lululemon%20DCF%20model%20solution%20std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S"/>
      <sheetName val="Inputs"/>
      <sheetName val="Model"/>
      <sheetName val="DCF"/>
      <sheetName val="Presentation sheet"/>
    </sheetNames>
    <sheetDataSet>
      <sheetData sheetId="0" refreshError="1"/>
      <sheetData sheetId="1" refreshError="1"/>
      <sheetData sheetId="2" refreshError="1"/>
      <sheetData sheetId="3">
        <row r="98">
          <cell r="E98">
            <v>1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AMT Training">
      <a:dk1>
        <a:srgbClr val="000000"/>
      </a:dk1>
      <a:lt1>
        <a:sysClr val="window" lastClr="FFFFFF"/>
      </a:lt1>
      <a:dk2>
        <a:srgbClr val="46484C"/>
      </a:dk2>
      <a:lt2>
        <a:srgbClr val="65686D"/>
      </a:lt2>
      <a:accent1>
        <a:srgbClr val="AFD7FF"/>
      </a:accent1>
      <a:accent2>
        <a:srgbClr val="007BEA"/>
      </a:accent2>
      <a:accent3>
        <a:srgbClr val="64E8C8"/>
      </a:accent3>
      <a:accent4>
        <a:srgbClr val="6DB9FF"/>
      </a:accent4>
      <a:accent5>
        <a:srgbClr val="C5D2D5"/>
      </a:accent5>
      <a:accent6>
        <a:srgbClr val="FFFFA0"/>
      </a:accent6>
      <a:hlink>
        <a:srgbClr val="00B050"/>
      </a:hlink>
      <a:folHlink>
        <a:srgbClr val="D2001E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9"/>
  <sheetViews>
    <sheetView showGridLines="0" zoomScaleNormal="100" workbookViewId="0">
      <selection activeCell="A9" sqref="A9"/>
    </sheetView>
  </sheetViews>
  <sheetFormatPr defaultColWidth="9.140625" defaultRowHeight="15" x14ac:dyDescent="0.25"/>
  <cols>
    <col min="1" max="1" width="4.28515625" style="4" bestFit="1" customWidth="1"/>
    <col min="2" max="2" width="22.85546875" style="4" customWidth="1"/>
    <col min="3" max="3" width="18.140625" style="4" customWidth="1"/>
    <col min="4" max="4" width="17.42578125" style="4" customWidth="1"/>
    <col min="5" max="5" width="18.7109375" style="4" customWidth="1"/>
    <col min="6" max="6" width="16.42578125" style="4" customWidth="1"/>
    <col min="7" max="7" width="13.42578125" style="4" customWidth="1"/>
    <col min="8" max="8" width="18.85546875" style="4" bestFit="1" customWidth="1"/>
    <col min="9" max="10" width="15.7109375" style="4" customWidth="1"/>
    <col min="11" max="12" width="17.42578125" style="4" bestFit="1" customWidth="1"/>
    <col min="13" max="14" width="13.42578125" style="4" customWidth="1"/>
    <col min="15" max="15" width="13.140625" style="4" customWidth="1"/>
    <col min="16" max="16" width="12.7109375" style="4" customWidth="1"/>
    <col min="17" max="17" width="13.140625" style="4" customWidth="1"/>
    <col min="18" max="16384" width="9.140625" style="4"/>
  </cols>
  <sheetData>
    <row r="1" spans="1:15" s="46" customFormat="1" ht="19.5" x14ac:dyDescent="0.3">
      <c r="A1" s="244" t="str">
        <f>CoName</f>
        <v>Wingstop Inc</v>
      </c>
      <c r="B1" s="2"/>
      <c r="C1" s="2"/>
      <c r="D1" s="143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</row>
    <row r="2" spans="1:15" s="15" customFormat="1" x14ac:dyDescent="0.25">
      <c r="A2" s="61" t="s">
        <v>182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</row>
    <row r="4" spans="1:15" x14ac:dyDescent="0.25">
      <c r="B4" s="4" t="s">
        <v>3</v>
      </c>
      <c r="C4" s="48" t="s">
        <v>186</v>
      </c>
      <c r="E4" s="4" t="s">
        <v>168</v>
      </c>
      <c r="F4" s="212">
        <v>257.57</v>
      </c>
      <c r="H4" s="159" t="s">
        <v>183</v>
      </c>
      <c r="I4" s="158" t="s">
        <v>180</v>
      </c>
      <c r="J4" s="158" t="s">
        <v>181</v>
      </c>
      <c r="K4" s="158" t="s">
        <v>199</v>
      </c>
    </row>
    <row r="5" spans="1:15" x14ac:dyDescent="0.25">
      <c r="B5" s="4" t="s">
        <v>4</v>
      </c>
      <c r="C5" s="49">
        <v>247.43</v>
      </c>
      <c r="E5" s="4" t="s">
        <v>173</v>
      </c>
      <c r="F5" s="149">
        <v>27786.853999999999</v>
      </c>
      <c r="H5" s="158" t="s">
        <v>175</v>
      </c>
      <c r="I5" s="219">
        <f>'DCF Model'!C18</f>
        <v>143.98148860873994</v>
      </c>
      <c r="J5" s="218">
        <f>'DCF Model'!G18</f>
        <v>214.06157654817366</v>
      </c>
      <c r="K5" s="218">
        <f>AVERAGE(I5:J5)</f>
        <v>179.0215325784568</v>
      </c>
    </row>
    <row r="6" spans="1:15" x14ac:dyDescent="0.25">
      <c r="B6" s="4" t="s">
        <v>5</v>
      </c>
      <c r="C6" s="48" t="s">
        <v>9</v>
      </c>
      <c r="E6" s="4" t="s">
        <v>103</v>
      </c>
      <c r="F6" s="149">
        <f>F5*F4</f>
        <v>7157059.9847799996</v>
      </c>
      <c r="H6" s="158" t="s">
        <v>176</v>
      </c>
      <c r="I6" s="213">
        <f>I5/$F$4-1</f>
        <v>-0.44100054894304486</v>
      </c>
      <c r="J6" s="213">
        <f>J5/$F$4-1</f>
        <v>-0.16891883158685539</v>
      </c>
      <c r="K6" s="213">
        <f>K5/$F$4-1</f>
        <v>-0.30495969026495007</v>
      </c>
    </row>
    <row r="7" spans="1:15" x14ac:dyDescent="0.25">
      <c r="B7" s="4" t="s">
        <v>6</v>
      </c>
      <c r="C7" s="48" t="s">
        <v>8</v>
      </c>
      <c r="E7" s="4" t="s">
        <v>174</v>
      </c>
      <c r="F7" s="48">
        <f>237640+25994+22476</f>
        <v>286110</v>
      </c>
    </row>
    <row r="8" spans="1:15" x14ac:dyDescent="0.25">
      <c r="B8" s="4" t="s">
        <v>2</v>
      </c>
      <c r="C8" s="48" t="s">
        <v>86</v>
      </c>
      <c r="E8" s="4" t="s">
        <v>145</v>
      </c>
      <c r="F8" s="48">
        <f>1208358+58318</f>
        <v>1266676</v>
      </c>
    </row>
    <row r="9" spans="1:15" x14ac:dyDescent="0.25">
      <c r="B9" s="4" t="s">
        <v>7</v>
      </c>
      <c r="C9" s="48">
        <v>0</v>
      </c>
      <c r="E9" s="4" t="s">
        <v>117</v>
      </c>
      <c r="F9" s="48">
        <f>F6-F7+F8</f>
        <v>8137625.9847799996</v>
      </c>
    </row>
  </sheetData>
  <pageMargins left="0.74803149606299213" right="0.74803149606299213" top="0.98425196850393704" bottom="0.98425196850393704" header="0.51181102362204722" footer="0.51181102362204722"/>
  <pageSetup paperSize="9" scale="63" fitToHeight="4" orientation="landscape" horizontalDpi="4294967292" r:id="rId1"/>
  <headerFooter alignWithMargins="0">
    <oddHeader>&amp;L&amp;F &amp;A</oddHeader>
    <oddFooter>&amp;L© Adkins Matchett &amp; Toy 2017&amp;R &amp;P of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4D903-117B-4DF0-8D7B-7A5309212F7B}">
  <dimension ref="A1:M2"/>
  <sheetViews>
    <sheetView showGridLines="0" workbookViewId="0">
      <selection activeCell="G52" sqref="G52"/>
    </sheetView>
  </sheetViews>
  <sheetFormatPr defaultColWidth="11.7109375" defaultRowHeight="15" x14ac:dyDescent="0.25"/>
  <cols>
    <col min="1" max="2" width="11.7109375" style="4" customWidth="1"/>
    <col min="3" max="16384" width="11.7109375" style="4"/>
  </cols>
  <sheetData>
    <row r="1" spans="1:13" ht="19.5" x14ac:dyDescent="0.3">
      <c r="A1" s="244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</row>
    <row r="2" spans="1:13" x14ac:dyDescent="0.25">
      <c r="A2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93EAE-403E-4C0C-9BD0-952BD6AF5DF0}">
  <sheetPr codeName="Sheet6"/>
  <dimension ref="A1:T59"/>
  <sheetViews>
    <sheetView showGridLines="0" zoomScaleNormal="100" workbookViewId="0">
      <selection activeCell="D4" sqref="D4"/>
    </sheetView>
  </sheetViews>
  <sheetFormatPr defaultColWidth="9" defaultRowHeight="15" x14ac:dyDescent="0.25"/>
  <cols>
    <col min="1" max="1" width="2.28515625" style="4" customWidth="1"/>
    <col min="2" max="2" width="36.42578125" style="4" bestFit="1" customWidth="1"/>
    <col min="3" max="10" width="11.7109375" style="4" customWidth="1"/>
    <col min="11" max="11" width="11.42578125" style="4" customWidth="1"/>
    <col min="12" max="12" width="21.42578125" style="4" bestFit="1" customWidth="1"/>
    <col min="13" max="20" width="11.42578125" style="4" customWidth="1"/>
    <col min="21" max="16384" width="9" style="4"/>
  </cols>
  <sheetData>
    <row r="1" spans="1:20" ht="19.5" x14ac:dyDescent="0.3">
      <c r="A1" s="244" t="str">
        <f>CoName</f>
        <v>Wingstop Inc</v>
      </c>
      <c r="B1" s="3"/>
      <c r="C1" s="38" t="s">
        <v>0</v>
      </c>
      <c r="D1" s="38" t="s">
        <v>0</v>
      </c>
      <c r="E1" s="38" t="s">
        <v>0</v>
      </c>
      <c r="F1" s="38" t="s">
        <v>1</v>
      </c>
      <c r="G1" s="38" t="s">
        <v>1</v>
      </c>
      <c r="H1" s="38" t="s">
        <v>1</v>
      </c>
      <c r="I1" s="38" t="s">
        <v>1</v>
      </c>
      <c r="J1" s="38" t="s">
        <v>1</v>
      </c>
      <c r="K1" s="38"/>
      <c r="L1" s="38"/>
    </row>
    <row r="2" spans="1:20" x14ac:dyDescent="0.25">
      <c r="A2" s="60" t="s">
        <v>125</v>
      </c>
      <c r="B2" s="252" t="s">
        <v>126</v>
      </c>
      <c r="C2" s="252">
        <v>2022</v>
      </c>
      <c r="D2" s="252">
        <f>C2+1</f>
        <v>2023</v>
      </c>
      <c r="E2" s="252">
        <f t="shared" ref="E2:J2" si="0">D2+1</f>
        <v>2024</v>
      </c>
      <c r="F2" s="252">
        <f t="shared" si="0"/>
        <v>2025</v>
      </c>
      <c r="G2" s="252">
        <f t="shared" si="0"/>
        <v>2026</v>
      </c>
      <c r="H2" s="252">
        <f t="shared" si="0"/>
        <v>2027</v>
      </c>
      <c r="I2" s="252">
        <f t="shared" si="0"/>
        <v>2028</v>
      </c>
      <c r="J2" s="252">
        <f t="shared" si="0"/>
        <v>2029</v>
      </c>
      <c r="K2" s="185"/>
      <c r="L2" s="185"/>
    </row>
    <row r="3" spans="1:20" x14ac:dyDescent="0.25">
      <c r="A3" s="82"/>
      <c r="B3" s="148"/>
      <c r="C3" s="185"/>
      <c r="D3" s="185"/>
      <c r="E3" s="185"/>
      <c r="F3" s="185"/>
      <c r="G3" s="185"/>
      <c r="H3" s="185"/>
      <c r="I3" s="185"/>
      <c r="J3" s="185"/>
      <c r="K3" s="185"/>
      <c r="L3" s="185"/>
    </row>
    <row r="4" spans="1:20" x14ac:dyDescent="0.25">
      <c r="B4" s="90" t="s">
        <v>132</v>
      </c>
      <c r="C4"/>
      <c r="D4" s="249">
        <v>1</v>
      </c>
      <c r="E4"/>
      <c r="F4"/>
      <c r="G4" s="85"/>
      <c r="H4" s="85"/>
      <c r="I4" s="85"/>
      <c r="J4" s="85"/>
      <c r="K4" s="85"/>
      <c r="M4" s="220"/>
      <c r="N4" s="221"/>
      <c r="O4" s="221"/>
    </row>
    <row r="5" spans="1:20" x14ac:dyDescent="0.25">
      <c r="B5" s="84"/>
      <c r="C5" s="86"/>
      <c r="D5" s="107" t="s">
        <v>127</v>
      </c>
      <c r="E5" s="87"/>
      <c r="K5" s="85"/>
      <c r="M5" s="222"/>
      <c r="N5" s="223"/>
      <c r="O5" s="223"/>
    </row>
    <row r="6" spans="1:20" x14ac:dyDescent="0.25">
      <c r="B6" s="88" t="s">
        <v>133</v>
      </c>
      <c r="D6" s="95">
        <v>0</v>
      </c>
      <c r="E6" s="89"/>
      <c r="F6" s="95">
        <v>0.13</v>
      </c>
      <c r="G6" s="95">
        <v>0.2</v>
      </c>
      <c r="H6" s="95">
        <v>0.25</v>
      </c>
      <c r="I6" s="95">
        <v>0.25</v>
      </c>
      <c r="J6" s="95">
        <v>0.25</v>
      </c>
      <c r="K6" s="160"/>
      <c r="M6" s="160"/>
      <c r="N6" s="224"/>
      <c r="O6" s="224"/>
      <c r="P6" s="224"/>
      <c r="Q6" s="224"/>
      <c r="R6" s="224"/>
      <c r="S6" s="224"/>
      <c r="T6" s="224"/>
    </row>
    <row r="7" spans="1:20" x14ac:dyDescent="0.25">
      <c r="B7" s="4" t="s">
        <v>129</v>
      </c>
      <c r="D7" s="95">
        <v>2.5000000000000001E-2</v>
      </c>
      <c r="E7" s="89"/>
      <c r="F7" s="95">
        <f>F6+$D$7</f>
        <v>0.155</v>
      </c>
      <c r="G7" s="95">
        <f t="shared" ref="G7:J7" si="1">G6+$D$7</f>
        <v>0.22500000000000001</v>
      </c>
      <c r="H7" s="95">
        <f t="shared" si="1"/>
        <v>0.27500000000000002</v>
      </c>
      <c r="I7" s="95">
        <f t="shared" si="1"/>
        <v>0.27500000000000002</v>
      </c>
      <c r="J7" s="95">
        <f t="shared" si="1"/>
        <v>0.27500000000000002</v>
      </c>
      <c r="K7" s="160"/>
      <c r="M7" s="160"/>
      <c r="N7" s="160"/>
      <c r="O7" s="160"/>
      <c r="P7" s="160"/>
      <c r="Q7" s="160"/>
      <c r="R7" s="160"/>
      <c r="S7" s="160"/>
      <c r="T7" s="160"/>
    </row>
    <row r="8" spans="1:20" x14ac:dyDescent="0.25">
      <c r="B8" s="4" t="s">
        <v>128</v>
      </c>
      <c r="D8" s="95">
        <v>-2.5000000000000001E-2</v>
      </c>
      <c r="E8" s="89"/>
      <c r="F8" s="95">
        <f>F6+$D$8</f>
        <v>0.10500000000000001</v>
      </c>
      <c r="G8" s="95">
        <f t="shared" ref="G8:J8" si="2">G6+$D$8</f>
        <v>0.17500000000000002</v>
      </c>
      <c r="H8" s="95">
        <f t="shared" si="2"/>
        <v>0.22500000000000001</v>
      </c>
      <c r="I8" s="95">
        <f t="shared" si="2"/>
        <v>0.22500000000000001</v>
      </c>
      <c r="J8" s="95">
        <f t="shared" si="2"/>
        <v>0.22500000000000001</v>
      </c>
      <c r="K8" s="160"/>
    </row>
    <row r="9" spans="1:20" x14ac:dyDescent="0.25">
      <c r="K9" s="29"/>
      <c r="L9" s="29"/>
      <c r="M9" s="160"/>
      <c r="N9" s="160"/>
    </row>
    <row r="10" spans="1:20" x14ac:dyDescent="0.25">
      <c r="B10" s="112" t="s">
        <v>150</v>
      </c>
      <c r="C10" s="180"/>
      <c r="D10" s="264">
        <f>IncState!D16/IncState!C16-1</f>
        <v>0.28679154511203531</v>
      </c>
      <c r="E10" s="181">
        <f>IncState!E16/IncState!D16-1</f>
        <v>0.36028735694645198</v>
      </c>
      <c r="F10" s="99">
        <f t="shared" ref="F10" si="3">CHOOSE(ScenarioREV,F6,F7,F8)</f>
        <v>0.13</v>
      </c>
      <c r="G10" s="99">
        <f t="shared" ref="G10:J10" si="4">CHOOSE(ScenarioREV,G6,G7,G8)</f>
        <v>0.2</v>
      </c>
      <c r="H10" s="99">
        <f t="shared" si="4"/>
        <v>0.25</v>
      </c>
      <c r="I10" s="99">
        <f t="shared" si="4"/>
        <v>0.25</v>
      </c>
      <c r="J10" s="99">
        <f t="shared" si="4"/>
        <v>0.25</v>
      </c>
      <c r="K10" s="28"/>
      <c r="L10" s="28"/>
      <c r="M10" s="160"/>
      <c r="N10" s="160"/>
    </row>
    <row r="11" spans="1:20" x14ac:dyDescent="0.25">
      <c r="B11" s="4" t="s">
        <v>134</v>
      </c>
      <c r="C11" s="8">
        <f>IncState!C17/IncState!C16</f>
        <v>0.17731825543114949</v>
      </c>
      <c r="D11" s="8">
        <f>IncState!D17/IncState!D16</f>
        <v>0.13182336894501745</v>
      </c>
      <c r="E11" s="8">
        <f>IncState!E17/IncState!E16</f>
        <v>0.14642213973317653</v>
      </c>
      <c r="F11" s="95">
        <f>E11-0.001</f>
        <v>0.14542213973317653</v>
      </c>
      <c r="G11" s="95">
        <f t="shared" ref="G11:J11" si="5">F11-0.001</f>
        <v>0.14442213973317652</v>
      </c>
      <c r="H11" s="95">
        <f t="shared" si="5"/>
        <v>0.14342213973317652</v>
      </c>
      <c r="I11" s="95">
        <f t="shared" si="5"/>
        <v>0.14242213973317652</v>
      </c>
      <c r="J11" s="95">
        <f t="shared" si="5"/>
        <v>0.14142213973317652</v>
      </c>
      <c r="K11" s="160"/>
      <c r="L11" s="160"/>
      <c r="M11" s="160"/>
      <c r="N11" s="160"/>
    </row>
    <row r="12" spans="1:20" x14ac:dyDescent="0.25">
      <c r="B12" s="4" t="s">
        <v>45</v>
      </c>
      <c r="C12" s="8">
        <f>IncState!C18/IncState!C16</f>
        <v>0.5655416045491034</v>
      </c>
      <c r="D12" s="8">
        <f>IncState!D18/IncState!D16</f>
        <v>0.62343632826509876</v>
      </c>
      <c r="E12" s="8">
        <f>IncState!E18/IncState!E16</f>
        <v>0.58893396845992452</v>
      </c>
      <c r="F12" s="95">
        <f>E12-0.005</f>
        <v>0.58393396845992451</v>
      </c>
      <c r="G12" s="95">
        <f t="shared" ref="G12:J12" si="6">F12-0.005</f>
        <v>0.57893396845992451</v>
      </c>
      <c r="H12" s="95">
        <f t="shared" si="6"/>
        <v>0.5739339684599245</v>
      </c>
      <c r="I12" s="95">
        <f t="shared" si="6"/>
        <v>0.5689339684599245</v>
      </c>
      <c r="J12" s="95">
        <f t="shared" si="6"/>
        <v>0.5639339684599245</v>
      </c>
      <c r="K12" s="160"/>
      <c r="L12" s="160"/>
    </row>
    <row r="13" spans="1:20" x14ac:dyDescent="0.25">
      <c r="B13" s="4" t="s">
        <v>136</v>
      </c>
      <c r="C13" s="4">
        <f>IncState!C22</f>
        <v>0</v>
      </c>
      <c r="D13" s="4">
        <f>IncState!D22</f>
        <v>0</v>
      </c>
      <c r="E13" s="4">
        <f>IncState!E22</f>
        <v>0</v>
      </c>
      <c r="F13" s="96">
        <f>E13</f>
        <v>0</v>
      </c>
      <c r="G13" s="96">
        <f t="shared" ref="G13:J13" si="7">F13</f>
        <v>0</v>
      </c>
      <c r="H13" s="96">
        <f t="shared" si="7"/>
        <v>0</v>
      </c>
      <c r="I13" s="96">
        <f t="shared" si="7"/>
        <v>0</v>
      </c>
      <c r="J13" s="96">
        <f t="shared" si="7"/>
        <v>0</v>
      </c>
      <c r="K13" s="186"/>
      <c r="L13" s="186"/>
    </row>
    <row r="14" spans="1:20" x14ac:dyDescent="0.25">
      <c r="B14" s="4" t="s">
        <v>137</v>
      </c>
      <c r="C14" s="4">
        <f>IncState!C25</f>
        <v>0</v>
      </c>
      <c r="D14" s="4">
        <f>IncState!D25</f>
        <v>0</v>
      </c>
      <c r="E14" s="4">
        <f>IncState!E25</f>
        <v>0</v>
      </c>
      <c r="F14" s="96">
        <v>0</v>
      </c>
      <c r="G14" s="96">
        <v>0</v>
      </c>
      <c r="H14" s="96">
        <v>0</v>
      </c>
      <c r="I14" s="96">
        <v>0</v>
      </c>
      <c r="J14" s="96">
        <v>0</v>
      </c>
      <c r="K14" s="186"/>
      <c r="L14" s="186"/>
    </row>
    <row r="15" spans="1:20" x14ac:dyDescent="0.25">
      <c r="B15" s="4" t="s">
        <v>139</v>
      </c>
      <c r="C15" s="4">
        <f>IncState!C26</f>
        <v>-573</v>
      </c>
      <c r="D15" s="4">
        <f>IncState!D26</f>
        <v>-57</v>
      </c>
      <c r="E15" s="4">
        <f>IncState!E26</f>
        <v>2866</v>
      </c>
      <c r="F15" s="96">
        <v>0</v>
      </c>
      <c r="G15" s="96">
        <v>0</v>
      </c>
      <c r="H15" s="96">
        <v>0</v>
      </c>
      <c r="I15" s="96">
        <v>0</v>
      </c>
      <c r="J15" s="96">
        <v>0</v>
      </c>
      <c r="K15" s="186"/>
      <c r="L15" s="186"/>
    </row>
    <row r="16" spans="1:20" x14ac:dyDescent="0.25">
      <c r="B16" s="4" t="s">
        <v>48</v>
      </c>
      <c r="C16" s="8">
        <f>IncState!C33/IncState!C31</f>
        <v>0.23340938257521746</v>
      </c>
      <c r="D16" s="8">
        <f>IncState!D33/IncState!D31</f>
        <v>0.25591135616583605</v>
      </c>
      <c r="E16" s="8">
        <f>IncState!E33/IncState!E31</f>
        <v>0.26138324614443914</v>
      </c>
      <c r="F16" s="95">
        <v>0.23</v>
      </c>
      <c r="G16" s="95">
        <f t="shared" ref="G16:J16" si="8">F16</f>
        <v>0.23</v>
      </c>
      <c r="H16" s="95">
        <f t="shared" si="8"/>
        <v>0.23</v>
      </c>
      <c r="I16" s="95">
        <f t="shared" si="8"/>
        <v>0.23</v>
      </c>
      <c r="J16" s="95">
        <f t="shared" si="8"/>
        <v>0.23</v>
      </c>
      <c r="K16" s="160"/>
      <c r="L16" s="160"/>
    </row>
    <row r="17" spans="1:12" s="255" customFormat="1" x14ac:dyDescent="0.25">
      <c r="B17" s="255" t="s">
        <v>140</v>
      </c>
      <c r="C17" s="255">
        <f>IncState!C35</f>
        <v>4.6513984114878815</v>
      </c>
      <c r="D17" s="255">
        <f>IncState!D35</f>
        <v>0.83762764517278221</v>
      </c>
      <c r="E17" s="255">
        <f>IncState!E35</f>
        <v>0.98781864841745082</v>
      </c>
      <c r="F17" s="256">
        <f>E17+0.25</f>
        <v>1.2378186484174507</v>
      </c>
      <c r="G17" s="256">
        <f t="shared" ref="G17:J17" si="9">F17+0.25</f>
        <v>1.4878186484174507</v>
      </c>
      <c r="H17" s="256">
        <f t="shared" si="9"/>
        <v>1.7378186484174507</v>
      </c>
      <c r="I17" s="256">
        <f t="shared" si="9"/>
        <v>1.9878186484174507</v>
      </c>
      <c r="J17" s="256">
        <f t="shared" si="9"/>
        <v>2.2378186484174507</v>
      </c>
      <c r="K17" s="257"/>
      <c r="L17" s="257"/>
    </row>
    <row r="18" spans="1:12" x14ac:dyDescent="0.25">
      <c r="B18" s="4" t="s">
        <v>49</v>
      </c>
      <c r="C18" s="4">
        <f>IncState!C38</f>
        <v>30373.446327683614</v>
      </c>
      <c r="D18" s="4">
        <f>IncState!D38</f>
        <v>29735.169491525427</v>
      </c>
      <c r="E18" s="4">
        <f>IncState!E38</f>
        <v>29225</v>
      </c>
      <c r="F18" s="96">
        <f>E18</f>
        <v>29225</v>
      </c>
      <c r="G18" s="96">
        <f t="shared" ref="G18:J18" si="10">F18</f>
        <v>29225</v>
      </c>
      <c r="H18" s="96">
        <f t="shared" si="10"/>
        <v>29225</v>
      </c>
      <c r="I18" s="96">
        <f t="shared" si="10"/>
        <v>29225</v>
      </c>
      <c r="J18" s="96">
        <f t="shared" si="10"/>
        <v>29225</v>
      </c>
      <c r="K18" s="186"/>
      <c r="L18" s="186"/>
    </row>
    <row r="19" spans="1:12" x14ac:dyDescent="0.25">
      <c r="B19" s="4" t="s">
        <v>50</v>
      </c>
      <c r="C19" s="4">
        <f>IncState!C39</f>
        <v>30373.446327683614</v>
      </c>
      <c r="D19" s="4">
        <f>IncState!D39</f>
        <v>29861.702127659573</v>
      </c>
      <c r="E19" s="4">
        <f>IncState!E39</f>
        <v>29382.972972972973</v>
      </c>
      <c r="F19" s="96">
        <f>E19</f>
        <v>29382.972972972973</v>
      </c>
      <c r="G19" s="96">
        <f t="shared" ref="G19:J19" si="11">F19</f>
        <v>29382.972972972973</v>
      </c>
      <c r="H19" s="96">
        <f t="shared" si="11"/>
        <v>29382.972972972973</v>
      </c>
      <c r="I19" s="96">
        <f t="shared" si="11"/>
        <v>29382.972972972973</v>
      </c>
      <c r="J19" s="96">
        <f t="shared" si="11"/>
        <v>29382.972972972973</v>
      </c>
      <c r="K19" s="186"/>
      <c r="L19" s="186"/>
    </row>
    <row r="20" spans="1:12" x14ac:dyDescent="0.25">
      <c r="F20" s="98"/>
      <c r="G20" s="98"/>
      <c r="H20" s="98"/>
      <c r="I20" s="98"/>
      <c r="J20" s="98"/>
      <c r="K20" s="160"/>
      <c r="L20" s="160"/>
    </row>
    <row r="21" spans="1:12" x14ac:dyDescent="0.25">
      <c r="A21" s="60" t="s">
        <v>125</v>
      </c>
      <c r="B21" s="101" t="s">
        <v>145</v>
      </c>
      <c r="C21" s="252">
        <f>C2</f>
        <v>2022</v>
      </c>
      <c r="D21" s="252">
        <f>D2</f>
        <v>2023</v>
      </c>
      <c r="E21" s="252">
        <f>E2</f>
        <v>2024</v>
      </c>
      <c r="F21" s="252">
        <f>F2</f>
        <v>2025</v>
      </c>
      <c r="G21" s="252">
        <f>G2</f>
        <v>2026</v>
      </c>
      <c r="H21" s="252">
        <f>H2</f>
        <v>2027</v>
      </c>
      <c r="I21" s="252">
        <f>I2</f>
        <v>2028</v>
      </c>
      <c r="J21" s="252">
        <f>J2</f>
        <v>2029</v>
      </c>
      <c r="K21" s="187"/>
      <c r="L21" s="187"/>
    </row>
    <row r="22" spans="1:12" x14ac:dyDescent="0.25">
      <c r="A22" s="82"/>
      <c r="B22" s="148"/>
      <c r="C22" s="185"/>
      <c r="D22" s="185"/>
      <c r="E22" s="185"/>
      <c r="F22" s="187"/>
      <c r="G22" s="187"/>
      <c r="H22" s="187"/>
      <c r="I22" s="187"/>
      <c r="J22" s="187"/>
      <c r="K22" s="187"/>
      <c r="L22" s="187"/>
    </row>
    <row r="23" spans="1:12" x14ac:dyDescent="0.25">
      <c r="B23" s="4" t="s">
        <v>138</v>
      </c>
      <c r="E23" s="8">
        <v>5.8000000000000003E-2</v>
      </c>
      <c r="F23" s="95">
        <f>E23</f>
        <v>5.8000000000000003E-2</v>
      </c>
      <c r="G23" s="95">
        <f t="shared" ref="G23:J23" si="12">F23</f>
        <v>5.8000000000000003E-2</v>
      </c>
      <c r="H23" s="95">
        <f t="shared" si="12"/>
        <v>5.8000000000000003E-2</v>
      </c>
      <c r="I23" s="95">
        <f t="shared" si="12"/>
        <v>5.8000000000000003E-2</v>
      </c>
      <c r="J23" s="95">
        <f t="shared" si="12"/>
        <v>5.8000000000000003E-2</v>
      </c>
      <c r="K23" s="160"/>
      <c r="L23" s="160"/>
    </row>
    <row r="24" spans="1:12" x14ac:dyDescent="0.25">
      <c r="B24" s="4" t="s">
        <v>26</v>
      </c>
      <c r="E24" s="8">
        <v>0.04</v>
      </c>
      <c r="F24" s="95">
        <f>E24</f>
        <v>0.04</v>
      </c>
      <c r="G24" s="95">
        <f t="shared" ref="G24:J24" si="13">F24</f>
        <v>0.04</v>
      </c>
      <c r="H24" s="95">
        <f t="shared" si="13"/>
        <v>0.04</v>
      </c>
      <c r="I24" s="95">
        <f t="shared" si="13"/>
        <v>0.04</v>
      </c>
      <c r="J24" s="95">
        <f t="shared" si="13"/>
        <v>0.04</v>
      </c>
      <c r="K24" s="160"/>
      <c r="L24" s="160"/>
    </row>
    <row r="25" spans="1:12" x14ac:dyDescent="0.25">
      <c r="B25" s="4" t="s">
        <v>27</v>
      </c>
      <c r="C25" s="8"/>
      <c r="D25" s="8"/>
      <c r="E25" s="8">
        <v>0.04</v>
      </c>
      <c r="F25" s="118">
        <f>E25</f>
        <v>0.04</v>
      </c>
      <c r="G25" s="118">
        <f t="shared" ref="G25:J25" si="14">F25</f>
        <v>0.04</v>
      </c>
      <c r="H25" s="118">
        <f t="shared" si="14"/>
        <v>0.04</v>
      </c>
      <c r="I25" s="118">
        <f t="shared" si="14"/>
        <v>0.04</v>
      </c>
      <c r="J25" s="118">
        <f t="shared" si="14"/>
        <v>0.04</v>
      </c>
      <c r="K25" s="160"/>
      <c r="L25" s="160"/>
    </row>
    <row r="26" spans="1:12" x14ac:dyDescent="0.25">
      <c r="F26" s="98"/>
      <c r="G26" s="98"/>
      <c r="H26" s="98"/>
      <c r="I26" s="98"/>
      <c r="J26" s="98"/>
      <c r="K26" s="160"/>
      <c r="L26" s="160"/>
    </row>
    <row r="27" spans="1:12" x14ac:dyDescent="0.25">
      <c r="B27" s="4" t="s">
        <v>28</v>
      </c>
      <c r="E27" s="4">
        <v>0</v>
      </c>
      <c r="F27" s="96">
        <v>0</v>
      </c>
      <c r="G27" s="96">
        <v>0</v>
      </c>
      <c r="H27" s="96">
        <v>0</v>
      </c>
      <c r="I27" s="96">
        <v>0</v>
      </c>
      <c r="J27" s="96">
        <v>0</v>
      </c>
      <c r="K27" s="186"/>
      <c r="L27" s="186"/>
    </row>
    <row r="28" spans="1:12" x14ac:dyDescent="0.25">
      <c r="B28" s="4" t="s">
        <v>29</v>
      </c>
      <c r="E28" s="4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186"/>
      <c r="L28" s="186"/>
    </row>
    <row r="29" spans="1:12" x14ac:dyDescent="0.25">
      <c r="F29" s="98"/>
      <c r="G29" s="98"/>
      <c r="H29" s="98"/>
      <c r="I29" s="98"/>
      <c r="J29" s="98"/>
      <c r="K29" s="160"/>
      <c r="L29" s="160"/>
    </row>
    <row r="30" spans="1:12" x14ac:dyDescent="0.25">
      <c r="A30" s="60" t="s">
        <v>125</v>
      </c>
      <c r="B30" s="101" t="s">
        <v>142</v>
      </c>
      <c r="C30" s="252">
        <f>C21</f>
        <v>2022</v>
      </c>
      <c r="D30" s="252">
        <f t="shared" ref="D30:J30" si="15">D21</f>
        <v>2023</v>
      </c>
      <c r="E30" s="252">
        <f t="shared" si="15"/>
        <v>2024</v>
      </c>
      <c r="F30" s="252">
        <f t="shared" si="15"/>
        <v>2025</v>
      </c>
      <c r="G30" s="252">
        <f t="shared" si="15"/>
        <v>2026</v>
      </c>
      <c r="H30" s="252">
        <f t="shared" si="15"/>
        <v>2027</v>
      </c>
      <c r="I30" s="252">
        <f t="shared" si="15"/>
        <v>2028</v>
      </c>
      <c r="J30" s="252">
        <f t="shared" si="15"/>
        <v>2029</v>
      </c>
      <c r="K30" s="188"/>
      <c r="L30" s="188"/>
    </row>
    <row r="31" spans="1:12" x14ac:dyDescent="0.25">
      <c r="A31" s="82"/>
      <c r="B31" s="148"/>
      <c r="C31" s="185"/>
      <c r="D31" s="185"/>
      <c r="E31" s="185"/>
      <c r="F31" s="187"/>
      <c r="G31" s="187"/>
      <c r="H31" s="187"/>
      <c r="I31" s="187"/>
      <c r="J31" s="187"/>
      <c r="K31" s="188"/>
      <c r="L31" s="188"/>
    </row>
    <row r="32" spans="1:12" x14ac:dyDescent="0.25">
      <c r="B32" s="4" t="s">
        <v>143</v>
      </c>
      <c r="D32" s="8">
        <f>40833/IncState!D16</f>
        <v>8.8756779080762085E-2</v>
      </c>
      <c r="E32" s="8">
        <f>51929/IncState!E16</f>
        <v>8.2979257183125155E-2</v>
      </c>
      <c r="F32" s="210">
        <f>E32</f>
        <v>8.2979257183125155E-2</v>
      </c>
      <c r="G32" s="210">
        <f t="shared" ref="G32:J32" si="16">F32</f>
        <v>8.2979257183125155E-2</v>
      </c>
      <c r="H32" s="210">
        <f t="shared" si="16"/>
        <v>8.2979257183125155E-2</v>
      </c>
      <c r="I32" s="210">
        <f t="shared" si="16"/>
        <v>8.2979257183125155E-2</v>
      </c>
      <c r="J32" s="210">
        <f t="shared" si="16"/>
        <v>8.2979257183125155E-2</v>
      </c>
      <c r="K32" s="160"/>
      <c r="L32" s="160"/>
    </row>
    <row r="33" spans="1:12" x14ac:dyDescent="0.25">
      <c r="B33" s="4" t="s">
        <v>156</v>
      </c>
      <c r="D33" s="8">
        <f>IncState!D21/BalSheet!C21</f>
        <v>0.19803742651568412</v>
      </c>
      <c r="E33" s="8">
        <f>IncState!E21/BalSheet!D21</f>
        <v>0.17656544426728513</v>
      </c>
      <c r="F33" s="95">
        <f>E33</f>
        <v>0.17656544426728513</v>
      </c>
      <c r="G33" s="95">
        <f t="shared" ref="G33:J33" si="17">F33</f>
        <v>0.17656544426728513</v>
      </c>
      <c r="H33" s="95">
        <f t="shared" si="17"/>
        <v>0.17656544426728513</v>
      </c>
      <c r="I33" s="95">
        <f t="shared" si="17"/>
        <v>0.17656544426728513</v>
      </c>
      <c r="J33" s="95">
        <f t="shared" si="17"/>
        <v>0.17656544426728513</v>
      </c>
      <c r="K33" s="160"/>
      <c r="L33" s="160"/>
    </row>
    <row r="34" spans="1:12" x14ac:dyDescent="0.25">
      <c r="B34" s="4" t="s">
        <v>144</v>
      </c>
      <c r="F34" s="100">
        <v>0</v>
      </c>
      <c r="G34" s="100">
        <v>0</v>
      </c>
      <c r="H34" s="100">
        <v>0</v>
      </c>
      <c r="I34" s="100">
        <v>0</v>
      </c>
      <c r="J34" s="100">
        <v>0</v>
      </c>
      <c r="K34" s="189"/>
      <c r="L34" s="189"/>
    </row>
    <row r="35" spans="1:12" x14ac:dyDescent="0.25">
      <c r="F35" s="29"/>
      <c r="G35" s="29"/>
      <c r="H35" s="29"/>
      <c r="I35" s="29"/>
      <c r="J35" s="29"/>
      <c r="K35" s="29"/>
      <c r="L35" s="29"/>
    </row>
    <row r="36" spans="1:12" x14ac:dyDescent="0.25">
      <c r="A36" s="60" t="s">
        <v>125</v>
      </c>
      <c r="B36" s="101" t="s">
        <v>61</v>
      </c>
      <c r="C36" s="252">
        <f>C30</f>
        <v>2022</v>
      </c>
      <c r="D36" s="252">
        <f t="shared" ref="D36:J36" si="18">D30</f>
        <v>2023</v>
      </c>
      <c r="E36" s="252">
        <f t="shared" si="18"/>
        <v>2024</v>
      </c>
      <c r="F36" s="252">
        <f t="shared" si="18"/>
        <v>2025</v>
      </c>
      <c r="G36" s="252">
        <f t="shared" si="18"/>
        <v>2026</v>
      </c>
      <c r="H36" s="252">
        <f t="shared" si="18"/>
        <v>2027</v>
      </c>
      <c r="I36" s="252">
        <f t="shared" si="18"/>
        <v>2028</v>
      </c>
      <c r="J36" s="252">
        <f t="shared" si="18"/>
        <v>2029</v>
      </c>
      <c r="K36" s="188"/>
      <c r="L36" s="188"/>
    </row>
    <row r="37" spans="1:12" x14ac:dyDescent="0.25">
      <c r="A37" s="82"/>
      <c r="B37" s="148"/>
      <c r="C37" s="185"/>
      <c r="D37" s="185"/>
      <c r="E37" s="185"/>
      <c r="F37" s="250"/>
      <c r="G37" s="250"/>
      <c r="H37" s="250"/>
      <c r="I37" s="250"/>
      <c r="J37" s="250"/>
      <c r="K37" s="188"/>
      <c r="L37" s="188"/>
    </row>
    <row r="38" spans="1:12" s="255" customFormat="1" x14ac:dyDescent="0.25">
      <c r="B38" s="255" t="str">
        <f>B17</f>
        <v>Dividend Payout Rate</v>
      </c>
      <c r="C38" s="255">
        <f>C17</f>
        <v>4.6513984114878815</v>
      </c>
      <c r="D38" s="255">
        <f t="shared" ref="D38:E38" si="19">D17</f>
        <v>0.83762764517278221</v>
      </c>
      <c r="E38" s="255">
        <f t="shared" si="19"/>
        <v>0.98781864841745082</v>
      </c>
      <c r="F38" s="256">
        <f>F17</f>
        <v>1.2378186484174507</v>
      </c>
      <c r="G38" s="256">
        <f t="shared" ref="G38:J38" si="20">G17</f>
        <v>1.4878186484174507</v>
      </c>
      <c r="H38" s="256">
        <f t="shared" si="20"/>
        <v>1.7378186484174507</v>
      </c>
      <c r="I38" s="256">
        <f t="shared" si="20"/>
        <v>1.9878186484174507</v>
      </c>
      <c r="J38" s="256">
        <f t="shared" si="20"/>
        <v>2.2378186484174507</v>
      </c>
      <c r="K38" s="257"/>
      <c r="L38" s="257"/>
    </row>
    <row r="39" spans="1:12" x14ac:dyDescent="0.25">
      <c r="B39" s="4" t="s">
        <v>49</v>
      </c>
      <c r="C39" s="4">
        <f>C18</f>
        <v>30373.446327683614</v>
      </c>
      <c r="D39" s="4">
        <f t="shared" ref="D39:E39" si="21">D18</f>
        <v>29735.169491525427</v>
      </c>
      <c r="E39" s="4">
        <f t="shared" si="21"/>
        <v>29225</v>
      </c>
      <c r="F39" s="96">
        <f>F18</f>
        <v>29225</v>
      </c>
      <c r="G39" s="96">
        <f t="shared" ref="G39:J40" si="22">G18</f>
        <v>29225</v>
      </c>
      <c r="H39" s="96">
        <f t="shared" si="22"/>
        <v>29225</v>
      </c>
      <c r="I39" s="96">
        <f t="shared" si="22"/>
        <v>29225</v>
      </c>
      <c r="J39" s="96">
        <f t="shared" si="22"/>
        <v>29225</v>
      </c>
      <c r="K39" s="186"/>
      <c r="L39" s="186"/>
    </row>
    <row r="40" spans="1:12" x14ac:dyDescent="0.25">
      <c r="B40" s="4" t="s">
        <v>50</v>
      </c>
      <c r="C40" s="4">
        <f t="shared" ref="C40:E40" si="23">C19</f>
        <v>30373.446327683614</v>
      </c>
      <c r="D40" s="4">
        <f t="shared" si="23"/>
        <v>29861.702127659573</v>
      </c>
      <c r="E40" s="4">
        <f t="shared" si="23"/>
        <v>29382.972972972973</v>
      </c>
      <c r="F40" s="96">
        <f>F19</f>
        <v>29382.972972972973</v>
      </c>
      <c r="G40" s="96">
        <f t="shared" si="22"/>
        <v>29382.972972972973</v>
      </c>
      <c r="H40" s="96">
        <f t="shared" si="22"/>
        <v>29382.972972972973</v>
      </c>
      <c r="I40" s="96">
        <f t="shared" si="22"/>
        <v>29382.972972972973</v>
      </c>
      <c r="J40" s="96">
        <f t="shared" si="22"/>
        <v>29382.972972972973</v>
      </c>
      <c r="K40" s="186"/>
      <c r="L40" s="186"/>
    </row>
    <row r="41" spans="1:12" x14ac:dyDescent="0.25">
      <c r="F41" s="29"/>
      <c r="G41" s="29"/>
      <c r="H41" s="29"/>
      <c r="I41" s="29"/>
      <c r="J41" s="29"/>
      <c r="K41" s="29"/>
      <c r="L41" s="29"/>
    </row>
    <row r="42" spans="1:12" x14ac:dyDescent="0.25">
      <c r="A42" s="60" t="s">
        <v>125</v>
      </c>
      <c r="B42" s="101" t="s">
        <v>130</v>
      </c>
      <c r="C42" s="252">
        <f>C36</f>
        <v>2022</v>
      </c>
      <c r="D42" s="252">
        <f t="shared" ref="D42:J42" si="24">D36</f>
        <v>2023</v>
      </c>
      <c r="E42" s="252">
        <f t="shared" si="24"/>
        <v>2024</v>
      </c>
      <c r="F42" s="252">
        <f t="shared" si="24"/>
        <v>2025</v>
      </c>
      <c r="G42" s="252">
        <f t="shared" si="24"/>
        <v>2026</v>
      </c>
      <c r="H42" s="252">
        <f t="shared" si="24"/>
        <v>2027</v>
      </c>
      <c r="I42" s="252">
        <f t="shared" si="24"/>
        <v>2028</v>
      </c>
      <c r="J42" s="252">
        <f t="shared" si="24"/>
        <v>2029</v>
      </c>
      <c r="K42" s="188"/>
      <c r="L42" s="188"/>
    </row>
    <row r="43" spans="1:12" x14ac:dyDescent="0.25">
      <c r="A43" s="82"/>
      <c r="B43" s="148"/>
      <c r="C43" s="185"/>
      <c r="D43" s="185"/>
      <c r="E43" s="185"/>
      <c r="F43" s="250"/>
      <c r="G43" s="250"/>
      <c r="H43" s="250"/>
      <c r="I43" s="250"/>
      <c r="J43" s="250"/>
      <c r="K43" s="188"/>
      <c r="L43" s="188"/>
    </row>
    <row r="44" spans="1:12" x14ac:dyDescent="0.25">
      <c r="B44" s="4" t="s">
        <v>141</v>
      </c>
      <c r="C44" s="8">
        <f>BalSheet!C15/IncState!C16</f>
        <v>0.02</v>
      </c>
      <c r="D44" s="8">
        <f>BalSheet!D15/IncState!D16</f>
        <v>0.02</v>
      </c>
      <c r="E44" s="8">
        <f>BalSheet!E15/IncState!E16</f>
        <v>0.02</v>
      </c>
      <c r="F44" s="95">
        <f>E44</f>
        <v>0.02</v>
      </c>
      <c r="G44" s="95">
        <f t="shared" ref="G44:J44" si="25">F44</f>
        <v>0.02</v>
      </c>
      <c r="H44" s="95">
        <f t="shared" si="25"/>
        <v>0.02</v>
      </c>
      <c r="I44" s="95">
        <f t="shared" si="25"/>
        <v>0.02</v>
      </c>
      <c r="J44" s="95">
        <f t="shared" si="25"/>
        <v>0.02</v>
      </c>
      <c r="K44" s="160"/>
      <c r="L44" s="160"/>
    </row>
    <row r="45" spans="1:12" x14ac:dyDescent="0.25">
      <c r="B45" s="4" t="s">
        <v>154</v>
      </c>
      <c r="C45" s="8">
        <f>BalSheet!C17/IncState!C16</f>
        <v>2.6462781207257754E-2</v>
      </c>
      <c r="D45" s="8">
        <f>BalSheet!D17/IncState!D16</f>
        <v>2.6970688287269999E-2</v>
      </c>
      <c r="E45" s="8">
        <f>BalSheet!E17/IncState!E16</f>
        <v>3.1417034325279203E-2</v>
      </c>
      <c r="F45" s="95">
        <f>E45</f>
        <v>3.1417034325279203E-2</v>
      </c>
      <c r="G45" s="95">
        <f t="shared" ref="G45:J45" si="26">F45</f>
        <v>3.1417034325279203E-2</v>
      </c>
      <c r="H45" s="95">
        <f t="shared" si="26"/>
        <v>3.1417034325279203E-2</v>
      </c>
      <c r="I45" s="95">
        <f t="shared" si="26"/>
        <v>3.1417034325279203E-2</v>
      </c>
      <c r="J45" s="95">
        <f t="shared" si="26"/>
        <v>3.1417034325279203E-2</v>
      </c>
      <c r="K45" s="160"/>
      <c r="L45" s="160"/>
    </row>
    <row r="46" spans="1:12" x14ac:dyDescent="0.25">
      <c r="B46" s="4" t="s">
        <v>65</v>
      </c>
      <c r="C46" s="8" t="e">
        <f>BalSheet!#REF!/IncState!C17</f>
        <v>#REF!</v>
      </c>
      <c r="D46" s="8" t="e">
        <f>BalSheet!#REF!/IncState!D17</f>
        <v>#REF!</v>
      </c>
      <c r="E46" s="8" t="e">
        <f>BalSheet!#REF!/IncState!E17</f>
        <v>#REF!</v>
      </c>
      <c r="F46" s="95" t="e">
        <f t="shared" ref="F46:J46" si="27">E46</f>
        <v>#REF!</v>
      </c>
      <c r="G46" s="95" t="e">
        <f t="shared" si="27"/>
        <v>#REF!</v>
      </c>
      <c r="H46" s="95" t="e">
        <f t="shared" si="27"/>
        <v>#REF!</v>
      </c>
      <c r="I46" s="95" t="e">
        <f t="shared" si="27"/>
        <v>#REF!</v>
      </c>
      <c r="J46" s="95" t="e">
        <f t="shared" si="27"/>
        <v>#REF!</v>
      </c>
      <c r="K46" s="160"/>
      <c r="L46" s="160"/>
    </row>
    <row r="47" spans="1:12" x14ac:dyDescent="0.25">
      <c r="B47" s="4" t="s">
        <v>66</v>
      </c>
      <c r="C47" s="8">
        <f>BalSheet!C18/IncState!C16</f>
        <v>9.1505114384889286E-2</v>
      </c>
      <c r="D47" s="8">
        <f>BalSheet!D18/IncState!D16</f>
        <v>9.0684809424960058E-2</v>
      </c>
      <c r="E47" s="8">
        <f>BalSheet!E18/IncState!E16</f>
        <v>9.5951307671534508E-2</v>
      </c>
      <c r="F47" s="95">
        <f t="shared" ref="F47:J47" si="28">E47</f>
        <v>9.5951307671534508E-2</v>
      </c>
      <c r="G47" s="95">
        <f t="shared" si="28"/>
        <v>9.5951307671534508E-2</v>
      </c>
      <c r="H47" s="95">
        <f t="shared" si="28"/>
        <v>9.5951307671534508E-2</v>
      </c>
      <c r="I47" s="95">
        <f t="shared" si="28"/>
        <v>9.5951307671534508E-2</v>
      </c>
      <c r="J47" s="95">
        <f t="shared" si="28"/>
        <v>9.5951307671534508E-2</v>
      </c>
      <c r="K47" s="160"/>
      <c r="L47" s="160"/>
    </row>
    <row r="48" spans="1:12" x14ac:dyDescent="0.25">
      <c r="E48" s="8"/>
      <c r="F48" s="98"/>
      <c r="G48" s="98"/>
      <c r="H48" s="98"/>
      <c r="I48" s="98"/>
      <c r="J48" s="98"/>
      <c r="K48" s="160"/>
      <c r="L48" s="160"/>
    </row>
    <row r="49" spans="1:12" x14ac:dyDescent="0.25">
      <c r="B49" s="4" t="s">
        <v>177</v>
      </c>
      <c r="C49" s="4" t="e">
        <f>BalSheet!#REF!</f>
        <v>#REF!</v>
      </c>
      <c r="D49" s="4" t="e">
        <f>BalSheet!#REF!</f>
        <v>#REF!</v>
      </c>
      <c r="E49" s="4" t="e">
        <f>BalSheet!#REF!</f>
        <v>#REF!</v>
      </c>
      <c r="F49" s="96" t="e">
        <f>E49</f>
        <v>#REF!</v>
      </c>
      <c r="G49" s="96" t="e">
        <f t="shared" ref="G49:J49" si="29">F49</f>
        <v>#REF!</v>
      </c>
      <c r="H49" s="96" t="e">
        <f t="shared" si="29"/>
        <v>#REF!</v>
      </c>
      <c r="I49" s="96" t="e">
        <f t="shared" si="29"/>
        <v>#REF!</v>
      </c>
      <c r="J49" s="96" t="e">
        <f t="shared" si="29"/>
        <v>#REF!</v>
      </c>
      <c r="K49" s="186"/>
      <c r="L49" s="186"/>
    </row>
    <row r="50" spans="1:12" x14ac:dyDescent="0.25">
      <c r="B50" s="4" t="s">
        <v>67</v>
      </c>
      <c r="C50" s="8">
        <f>BalSheet!C23/IncState!C16</f>
        <v>9.9163405785953826E-2</v>
      </c>
      <c r="D50" s="8">
        <f>BalSheet!D23/IncState!D16</f>
        <v>4.9318016324135155E-2</v>
      </c>
      <c r="E50" s="8">
        <f>BalSheet!E23/IncState!E16</f>
        <v>0.13943116647784382</v>
      </c>
      <c r="F50" s="95">
        <f>E50</f>
        <v>0.13943116647784382</v>
      </c>
      <c r="G50" s="95">
        <f t="shared" ref="G50:J50" si="30">F50</f>
        <v>0.13943116647784382</v>
      </c>
      <c r="H50" s="95">
        <f t="shared" si="30"/>
        <v>0.13943116647784382</v>
      </c>
      <c r="I50" s="95">
        <f t="shared" si="30"/>
        <v>0.13943116647784382</v>
      </c>
      <c r="J50" s="95">
        <f t="shared" si="30"/>
        <v>0.13943116647784382</v>
      </c>
      <c r="K50" s="160"/>
      <c r="L50" s="160"/>
    </row>
    <row r="51" spans="1:12" x14ac:dyDescent="0.25">
      <c r="F51" s="29"/>
      <c r="G51" s="29"/>
      <c r="H51" s="29"/>
      <c r="I51" s="29"/>
      <c r="J51" s="29"/>
      <c r="K51" s="29"/>
      <c r="L51" s="29"/>
    </row>
    <row r="52" spans="1:12" x14ac:dyDescent="0.25">
      <c r="A52" s="60" t="s">
        <v>125</v>
      </c>
      <c r="B52" s="101" t="s">
        <v>131</v>
      </c>
      <c r="C52" s="252">
        <f>C42</f>
        <v>2022</v>
      </c>
      <c r="D52" s="252">
        <f t="shared" ref="D52:J52" si="31">D42</f>
        <v>2023</v>
      </c>
      <c r="E52" s="252">
        <f t="shared" si="31"/>
        <v>2024</v>
      </c>
      <c r="F52" s="252">
        <f t="shared" si="31"/>
        <v>2025</v>
      </c>
      <c r="G52" s="252">
        <f t="shared" si="31"/>
        <v>2026</v>
      </c>
      <c r="H52" s="252">
        <f t="shared" si="31"/>
        <v>2027</v>
      </c>
      <c r="I52" s="252">
        <f t="shared" si="31"/>
        <v>2028</v>
      </c>
      <c r="J52" s="252">
        <f t="shared" si="31"/>
        <v>2029</v>
      </c>
      <c r="K52" s="188"/>
      <c r="L52" s="188"/>
    </row>
    <row r="53" spans="1:12" x14ac:dyDescent="0.25">
      <c r="A53" s="82"/>
      <c r="B53" s="148"/>
      <c r="C53" s="185"/>
      <c r="D53" s="185"/>
      <c r="E53" s="185"/>
      <c r="F53" s="250"/>
      <c r="G53" s="250"/>
      <c r="H53" s="250"/>
      <c r="I53" s="250"/>
      <c r="J53" s="250"/>
      <c r="K53" s="188"/>
      <c r="L53" s="188"/>
    </row>
    <row r="54" spans="1:12" x14ac:dyDescent="0.25">
      <c r="B54" s="4" t="s">
        <v>155</v>
      </c>
      <c r="C54" s="8">
        <f>BalSheet!C29/IncState!C17</f>
        <v>8.2325104503509744E-2</v>
      </c>
      <c r="D54" s="8">
        <f>BalSheet!D29/IncState!D17</f>
        <v>7.7911156547834981E-2</v>
      </c>
      <c r="E54" s="8">
        <f>BalSheet!E29/IncState!E17</f>
        <v>7.5770473197136368E-2</v>
      </c>
      <c r="F54" s="95">
        <f t="shared" ref="F54:J54" si="32">E54</f>
        <v>7.5770473197136368E-2</v>
      </c>
      <c r="G54" s="95">
        <f t="shared" si="32"/>
        <v>7.5770473197136368E-2</v>
      </c>
      <c r="H54" s="95">
        <f t="shared" si="32"/>
        <v>7.5770473197136368E-2</v>
      </c>
      <c r="I54" s="95">
        <f t="shared" si="32"/>
        <v>7.5770473197136368E-2</v>
      </c>
      <c r="J54" s="95">
        <f t="shared" si="32"/>
        <v>7.5770473197136368E-2</v>
      </c>
      <c r="K54" s="160"/>
      <c r="L54" s="160"/>
    </row>
    <row r="55" spans="1:12" x14ac:dyDescent="0.25">
      <c r="B55" s="4" t="s">
        <v>68</v>
      </c>
      <c r="C55" s="8">
        <f>BalSheet!C30/IncState!C16</f>
        <v>0.13955264166300721</v>
      </c>
      <c r="D55" s="8">
        <f>BalSheet!D30/IncState!D16</f>
        <v>0.14406755713990718</v>
      </c>
      <c r="E55" s="8">
        <f>BalSheet!E30/IncState!E16</f>
        <v>0.12863390789812196</v>
      </c>
      <c r="F55" s="95">
        <f t="shared" ref="F55:J55" si="33">E55</f>
        <v>0.12863390789812196</v>
      </c>
      <c r="G55" s="95">
        <f t="shared" si="33"/>
        <v>0.12863390789812196</v>
      </c>
      <c r="H55" s="95">
        <f t="shared" si="33"/>
        <v>0.12863390789812196</v>
      </c>
      <c r="I55" s="95">
        <f t="shared" si="33"/>
        <v>0.12863390789812196</v>
      </c>
      <c r="J55" s="95">
        <f t="shared" si="33"/>
        <v>0.12863390789812196</v>
      </c>
      <c r="K55" s="160"/>
      <c r="L55" s="160"/>
    </row>
    <row r="56" spans="1:12" x14ac:dyDescent="0.25">
      <c r="B56" s="4" t="s">
        <v>69</v>
      </c>
      <c r="C56" s="8">
        <f>BalSheet!C34/IncState!C16</f>
        <v>0.12808478383087987</v>
      </c>
      <c r="D56" s="8">
        <f>BalSheet!D34/IncState!D16</f>
        <v>0.1127256523676517</v>
      </c>
      <c r="E56" s="8">
        <f>BalSheet!E34/IncState!E16</f>
        <v>0.15689821302733911</v>
      </c>
      <c r="F56" s="95">
        <f t="shared" ref="F56:J56" si="34">E56</f>
        <v>0.15689821302733911</v>
      </c>
      <c r="G56" s="95">
        <f t="shared" si="34"/>
        <v>0.15689821302733911</v>
      </c>
      <c r="H56" s="95">
        <f t="shared" si="34"/>
        <v>0.15689821302733911</v>
      </c>
      <c r="I56" s="95">
        <f t="shared" si="34"/>
        <v>0.15689821302733911</v>
      </c>
      <c r="J56" s="95">
        <f t="shared" si="34"/>
        <v>0.15689821302733911</v>
      </c>
      <c r="K56" s="160"/>
      <c r="L56" s="160"/>
    </row>
    <row r="57" spans="1:12" x14ac:dyDescent="0.25">
      <c r="F57" s="116"/>
      <c r="G57" s="29"/>
      <c r="H57" s="29"/>
      <c r="I57" s="29"/>
      <c r="J57" s="29"/>
    </row>
    <row r="58" spans="1:12" x14ac:dyDescent="0.25">
      <c r="F58" s="117"/>
      <c r="G58" s="91"/>
      <c r="H58" s="91"/>
      <c r="I58" s="91"/>
      <c r="J58" s="91"/>
    </row>
    <row r="59" spans="1:12" x14ac:dyDescent="0.25">
      <c r="F59" s="91"/>
      <c r="G59" s="91"/>
      <c r="H59" s="91"/>
      <c r="I59" s="91"/>
      <c r="J59" s="91"/>
    </row>
  </sheetData>
  <scenarios current="0">
    <scenario name="Pessimistic" locked="1" count="1" user="Alan Chen" comment="Created by Alan Chen on 9/28/2025">
      <inputCells r="D4" val=""/>
    </scenario>
  </scenarios>
  <dataConsolidate/>
  <conditionalFormatting sqref="D4:D5 B6 D6:E6 M6:M7 N7:T7 D7:D8 M9:N11 K21:L21 F22:L29 K30:L30 F31:L34 K36:L40 F38:J40 K42:L50 F44:J50 K52:L56 F54:J56 F58:J59 F6:K8 F11:L20">
    <cfRule type="expression" dxfId="4" priority="14">
      <formula>$E$10&gt;1</formula>
    </cfRule>
  </conditionalFormatting>
  <conditionalFormatting sqref="E7">
    <cfRule type="expression" dxfId="3" priority="32">
      <formula>$E$10&lt;&gt;2</formula>
    </cfRule>
  </conditionalFormatting>
  <conditionalFormatting sqref="E8">
    <cfRule type="expression" dxfId="2" priority="33">
      <formula>$E$10&lt;&gt;3</formula>
    </cfRule>
  </conditionalFormatting>
  <dataValidations count="1">
    <dataValidation type="list" allowBlank="1" showInputMessage="1" showErrorMessage="1" sqref="D4 M4" xr:uid="{FF8E3CD2-0581-4318-AB93-6B284CEDF514}">
      <formula1>"1,2,3"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autoPageBreaks="0" fitToPage="1"/>
  </sheetPr>
  <dimension ref="A1:M39"/>
  <sheetViews>
    <sheetView showGridLines="0" zoomScaleNormal="100" workbookViewId="0">
      <selection activeCell="F25" sqref="F6:J25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12" width="11.42578125" style="4" customWidth="1"/>
    <col min="13" max="253" width="8.85546875" style="4"/>
    <col min="254" max="254" width="1.7109375" style="4" customWidth="1"/>
    <col min="255" max="255" width="40.7109375" style="4" customWidth="1"/>
    <col min="256" max="263" width="10.7109375" style="4" customWidth="1"/>
    <col min="264" max="509" width="8.85546875" style="4"/>
    <col min="510" max="510" width="1.7109375" style="4" customWidth="1"/>
    <col min="511" max="511" width="40.7109375" style="4" customWidth="1"/>
    <col min="512" max="519" width="10.7109375" style="4" customWidth="1"/>
    <col min="520" max="765" width="8.85546875" style="4"/>
    <col min="766" max="766" width="1.7109375" style="4" customWidth="1"/>
    <col min="767" max="767" width="40.7109375" style="4" customWidth="1"/>
    <col min="768" max="775" width="10.7109375" style="4" customWidth="1"/>
    <col min="776" max="1021" width="8.85546875" style="4"/>
    <col min="1022" max="1022" width="1.7109375" style="4" customWidth="1"/>
    <col min="1023" max="1023" width="40.7109375" style="4" customWidth="1"/>
    <col min="1024" max="1031" width="10.7109375" style="4" customWidth="1"/>
    <col min="1032" max="1277" width="8.85546875" style="4"/>
    <col min="1278" max="1278" width="1.7109375" style="4" customWidth="1"/>
    <col min="1279" max="1279" width="40.7109375" style="4" customWidth="1"/>
    <col min="1280" max="1287" width="10.7109375" style="4" customWidth="1"/>
    <col min="1288" max="1533" width="8.85546875" style="4"/>
    <col min="1534" max="1534" width="1.7109375" style="4" customWidth="1"/>
    <col min="1535" max="1535" width="40.7109375" style="4" customWidth="1"/>
    <col min="1536" max="1543" width="10.7109375" style="4" customWidth="1"/>
    <col min="1544" max="1789" width="8.85546875" style="4"/>
    <col min="1790" max="1790" width="1.7109375" style="4" customWidth="1"/>
    <col min="1791" max="1791" width="40.7109375" style="4" customWidth="1"/>
    <col min="1792" max="1799" width="10.7109375" style="4" customWidth="1"/>
    <col min="1800" max="2045" width="8.85546875" style="4"/>
    <col min="2046" max="2046" width="1.7109375" style="4" customWidth="1"/>
    <col min="2047" max="2047" width="40.7109375" style="4" customWidth="1"/>
    <col min="2048" max="2055" width="10.7109375" style="4" customWidth="1"/>
    <col min="2056" max="2301" width="8.85546875" style="4"/>
    <col min="2302" max="2302" width="1.7109375" style="4" customWidth="1"/>
    <col min="2303" max="2303" width="40.7109375" style="4" customWidth="1"/>
    <col min="2304" max="2311" width="10.7109375" style="4" customWidth="1"/>
    <col min="2312" max="2557" width="8.85546875" style="4"/>
    <col min="2558" max="2558" width="1.7109375" style="4" customWidth="1"/>
    <col min="2559" max="2559" width="40.7109375" style="4" customWidth="1"/>
    <col min="2560" max="2567" width="10.7109375" style="4" customWidth="1"/>
    <col min="2568" max="2813" width="8.85546875" style="4"/>
    <col min="2814" max="2814" width="1.7109375" style="4" customWidth="1"/>
    <col min="2815" max="2815" width="40.7109375" style="4" customWidth="1"/>
    <col min="2816" max="2823" width="10.7109375" style="4" customWidth="1"/>
    <col min="2824" max="3069" width="8.85546875" style="4"/>
    <col min="3070" max="3070" width="1.7109375" style="4" customWidth="1"/>
    <col min="3071" max="3071" width="40.7109375" style="4" customWidth="1"/>
    <col min="3072" max="3079" width="10.7109375" style="4" customWidth="1"/>
    <col min="3080" max="3325" width="8.85546875" style="4"/>
    <col min="3326" max="3326" width="1.7109375" style="4" customWidth="1"/>
    <col min="3327" max="3327" width="40.7109375" style="4" customWidth="1"/>
    <col min="3328" max="3335" width="10.7109375" style="4" customWidth="1"/>
    <col min="3336" max="3581" width="8.85546875" style="4"/>
    <col min="3582" max="3582" width="1.7109375" style="4" customWidth="1"/>
    <col min="3583" max="3583" width="40.7109375" style="4" customWidth="1"/>
    <col min="3584" max="3591" width="10.7109375" style="4" customWidth="1"/>
    <col min="3592" max="3837" width="8.85546875" style="4"/>
    <col min="3838" max="3838" width="1.7109375" style="4" customWidth="1"/>
    <col min="3839" max="3839" width="40.7109375" style="4" customWidth="1"/>
    <col min="3840" max="3847" width="10.7109375" style="4" customWidth="1"/>
    <col min="3848" max="4093" width="8.85546875" style="4"/>
    <col min="4094" max="4094" width="1.7109375" style="4" customWidth="1"/>
    <col min="4095" max="4095" width="40.7109375" style="4" customWidth="1"/>
    <col min="4096" max="4103" width="10.7109375" style="4" customWidth="1"/>
    <col min="4104" max="4349" width="8.85546875" style="4"/>
    <col min="4350" max="4350" width="1.7109375" style="4" customWidth="1"/>
    <col min="4351" max="4351" width="40.7109375" style="4" customWidth="1"/>
    <col min="4352" max="4359" width="10.7109375" style="4" customWidth="1"/>
    <col min="4360" max="4605" width="8.85546875" style="4"/>
    <col min="4606" max="4606" width="1.7109375" style="4" customWidth="1"/>
    <col min="4607" max="4607" width="40.7109375" style="4" customWidth="1"/>
    <col min="4608" max="4615" width="10.7109375" style="4" customWidth="1"/>
    <col min="4616" max="4861" width="8.85546875" style="4"/>
    <col min="4862" max="4862" width="1.7109375" style="4" customWidth="1"/>
    <col min="4863" max="4863" width="40.7109375" style="4" customWidth="1"/>
    <col min="4864" max="4871" width="10.7109375" style="4" customWidth="1"/>
    <col min="4872" max="5117" width="8.85546875" style="4"/>
    <col min="5118" max="5118" width="1.7109375" style="4" customWidth="1"/>
    <col min="5119" max="5119" width="40.7109375" style="4" customWidth="1"/>
    <col min="5120" max="5127" width="10.7109375" style="4" customWidth="1"/>
    <col min="5128" max="5373" width="8.85546875" style="4"/>
    <col min="5374" max="5374" width="1.7109375" style="4" customWidth="1"/>
    <col min="5375" max="5375" width="40.7109375" style="4" customWidth="1"/>
    <col min="5376" max="5383" width="10.7109375" style="4" customWidth="1"/>
    <col min="5384" max="5629" width="8.85546875" style="4"/>
    <col min="5630" max="5630" width="1.7109375" style="4" customWidth="1"/>
    <col min="5631" max="5631" width="40.7109375" style="4" customWidth="1"/>
    <col min="5632" max="5639" width="10.7109375" style="4" customWidth="1"/>
    <col min="5640" max="5885" width="8.85546875" style="4"/>
    <col min="5886" max="5886" width="1.7109375" style="4" customWidth="1"/>
    <col min="5887" max="5887" width="40.7109375" style="4" customWidth="1"/>
    <col min="5888" max="5895" width="10.7109375" style="4" customWidth="1"/>
    <col min="5896" max="6141" width="8.85546875" style="4"/>
    <col min="6142" max="6142" width="1.7109375" style="4" customWidth="1"/>
    <col min="6143" max="6143" width="40.7109375" style="4" customWidth="1"/>
    <col min="6144" max="6151" width="10.7109375" style="4" customWidth="1"/>
    <col min="6152" max="6397" width="8.85546875" style="4"/>
    <col min="6398" max="6398" width="1.7109375" style="4" customWidth="1"/>
    <col min="6399" max="6399" width="40.7109375" style="4" customWidth="1"/>
    <col min="6400" max="6407" width="10.7109375" style="4" customWidth="1"/>
    <col min="6408" max="6653" width="8.85546875" style="4"/>
    <col min="6654" max="6654" width="1.7109375" style="4" customWidth="1"/>
    <col min="6655" max="6655" width="40.7109375" style="4" customWidth="1"/>
    <col min="6656" max="6663" width="10.7109375" style="4" customWidth="1"/>
    <col min="6664" max="6909" width="8.85546875" style="4"/>
    <col min="6910" max="6910" width="1.7109375" style="4" customWidth="1"/>
    <col min="6911" max="6911" width="40.7109375" style="4" customWidth="1"/>
    <col min="6912" max="6919" width="10.7109375" style="4" customWidth="1"/>
    <col min="6920" max="7165" width="8.85546875" style="4"/>
    <col min="7166" max="7166" width="1.7109375" style="4" customWidth="1"/>
    <col min="7167" max="7167" width="40.7109375" style="4" customWidth="1"/>
    <col min="7168" max="7175" width="10.7109375" style="4" customWidth="1"/>
    <col min="7176" max="7421" width="8.85546875" style="4"/>
    <col min="7422" max="7422" width="1.7109375" style="4" customWidth="1"/>
    <col min="7423" max="7423" width="40.7109375" style="4" customWidth="1"/>
    <col min="7424" max="7431" width="10.7109375" style="4" customWidth="1"/>
    <col min="7432" max="7677" width="8.85546875" style="4"/>
    <col min="7678" max="7678" width="1.7109375" style="4" customWidth="1"/>
    <col min="7679" max="7679" width="40.7109375" style="4" customWidth="1"/>
    <col min="7680" max="7687" width="10.7109375" style="4" customWidth="1"/>
    <col min="7688" max="7933" width="8.85546875" style="4"/>
    <col min="7934" max="7934" width="1.7109375" style="4" customWidth="1"/>
    <col min="7935" max="7935" width="40.7109375" style="4" customWidth="1"/>
    <col min="7936" max="7943" width="10.7109375" style="4" customWidth="1"/>
    <col min="7944" max="8189" width="8.85546875" style="4"/>
    <col min="8190" max="8190" width="1.7109375" style="4" customWidth="1"/>
    <col min="8191" max="8191" width="40.7109375" style="4" customWidth="1"/>
    <col min="8192" max="8199" width="10.7109375" style="4" customWidth="1"/>
    <col min="8200" max="8445" width="8.85546875" style="4"/>
    <col min="8446" max="8446" width="1.7109375" style="4" customWidth="1"/>
    <col min="8447" max="8447" width="40.7109375" style="4" customWidth="1"/>
    <col min="8448" max="8455" width="10.7109375" style="4" customWidth="1"/>
    <col min="8456" max="8701" width="8.85546875" style="4"/>
    <col min="8702" max="8702" width="1.7109375" style="4" customWidth="1"/>
    <col min="8703" max="8703" width="40.7109375" style="4" customWidth="1"/>
    <col min="8704" max="8711" width="10.7109375" style="4" customWidth="1"/>
    <col min="8712" max="8957" width="8.85546875" style="4"/>
    <col min="8958" max="8958" width="1.7109375" style="4" customWidth="1"/>
    <col min="8959" max="8959" width="40.7109375" style="4" customWidth="1"/>
    <col min="8960" max="8967" width="10.7109375" style="4" customWidth="1"/>
    <col min="8968" max="9213" width="8.85546875" style="4"/>
    <col min="9214" max="9214" width="1.7109375" style="4" customWidth="1"/>
    <col min="9215" max="9215" width="40.7109375" style="4" customWidth="1"/>
    <col min="9216" max="9223" width="10.7109375" style="4" customWidth="1"/>
    <col min="9224" max="9469" width="8.85546875" style="4"/>
    <col min="9470" max="9470" width="1.7109375" style="4" customWidth="1"/>
    <col min="9471" max="9471" width="40.7109375" style="4" customWidth="1"/>
    <col min="9472" max="9479" width="10.7109375" style="4" customWidth="1"/>
    <col min="9480" max="9725" width="8.85546875" style="4"/>
    <col min="9726" max="9726" width="1.7109375" style="4" customWidth="1"/>
    <col min="9727" max="9727" width="40.7109375" style="4" customWidth="1"/>
    <col min="9728" max="9735" width="10.7109375" style="4" customWidth="1"/>
    <col min="9736" max="9981" width="8.85546875" style="4"/>
    <col min="9982" max="9982" width="1.7109375" style="4" customWidth="1"/>
    <col min="9983" max="9983" width="40.7109375" style="4" customWidth="1"/>
    <col min="9984" max="9991" width="10.7109375" style="4" customWidth="1"/>
    <col min="9992" max="10237" width="8.85546875" style="4"/>
    <col min="10238" max="10238" width="1.7109375" style="4" customWidth="1"/>
    <col min="10239" max="10239" width="40.7109375" style="4" customWidth="1"/>
    <col min="10240" max="10247" width="10.7109375" style="4" customWidth="1"/>
    <col min="10248" max="10493" width="8.85546875" style="4"/>
    <col min="10494" max="10494" width="1.7109375" style="4" customWidth="1"/>
    <col min="10495" max="10495" width="40.7109375" style="4" customWidth="1"/>
    <col min="10496" max="10503" width="10.7109375" style="4" customWidth="1"/>
    <col min="10504" max="10749" width="8.85546875" style="4"/>
    <col min="10750" max="10750" width="1.7109375" style="4" customWidth="1"/>
    <col min="10751" max="10751" width="40.7109375" style="4" customWidth="1"/>
    <col min="10752" max="10759" width="10.7109375" style="4" customWidth="1"/>
    <col min="10760" max="11005" width="8.85546875" style="4"/>
    <col min="11006" max="11006" width="1.7109375" style="4" customWidth="1"/>
    <col min="11007" max="11007" width="40.7109375" style="4" customWidth="1"/>
    <col min="11008" max="11015" width="10.7109375" style="4" customWidth="1"/>
    <col min="11016" max="11261" width="8.85546875" style="4"/>
    <col min="11262" max="11262" width="1.7109375" style="4" customWidth="1"/>
    <col min="11263" max="11263" width="40.7109375" style="4" customWidth="1"/>
    <col min="11264" max="11271" width="10.7109375" style="4" customWidth="1"/>
    <col min="11272" max="11517" width="8.85546875" style="4"/>
    <col min="11518" max="11518" width="1.7109375" style="4" customWidth="1"/>
    <col min="11519" max="11519" width="40.7109375" style="4" customWidth="1"/>
    <col min="11520" max="11527" width="10.7109375" style="4" customWidth="1"/>
    <col min="11528" max="11773" width="8.85546875" style="4"/>
    <col min="11774" max="11774" width="1.7109375" style="4" customWidth="1"/>
    <col min="11775" max="11775" width="40.7109375" style="4" customWidth="1"/>
    <col min="11776" max="11783" width="10.7109375" style="4" customWidth="1"/>
    <col min="11784" max="12029" width="8.85546875" style="4"/>
    <col min="12030" max="12030" width="1.7109375" style="4" customWidth="1"/>
    <col min="12031" max="12031" width="40.7109375" style="4" customWidth="1"/>
    <col min="12032" max="12039" width="10.7109375" style="4" customWidth="1"/>
    <col min="12040" max="12285" width="8.85546875" style="4"/>
    <col min="12286" max="12286" width="1.7109375" style="4" customWidth="1"/>
    <col min="12287" max="12287" width="40.7109375" style="4" customWidth="1"/>
    <col min="12288" max="12295" width="10.7109375" style="4" customWidth="1"/>
    <col min="12296" max="12541" width="8.85546875" style="4"/>
    <col min="12542" max="12542" width="1.7109375" style="4" customWidth="1"/>
    <col min="12543" max="12543" width="40.7109375" style="4" customWidth="1"/>
    <col min="12544" max="12551" width="10.7109375" style="4" customWidth="1"/>
    <col min="12552" max="12797" width="8.85546875" style="4"/>
    <col min="12798" max="12798" width="1.7109375" style="4" customWidth="1"/>
    <col min="12799" max="12799" width="40.7109375" style="4" customWidth="1"/>
    <col min="12800" max="12807" width="10.7109375" style="4" customWidth="1"/>
    <col min="12808" max="13053" width="8.85546875" style="4"/>
    <col min="13054" max="13054" width="1.7109375" style="4" customWidth="1"/>
    <col min="13055" max="13055" width="40.7109375" style="4" customWidth="1"/>
    <col min="13056" max="13063" width="10.7109375" style="4" customWidth="1"/>
    <col min="13064" max="13309" width="8.85546875" style="4"/>
    <col min="13310" max="13310" width="1.7109375" style="4" customWidth="1"/>
    <col min="13311" max="13311" width="40.7109375" style="4" customWidth="1"/>
    <col min="13312" max="13319" width="10.7109375" style="4" customWidth="1"/>
    <col min="13320" max="13565" width="8.85546875" style="4"/>
    <col min="13566" max="13566" width="1.7109375" style="4" customWidth="1"/>
    <col min="13567" max="13567" width="40.7109375" style="4" customWidth="1"/>
    <col min="13568" max="13575" width="10.7109375" style="4" customWidth="1"/>
    <col min="13576" max="13821" width="8.85546875" style="4"/>
    <col min="13822" max="13822" width="1.7109375" style="4" customWidth="1"/>
    <col min="13823" max="13823" width="40.7109375" style="4" customWidth="1"/>
    <col min="13824" max="13831" width="10.7109375" style="4" customWidth="1"/>
    <col min="13832" max="14077" width="8.85546875" style="4"/>
    <col min="14078" max="14078" width="1.7109375" style="4" customWidth="1"/>
    <col min="14079" max="14079" width="40.7109375" style="4" customWidth="1"/>
    <col min="14080" max="14087" width="10.7109375" style="4" customWidth="1"/>
    <col min="14088" max="14333" width="8.85546875" style="4"/>
    <col min="14334" max="14334" width="1.7109375" style="4" customWidth="1"/>
    <col min="14335" max="14335" width="40.7109375" style="4" customWidth="1"/>
    <col min="14336" max="14343" width="10.7109375" style="4" customWidth="1"/>
    <col min="14344" max="14589" width="8.85546875" style="4"/>
    <col min="14590" max="14590" width="1.7109375" style="4" customWidth="1"/>
    <col min="14591" max="14591" width="40.7109375" style="4" customWidth="1"/>
    <col min="14592" max="14599" width="10.7109375" style="4" customWidth="1"/>
    <col min="14600" max="14845" width="8.85546875" style="4"/>
    <col min="14846" max="14846" width="1.7109375" style="4" customWidth="1"/>
    <col min="14847" max="14847" width="40.7109375" style="4" customWidth="1"/>
    <col min="14848" max="14855" width="10.7109375" style="4" customWidth="1"/>
    <col min="14856" max="15101" width="8.85546875" style="4"/>
    <col min="15102" max="15102" width="1.7109375" style="4" customWidth="1"/>
    <col min="15103" max="15103" width="40.7109375" style="4" customWidth="1"/>
    <col min="15104" max="15111" width="10.7109375" style="4" customWidth="1"/>
    <col min="15112" max="15357" width="8.85546875" style="4"/>
    <col min="15358" max="15358" width="1.7109375" style="4" customWidth="1"/>
    <col min="15359" max="15359" width="40.7109375" style="4" customWidth="1"/>
    <col min="15360" max="15367" width="10.7109375" style="4" customWidth="1"/>
    <col min="15368" max="15613" width="8.85546875" style="4"/>
    <col min="15614" max="15614" width="1.7109375" style="4" customWidth="1"/>
    <col min="15615" max="15615" width="40.7109375" style="4" customWidth="1"/>
    <col min="15616" max="15623" width="10.7109375" style="4" customWidth="1"/>
    <col min="15624" max="15869" width="8.85546875" style="4"/>
    <col min="15870" max="15870" width="1.7109375" style="4" customWidth="1"/>
    <col min="15871" max="15871" width="40.7109375" style="4" customWidth="1"/>
    <col min="15872" max="15879" width="10.7109375" style="4" customWidth="1"/>
    <col min="15880" max="16125" width="8.85546875" style="4"/>
    <col min="16126" max="16126" width="1.7109375" style="4" customWidth="1"/>
    <col min="16127" max="16127" width="40.7109375" style="4" customWidth="1"/>
    <col min="16128" max="16135" width="10.7109375" style="4" customWidth="1"/>
    <col min="16136" max="16384" width="8.85546875" style="4"/>
  </cols>
  <sheetData>
    <row r="1" spans="1:13" s="2" customFormat="1" ht="19.5" x14ac:dyDescent="0.3">
      <c r="A1" s="244" t="str">
        <f>CoName</f>
        <v>Wingstop Inc</v>
      </c>
      <c r="B1" s="3"/>
      <c r="C1" s="38" t="s">
        <v>0</v>
      </c>
      <c r="D1" s="38" t="s">
        <v>0</v>
      </c>
      <c r="E1" s="38" t="s">
        <v>0</v>
      </c>
      <c r="F1" s="38" t="s">
        <v>1</v>
      </c>
      <c r="G1" s="38" t="s">
        <v>1</v>
      </c>
      <c r="H1" s="38" t="s">
        <v>1</v>
      </c>
      <c r="I1" s="38" t="s">
        <v>1</v>
      </c>
      <c r="J1" s="38" t="s">
        <v>1</v>
      </c>
      <c r="K1" s="38"/>
      <c r="L1" s="38"/>
    </row>
    <row r="2" spans="1:13" x14ac:dyDescent="0.25">
      <c r="A2" s="20" t="s">
        <v>11</v>
      </c>
      <c r="B2" s="19"/>
      <c r="C2" s="182">
        <v>2022</v>
      </c>
      <c r="D2" s="243">
        <f>C2+1</f>
        <v>2023</v>
      </c>
      <c r="E2" s="243">
        <f t="shared" ref="E2:J2" si="0">D2+1</f>
        <v>2024</v>
      </c>
      <c r="F2" s="243">
        <f t="shared" si="0"/>
        <v>2025</v>
      </c>
      <c r="G2" s="243">
        <f t="shared" si="0"/>
        <v>2026</v>
      </c>
      <c r="H2" s="243">
        <f t="shared" si="0"/>
        <v>2027</v>
      </c>
      <c r="I2" s="243">
        <f t="shared" si="0"/>
        <v>2028</v>
      </c>
      <c r="J2" s="243">
        <f t="shared" si="0"/>
        <v>2029</v>
      </c>
      <c r="K2" s="183"/>
      <c r="L2" s="183"/>
      <c r="M2" s="183"/>
    </row>
    <row r="3" spans="1:13" x14ac:dyDescent="0.25">
      <c r="B3" s="4" t="s">
        <v>12</v>
      </c>
      <c r="C3" s="28"/>
      <c r="D3" s="28"/>
      <c r="E3" s="37"/>
      <c r="F3" s="192">
        <f>Assumptions!F32</f>
        <v>8.2979257183125155E-2</v>
      </c>
      <c r="G3" s="192">
        <f>Assumptions!G32</f>
        <v>8.2979257183125155E-2</v>
      </c>
      <c r="H3" s="192">
        <f>Assumptions!H32</f>
        <v>8.2979257183125155E-2</v>
      </c>
      <c r="I3" s="192">
        <f>Assumptions!I32</f>
        <v>8.2979257183125155E-2</v>
      </c>
      <c r="J3" s="192">
        <f>Assumptions!J32</f>
        <v>8.2979257183125155E-2</v>
      </c>
      <c r="K3" s="190"/>
      <c r="L3" s="190"/>
    </row>
    <row r="4" spans="1:13" x14ac:dyDescent="0.25">
      <c r="B4" s="4" t="s">
        <v>135</v>
      </c>
      <c r="C4" s="28"/>
      <c r="D4" s="28"/>
      <c r="E4" s="37"/>
      <c r="F4" s="192">
        <f>Assumptions!F33</f>
        <v>0.17656544426728513</v>
      </c>
      <c r="G4" s="192">
        <f>F4</f>
        <v>0.17656544426728513</v>
      </c>
      <c r="H4" s="192">
        <f t="shared" ref="H4:J4" si="1">G4</f>
        <v>0.17656544426728513</v>
      </c>
      <c r="I4" s="192">
        <f t="shared" si="1"/>
        <v>0.17656544426728513</v>
      </c>
      <c r="J4" s="192">
        <f t="shared" si="1"/>
        <v>0.17656544426728513</v>
      </c>
      <c r="K4" s="190"/>
      <c r="L4" s="190"/>
    </row>
    <row r="5" spans="1:13" x14ac:dyDescent="0.25">
      <c r="E5" s="26"/>
      <c r="F5" s="74"/>
      <c r="G5" s="62"/>
      <c r="H5" s="80"/>
      <c r="I5" s="62"/>
      <c r="J5" s="62"/>
    </row>
    <row r="6" spans="1:13" x14ac:dyDescent="0.25">
      <c r="B6" s="4" t="s">
        <v>13</v>
      </c>
      <c r="E6" s="26"/>
      <c r="F6" s="4">
        <f>E9</f>
        <v>125953</v>
      </c>
      <c r="G6" s="4">
        <f t="shared" ref="G6:J6" si="2">F9</f>
        <v>162393.82259820262</v>
      </c>
      <c r="H6" s="4">
        <f t="shared" si="2"/>
        <v>204136.40916488826</v>
      </c>
      <c r="I6" s="4">
        <f t="shared" si="2"/>
        <v>256112.62838956143</v>
      </c>
      <c r="J6" s="4">
        <f t="shared" si="2"/>
        <v>320916.55712549639</v>
      </c>
    </row>
    <row r="7" spans="1:13" x14ac:dyDescent="0.25">
      <c r="B7" s="4" t="s">
        <v>14</v>
      </c>
      <c r="C7" s="12"/>
      <c r="D7" s="12"/>
      <c r="E7" s="119"/>
      <c r="F7" s="4">
        <f>F3*IncState!F16</f>
        <v>58679.77</v>
      </c>
      <c r="G7" s="4">
        <f>G3*IncState!G16</f>
        <v>70415.724000000002</v>
      </c>
      <c r="H7" s="4">
        <f>H3*IncState!H16</f>
        <v>88019.654999999984</v>
      </c>
      <c r="I7" s="4">
        <f>I3*IncState!I16</f>
        <v>110024.56874999999</v>
      </c>
      <c r="J7" s="4">
        <f>J3*IncState!J16</f>
        <v>137530.7109375</v>
      </c>
    </row>
    <row r="8" spans="1:13" x14ac:dyDescent="0.25">
      <c r="B8" s="4" t="s">
        <v>15</v>
      </c>
      <c r="E8" s="26"/>
      <c r="F8" s="4">
        <f>F6*F4</f>
        <v>22238.947401797363</v>
      </c>
      <c r="G8" s="4">
        <f t="shared" ref="G8:J8" si="3">G6*G4</f>
        <v>28673.137433314332</v>
      </c>
      <c r="H8" s="4">
        <f t="shared" si="3"/>
        <v>36043.43577532679</v>
      </c>
      <c r="I8" s="4">
        <f t="shared" si="3"/>
        <v>45220.640014065015</v>
      </c>
      <c r="J8" s="4">
        <f t="shared" si="3"/>
        <v>56662.774481590859</v>
      </c>
    </row>
    <row r="9" spans="1:13" x14ac:dyDescent="0.25">
      <c r="B9" s="4" t="s">
        <v>16</v>
      </c>
      <c r="E9" s="26">
        <f>BalSheet!E21</f>
        <v>125953</v>
      </c>
      <c r="F9" s="4">
        <f>F6+F7-F8</f>
        <v>162393.82259820262</v>
      </c>
      <c r="G9" s="4">
        <f t="shared" ref="G9:J9" si="4">G6+G7-G8</f>
        <v>204136.40916488826</v>
      </c>
      <c r="H9" s="4">
        <f t="shared" si="4"/>
        <v>256112.62838956143</v>
      </c>
      <c r="I9" s="4">
        <f t="shared" si="4"/>
        <v>320916.55712549639</v>
      </c>
      <c r="J9" s="4">
        <f t="shared" si="4"/>
        <v>401784.49358140555</v>
      </c>
    </row>
    <row r="10" spans="1:13" x14ac:dyDescent="0.25">
      <c r="A10" s="20" t="s">
        <v>17</v>
      </c>
      <c r="B10" s="39"/>
      <c r="C10" s="225">
        <f t="shared" ref="C10:J10" si="5">C2</f>
        <v>2022</v>
      </c>
      <c r="D10" s="225">
        <f t="shared" si="5"/>
        <v>2023</v>
      </c>
      <c r="E10" s="225">
        <f t="shared" si="5"/>
        <v>2024</v>
      </c>
      <c r="F10" s="225">
        <f t="shared" si="5"/>
        <v>2025</v>
      </c>
      <c r="G10" s="225">
        <f t="shared" ref="G10:J10" si="6">G2</f>
        <v>2026</v>
      </c>
      <c r="H10" s="225">
        <f t="shared" si="6"/>
        <v>2027</v>
      </c>
      <c r="I10" s="225">
        <f t="shared" si="6"/>
        <v>2028</v>
      </c>
      <c r="J10" s="225">
        <f t="shared" si="6"/>
        <v>2029</v>
      </c>
      <c r="K10" s="185"/>
      <c r="L10" s="185"/>
    </row>
    <row r="11" spans="1:13" x14ac:dyDescent="0.25">
      <c r="B11" s="4" t="s">
        <v>18</v>
      </c>
      <c r="E11" s="26"/>
      <c r="F11" s="245">
        <f>Assumptions!F34</f>
        <v>0</v>
      </c>
      <c r="G11" s="245">
        <f>Assumptions!G34</f>
        <v>0</v>
      </c>
      <c r="H11" s="245">
        <f>Assumptions!H34</f>
        <v>0</v>
      </c>
      <c r="I11" s="245">
        <f>Assumptions!I34</f>
        <v>0</v>
      </c>
      <c r="J11" s="245">
        <f>Assumptions!J34</f>
        <v>0</v>
      </c>
      <c r="K11" s="191"/>
      <c r="L11" s="191"/>
    </row>
    <row r="12" spans="1:13" x14ac:dyDescent="0.25">
      <c r="E12" s="26"/>
      <c r="F12" s="74"/>
      <c r="G12" s="74"/>
      <c r="H12" s="74"/>
      <c r="I12" s="74"/>
      <c r="J12" s="74"/>
    </row>
    <row r="13" spans="1:13" x14ac:dyDescent="0.25">
      <c r="B13" s="4" t="s">
        <v>19</v>
      </c>
      <c r="E13" s="26"/>
      <c r="F13" s="4">
        <f>E17</f>
        <v>-675586</v>
      </c>
      <c r="G13" s="4">
        <f t="shared" ref="G13:J13" si="7">F17</f>
        <v>-564391.6803758</v>
      </c>
      <c r="H13" s="4">
        <f t="shared" si="7"/>
        <v>-427109.19119772001</v>
      </c>
      <c r="I13" s="4">
        <f t="shared" si="7"/>
        <v>-247041.32268882004</v>
      </c>
      <c r="J13" s="4">
        <f t="shared" si="7"/>
        <v>-10440.009507320094</v>
      </c>
    </row>
    <row r="14" spans="1:13" x14ac:dyDescent="0.25">
      <c r="B14" s="4" t="s">
        <v>20</v>
      </c>
      <c r="E14" s="26"/>
      <c r="F14" s="4">
        <f>IncState!F34</f>
        <v>147369.5696242</v>
      </c>
      <c r="G14" s="4">
        <f>IncState!G34</f>
        <v>180763.98917808002</v>
      </c>
      <c r="H14" s="4">
        <f>IncState!H34</f>
        <v>230855.61850889996</v>
      </c>
      <c r="I14" s="4">
        <f>IncState!I34</f>
        <v>294695.31318149995</v>
      </c>
      <c r="J14" s="4">
        <f>IncState!J34</f>
        <v>376026.37903359375</v>
      </c>
    </row>
    <row r="15" spans="1:13" x14ac:dyDescent="0.25">
      <c r="B15" s="4" t="s">
        <v>21</v>
      </c>
      <c r="E15" s="26"/>
      <c r="F15" s="4">
        <f>-IncState!F36</f>
        <v>-36175.25</v>
      </c>
      <c r="G15" s="4">
        <f>-IncState!G36</f>
        <v>-43481.5</v>
      </c>
      <c r="H15" s="4">
        <f>-IncState!H36</f>
        <v>-50787.75</v>
      </c>
      <c r="I15" s="4">
        <f>-IncState!I36</f>
        <v>-58094</v>
      </c>
      <c r="J15" s="4">
        <f>-IncState!J36</f>
        <v>-65400.25</v>
      </c>
    </row>
    <row r="16" spans="1:13" x14ac:dyDescent="0.25">
      <c r="B16" s="4" t="s">
        <v>22</v>
      </c>
      <c r="E16" s="26"/>
      <c r="F16" s="4">
        <f>F11</f>
        <v>0</v>
      </c>
      <c r="G16" s="4">
        <f t="shared" ref="G16:J16" si="8">G11</f>
        <v>0</v>
      </c>
      <c r="H16" s="4">
        <f t="shared" si="8"/>
        <v>0</v>
      </c>
      <c r="I16" s="4">
        <f t="shared" si="8"/>
        <v>0</v>
      </c>
      <c r="J16" s="4">
        <f t="shared" si="8"/>
        <v>0</v>
      </c>
    </row>
    <row r="17" spans="1:12" x14ac:dyDescent="0.25">
      <c r="B17" s="4" t="s">
        <v>23</v>
      </c>
      <c r="E17" s="26">
        <f>BalSheet!E37</f>
        <v>-675586</v>
      </c>
      <c r="F17" s="4">
        <f>SUM(F13:F16)</f>
        <v>-564391.6803758</v>
      </c>
      <c r="G17" s="4">
        <f t="shared" ref="G17:J17" si="9">SUM(G13:G16)</f>
        <v>-427109.19119772001</v>
      </c>
      <c r="H17" s="4">
        <f t="shared" si="9"/>
        <v>-247041.32268882004</v>
      </c>
      <c r="I17" s="4">
        <f t="shared" si="9"/>
        <v>-10440.009507320094</v>
      </c>
      <c r="J17" s="4">
        <f t="shared" si="9"/>
        <v>300186.11952627369</v>
      </c>
    </row>
    <row r="18" spans="1:12" x14ac:dyDescent="0.25">
      <c r="A18" s="20" t="s">
        <v>24</v>
      </c>
      <c r="B18" s="39"/>
      <c r="C18" s="225">
        <f>C10</f>
        <v>2022</v>
      </c>
      <c r="D18" s="225">
        <f t="shared" ref="D18:J18" si="10">D10</f>
        <v>2023</v>
      </c>
      <c r="E18" s="225">
        <f t="shared" si="10"/>
        <v>2024</v>
      </c>
      <c r="F18" s="225">
        <f t="shared" si="10"/>
        <v>2025</v>
      </c>
      <c r="G18" s="225">
        <f t="shared" ref="G18:J18" si="11">G10</f>
        <v>2026</v>
      </c>
      <c r="H18" s="225">
        <f t="shared" si="11"/>
        <v>2027</v>
      </c>
      <c r="I18" s="225">
        <f t="shared" si="11"/>
        <v>2028</v>
      </c>
      <c r="J18" s="225">
        <f t="shared" si="11"/>
        <v>2029</v>
      </c>
      <c r="K18" s="185"/>
      <c r="L18" s="185"/>
    </row>
    <row r="19" spans="1:12" x14ac:dyDescent="0.25">
      <c r="A19" s="83"/>
      <c r="B19" s="162" t="s">
        <v>159</v>
      </c>
      <c r="C19" s="185"/>
      <c r="D19" s="185"/>
      <c r="E19" s="206">
        <f>BalSheet!E15</f>
        <v>12516.14</v>
      </c>
      <c r="F19" s="122">
        <f>BalSheet!F15</f>
        <v>14143.238199999998</v>
      </c>
      <c r="G19" s="122">
        <f>BalSheet!G15</f>
        <v>16971.885839999999</v>
      </c>
      <c r="H19" s="122">
        <f>BalSheet!H15</f>
        <v>21214.857299999996</v>
      </c>
      <c r="I19" s="122">
        <f>BalSheet!I15</f>
        <v>26518.571624999997</v>
      </c>
      <c r="J19" s="122">
        <f>BalSheet!J15</f>
        <v>33148.214531249992</v>
      </c>
      <c r="K19" s="185"/>
      <c r="L19" s="185"/>
    </row>
    <row r="20" spans="1:12" x14ac:dyDescent="0.25">
      <c r="B20" s="4" t="str">
        <f>BalSheet!B17</f>
        <v>Accounts receivable</v>
      </c>
      <c r="C20" s="92"/>
      <c r="D20" s="92"/>
      <c r="E20" s="93">
        <f>BalSheet!E17</f>
        <v>19661</v>
      </c>
      <c r="F20" s="4">
        <f>BalSheet!F17</f>
        <v>22216.93</v>
      </c>
      <c r="G20" s="4">
        <f>BalSheet!G17</f>
        <v>26660.315999999999</v>
      </c>
      <c r="H20" s="4">
        <f>BalSheet!H17</f>
        <v>33325.394999999997</v>
      </c>
      <c r="I20" s="4">
        <f>BalSheet!I17</f>
        <v>41656.743750000001</v>
      </c>
      <c r="J20" s="4">
        <f>BalSheet!J17</f>
        <v>52070.9296875</v>
      </c>
      <c r="K20" s="92"/>
      <c r="L20" s="92"/>
    </row>
    <row r="21" spans="1:12" x14ac:dyDescent="0.25">
      <c r="B21" s="4" t="s">
        <v>71</v>
      </c>
      <c r="C21" s="92"/>
      <c r="D21" s="92"/>
      <c r="E21" s="93">
        <f>BalSheet!E18</f>
        <v>60047</v>
      </c>
      <c r="F21" s="4">
        <f>BalSheet!F18</f>
        <v>67853.109999999986</v>
      </c>
      <c r="G21" s="4">
        <f>BalSheet!G18</f>
        <v>81423.731999999989</v>
      </c>
      <c r="H21" s="4">
        <f>BalSheet!H18</f>
        <v>101779.66499999996</v>
      </c>
      <c r="I21" s="4">
        <f>BalSheet!I18</f>
        <v>127224.58124999997</v>
      </c>
      <c r="J21" s="4">
        <f>BalSheet!J18</f>
        <v>159030.72656249997</v>
      </c>
      <c r="K21" s="92"/>
      <c r="L21" s="92"/>
    </row>
    <row r="22" spans="1:12" x14ac:dyDescent="0.25">
      <c r="B22" s="4" t="s">
        <v>163</v>
      </c>
      <c r="C22" s="92"/>
      <c r="D22" s="92"/>
      <c r="E22" s="93">
        <f>BalSheet!E29</f>
        <v>6943</v>
      </c>
      <c r="F22" s="4">
        <f>BalSheet!F29</f>
        <v>7792.0080074523084</v>
      </c>
      <c r="G22" s="4">
        <f>BalSheet!G29</f>
        <v>9286.1112178855401</v>
      </c>
      <c r="H22" s="4">
        <f>BalSheet!H29</f>
        <v>11527.266033535388</v>
      </c>
      <c r="I22" s="4">
        <f>BalSheet!I29</f>
        <v>14308.616305892318</v>
      </c>
      <c r="J22" s="4">
        <f>BalSheet!J29</f>
        <v>17760.187587331744</v>
      </c>
      <c r="K22" s="92"/>
      <c r="L22" s="92"/>
    </row>
    <row r="23" spans="1:12" x14ac:dyDescent="0.25">
      <c r="B23" s="4" t="s">
        <v>77</v>
      </c>
      <c r="C23" s="92"/>
      <c r="D23" s="92"/>
      <c r="E23" s="93">
        <f>BalSheet!E30</f>
        <v>80500</v>
      </c>
      <c r="F23" s="4">
        <f>BalSheet!F30</f>
        <v>90965</v>
      </c>
      <c r="G23" s="4">
        <f>BalSheet!G30</f>
        <v>109158</v>
      </c>
      <c r="H23" s="4">
        <f>BalSheet!H30</f>
        <v>136447.49999999997</v>
      </c>
      <c r="I23" s="4">
        <f>BalSheet!I30</f>
        <v>170559.375</v>
      </c>
      <c r="J23" s="4">
        <f>BalSheet!J30</f>
        <v>213199.21875</v>
      </c>
      <c r="K23" s="92"/>
      <c r="L23" s="92"/>
    </row>
    <row r="24" spans="1:12" x14ac:dyDescent="0.25">
      <c r="A24" s="11" t="s">
        <v>125</v>
      </c>
      <c r="B24" s="17" t="s">
        <v>24</v>
      </c>
      <c r="C24" s="18"/>
      <c r="D24" s="18"/>
      <c r="E24" s="18">
        <f>SUM(E19:E21)-SUM(E22:E23)</f>
        <v>4781.1399999999994</v>
      </c>
      <c r="F24" s="18">
        <f>SUM(F19:F21)-SUM(F22:F23)</f>
        <v>5456.2701925476722</v>
      </c>
      <c r="G24" s="18">
        <f t="shared" ref="G24:J24" si="12">SUM(G19:G21)-SUM(G22:G23)</f>
        <v>6611.8226221144432</v>
      </c>
      <c r="H24" s="18">
        <f t="shared" si="12"/>
        <v>8345.1512664646143</v>
      </c>
      <c r="I24" s="18">
        <f t="shared" si="12"/>
        <v>10531.905319107667</v>
      </c>
      <c r="J24" s="18">
        <f t="shared" si="12"/>
        <v>13290.464443918201</v>
      </c>
      <c r="K24" s="11"/>
      <c r="L24" s="11"/>
    </row>
    <row r="25" spans="1:12" s="11" customFormat="1" x14ac:dyDescent="0.25">
      <c r="A25" s="24"/>
      <c r="B25" s="11" t="s">
        <v>151</v>
      </c>
      <c r="F25" s="11">
        <f>E24-F24</f>
        <v>-675.13019254767278</v>
      </c>
      <c r="G25" s="11">
        <f t="shared" ref="G25:J25" si="13">F24-G24</f>
        <v>-1155.552429566771</v>
      </c>
      <c r="H25" s="11">
        <f t="shared" si="13"/>
        <v>-1733.3286443501711</v>
      </c>
      <c r="I25" s="11">
        <f t="shared" si="13"/>
        <v>-2186.754052643053</v>
      </c>
      <c r="J25" s="11">
        <f t="shared" si="13"/>
        <v>-2758.5591248105338</v>
      </c>
    </row>
    <row r="26" spans="1:12" x14ac:dyDescent="0.25">
      <c r="B26" s="62"/>
      <c r="C26" s="62"/>
      <c r="D26" s="62"/>
      <c r="E26" s="62"/>
      <c r="F26" s="62"/>
      <c r="G26" s="62"/>
      <c r="H26" s="80"/>
      <c r="I26" s="62"/>
      <c r="J26" s="62"/>
    </row>
    <row r="27" spans="1:12" x14ac:dyDescent="0.25">
      <c r="H27" s="6"/>
      <c r="I27" s="4"/>
      <c r="J27" s="4"/>
    </row>
    <row r="28" spans="1:12" x14ac:dyDescent="0.25">
      <c r="H28" s="6"/>
      <c r="I28" s="4"/>
      <c r="J28" s="4"/>
    </row>
    <row r="29" spans="1:12" x14ac:dyDescent="0.25">
      <c r="H29" s="6"/>
      <c r="I29" s="4"/>
      <c r="J29" s="4"/>
    </row>
    <row r="30" spans="1:12" x14ac:dyDescent="0.25">
      <c r="H30" s="6"/>
      <c r="I30" s="4"/>
      <c r="J30" s="4"/>
    </row>
    <row r="31" spans="1:12" x14ac:dyDescent="0.25">
      <c r="H31" s="6"/>
      <c r="I31" s="4"/>
      <c r="J31" s="4"/>
    </row>
    <row r="32" spans="1:12" x14ac:dyDescent="0.25">
      <c r="H32" s="6"/>
      <c r="I32" s="4"/>
      <c r="J32" s="4"/>
    </row>
    <row r="33" spans="8:10" x14ac:dyDescent="0.25">
      <c r="H33" s="6"/>
      <c r="I33" s="4"/>
      <c r="J33" s="4"/>
    </row>
    <row r="34" spans="8:10" x14ac:dyDescent="0.25">
      <c r="H34" s="6"/>
      <c r="I34" s="4"/>
      <c r="J34" s="4"/>
    </row>
    <row r="35" spans="8:10" x14ac:dyDescent="0.25">
      <c r="H35" s="6"/>
      <c r="I35" s="4"/>
      <c r="J35" s="4"/>
    </row>
    <row r="36" spans="8:10" x14ac:dyDescent="0.25">
      <c r="H36" s="6"/>
      <c r="I36" s="4"/>
      <c r="J36" s="4"/>
    </row>
    <row r="37" spans="8:10" x14ac:dyDescent="0.25">
      <c r="H37" s="6"/>
      <c r="I37" s="4"/>
      <c r="J37" s="4"/>
    </row>
    <row r="38" spans="8:10" x14ac:dyDescent="0.25">
      <c r="H38" s="6"/>
      <c r="I38" s="4"/>
      <c r="J38" s="4"/>
    </row>
    <row r="39" spans="8:10" x14ac:dyDescent="0.25">
      <c r="H39" s="6"/>
      <c r="I39" s="4"/>
      <c r="J39" s="4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pageSetUpPr autoPageBreaks="0" fitToPage="1"/>
  </sheetPr>
  <dimension ref="A1:M34"/>
  <sheetViews>
    <sheetView showGridLines="0" zoomScaleNormal="100" workbookViewId="0">
      <selection activeCell="D2" sqref="D2:J2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12" width="11.42578125" style="4" customWidth="1"/>
    <col min="13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3" s="2" customFormat="1" ht="19.5" x14ac:dyDescent="0.3">
      <c r="A1" s="244" t="str">
        <f>CoName</f>
        <v>Wingstop Inc</v>
      </c>
      <c r="B1" s="3"/>
      <c r="C1" s="38" t="s">
        <v>0</v>
      </c>
      <c r="D1" s="38" t="s">
        <v>0</v>
      </c>
      <c r="E1" s="38" t="s">
        <v>0</v>
      </c>
      <c r="F1" s="38" t="s">
        <v>1</v>
      </c>
      <c r="G1" s="38" t="s">
        <v>1</v>
      </c>
      <c r="H1" s="38" t="s">
        <v>1</v>
      </c>
      <c r="I1" s="38" t="s">
        <v>1</v>
      </c>
      <c r="J1" s="38" t="s">
        <v>1</v>
      </c>
      <c r="K1" s="38"/>
      <c r="L1" s="38"/>
    </row>
    <row r="2" spans="1:13" s="2" customFormat="1" x14ac:dyDescent="0.25">
      <c r="A2" s="16" t="s">
        <v>10</v>
      </c>
      <c r="B2" s="184"/>
      <c r="C2" s="252">
        <v>2022</v>
      </c>
      <c r="D2" s="252">
        <f>C2+1</f>
        <v>2023</v>
      </c>
      <c r="E2" s="252">
        <f t="shared" ref="E2:J2" si="0">D2+1</f>
        <v>2024</v>
      </c>
      <c r="F2" s="252">
        <f t="shared" si="0"/>
        <v>2025</v>
      </c>
      <c r="G2" s="252">
        <f t="shared" si="0"/>
        <v>2026</v>
      </c>
      <c r="H2" s="252">
        <f t="shared" si="0"/>
        <v>2027</v>
      </c>
      <c r="I2" s="252">
        <f t="shared" si="0"/>
        <v>2028</v>
      </c>
      <c r="J2" s="252">
        <f t="shared" si="0"/>
        <v>2029</v>
      </c>
      <c r="K2" s="193"/>
      <c r="L2" s="193"/>
    </row>
    <row r="3" spans="1:13" s="2" customFormat="1" x14ac:dyDescent="0.25">
      <c r="A3" s="83"/>
      <c r="B3" s="11"/>
      <c r="C3" s="185"/>
      <c r="D3" s="185"/>
      <c r="E3" s="185"/>
      <c r="F3" s="185"/>
      <c r="G3" s="185"/>
      <c r="H3" s="185"/>
      <c r="I3" s="185"/>
      <c r="J3" s="185"/>
      <c r="K3" s="193"/>
      <c r="L3" s="193"/>
    </row>
    <row r="4" spans="1:13" s="2" customFormat="1" x14ac:dyDescent="0.25">
      <c r="A4" s="11"/>
      <c r="B4" s="4" t="s">
        <v>25</v>
      </c>
      <c r="C4" s="29"/>
      <c r="D4" s="53"/>
      <c r="E4" s="56"/>
      <c r="F4" s="105">
        <f>Assumptions!F23</f>
        <v>5.8000000000000003E-2</v>
      </c>
      <c r="G4" s="105">
        <f>Assumptions!G23</f>
        <v>5.8000000000000003E-2</v>
      </c>
      <c r="H4" s="105">
        <f>Assumptions!H23</f>
        <v>5.8000000000000003E-2</v>
      </c>
      <c r="I4" s="105">
        <f>Assumptions!I23</f>
        <v>5.8000000000000003E-2</v>
      </c>
      <c r="J4" s="105">
        <f>Assumptions!J23</f>
        <v>5.8000000000000003E-2</v>
      </c>
      <c r="K4" s="28"/>
      <c r="L4" s="28"/>
    </row>
    <row r="5" spans="1:13" s="2" customFormat="1" x14ac:dyDescent="0.25">
      <c r="A5" s="11"/>
      <c r="B5" s="4" t="s">
        <v>26</v>
      </c>
      <c r="C5" s="29"/>
      <c r="D5" s="54"/>
      <c r="E5" s="57"/>
      <c r="F5" s="105">
        <f>Assumptions!F24</f>
        <v>0.04</v>
      </c>
      <c r="G5" s="105">
        <f>Assumptions!G24</f>
        <v>0.04</v>
      </c>
      <c r="H5" s="105">
        <f>Assumptions!H24</f>
        <v>0.04</v>
      </c>
      <c r="I5" s="105">
        <f>Assumptions!I24</f>
        <v>0.04</v>
      </c>
      <c r="J5" s="105">
        <f>Assumptions!J24</f>
        <v>0.04</v>
      </c>
      <c r="K5" s="28"/>
      <c r="L5" s="28"/>
    </row>
    <row r="6" spans="1:13" s="2" customFormat="1" x14ac:dyDescent="0.25">
      <c r="A6" s="11"/>
      <c r="B6" s="4" t="s">
        <v>27</v>
      </c>
      <c r="C6" s="29"/>
      <c r="D6" s="53"/>
      <c r="E6" s="56"/>
      <c r="F6" s="105">
        <f>Assumptions!F25</f>
        <v>0.04</v>
      </c>
      <c r="G6" s="105">
        <f>Assumptions!G25</f>
        <v>0.04</v>
      </c>
      <c r="H6" s="105">
        <f>Assumptions!H25</f>
        <v>0.04</v>
      </c>
      <c r="I6" s="105">
        <f>Assumptions!I25</f>
        <v>0.04</v>
      </c>
      <c r="J6" s="105">
        <f>Assumptions!J25</f>
        <v>0.04</v>
      </c>
      <c r="K6" s="28"/>
      <c r="L6" s="28"/>
    </row>
    <row r="7" spans="1:13" s="2" customFormat="1" x14ac:dyDescent="0.25">
      <c r="A7" s="11"/>
      <c r="B7" s="4"/>
      <c r="C7" s="29"/>
      <c r="D7" s="29"/>
      <c r="E7" s="29"/>
      <c r="F7" s="103"/>
      <c r="G7" s="103"/>
      <c r="H7" s="103"/>
      <c r="I7" s="104"/>
      <c r="J7" s="104"/>
      <c r="K7" s="194"/>
      <c r="L7" s="194"/>
    </row>
    <row r="8" spans="1:13" s="2" customFormat="1" x14ac:dyDescent="0.25">
      <c r="A8" s="11"/>
      <c r="B8" s="4" t="s">
        <v>28</v>
      </c>
      <c r="C8" s="29"/>
      <c r="D8" s="55"/>
      <c r="E8" s="58"/>
      <c r="F8" s="106">
        <f>Assumptions!F27</f>
        <v>0</v>
      </c>
      <c r="G8" s="106">
        <f>Assumptions!G27</f>
        <v>0</v>
      </c>
      <c r="H8" s="106">
        <f>Assumptions!H27</f>
        <v>0</v>
      </c>
      <c r="I8" s="106">
        <f>Assumptions!I27</f>
        <v>0</v>
      </c>
      <c r="J8" s="106">
        <f>Assumptions!J27</f>
        <v>0</v>
      </c>
      <c r="K8" s="195"/>
      <c r="L8" s="195"/>
    </row>
    <row r="9" spans="1:13" s="2" customFormat="1" x14ac:dyDescent="0.25">
      <c r="A9" s="11"/>
      <c r="B9" s="4" t="s">
        <v>29</v>
      </c>
      <c r="C9" s="29"/>
      <c r="D9" s="55"/>
      <c r="E9" s="58"/>
      <c r="F9" s="106">
        <f>Assumptions!F28</f>
        <v>0</v>
      </c>
      <c r="G9" s="106">
        <f>Assumptions!G28</f>
        <v>0</v>
      </c>
      <c r="H9" s="106">
        <f>Assumptions!H28</f>
        <v>0</v>
      </c>
      <c r="I9" s="106">
        <f>Assumptions!I28</f>
        <v>0</v>
      </c>
      <c r="J9" s="106">
        <f>Assumptions!J28</f>
        <v>0</v>
      </c>
      <c r="K9" s="195"/>
      <c r="L9" s="195"/>
    </row>
    <row r="10" spans="1:13" s="2" customFormat="1" ht="18.75" x14ac:dyDescent="0.3">
      <c r="A10" s="32"/>
      <c r="B10" s="3"/>
      <c r="C10" s="50"/>
      <c r="D10" s="50"/>
      <c r="E10" s="50"/>
      <c r="F10" s="102"/>
      <c r="G10" s="102"/>
      <c r="H10" s="102"/>
      <c r="I10" s="102"/>
      <c r="J10" s="102"/>
      <c r="K10" s="50"/>
      <c r="L10" s="50"/>
    </row>
    <row r="11" spans="1:13" x14ac:dyDescent="0.25">
      <c r="A11" s="20" t="s">
        <v>30</v>
      </c>
      <c r="B11" s="51"/>
      <c r="C11" s="243">
        <f>C2</f>
        <v>2022</v>
      </c>
      <c r="D11" s="243">
        <f t="shared" ref="D11:J11" si="1">D2</f>
        <v>2023</v>
      </c>
      <c r="E11" s="243">
        <f t="shared" si="1"/>
        <v>2024</v>
      </c>
      <c r="F11" s="243">
        <f t="shared" si="1"/>
        <v>2025</v>
      </c>
      <c r="G11" s="243">
        <f t="shared" si="1"/>
        <v>2026</v>
      </c>
      <c r="H11" s="243">
        <f t="shared" si="1"/>
        <v>2027</v>
      </c>
      <c r="I11" s="243">
        <f t="shared" si="1"/>
        <v>2028</v>
      </c>
      <c r="J11" s="243">
        <f t="shared" si="1"/>
        <v>2029</v>
      </c>
      <c r="K11" s="196"/>
      <c r="L11" s="196"/>
      <c r="M11" s="44"/>
    </row>
    <row r="12" spans="1:13" x14ac:dyDescent="0.25">
      <c r="B12" s="4" t="s">
        <v>31</v>
      </c>
      <c r="E12" s="26"/>
      <c r="F12" s="4">
        <v>0</v>
      </c>
      <c r="G12" s="4">
        <v>0</v>
      </c>
      <c r="H12" s="4">
        <v>0</v>
      </c>
      <c r="I12" s="4">
        <v>0</v>
      </c>
      <c r="J12" s="4">
        <v>0</v>
      </c>
      <c r="M12" s="44"/>
    </row>
    <row r="13" spans="1:13" x14ac:dyDescent="0.25">
      <c r="B13" s="4" t="s">
        <v>32</v>
      </c>
      <c r="E13" s="27"/>
      <c r="I13" s="4"/>
      <c r="J13" s="4"/>
      <c r="M13" s="44"/>
    </row>
    <row r="14" spans="1:13" x14ac:dyDescent="0.25">
      <c r="B14" s="4" t="s">
        <v>33</v>
      </c>
      <c r="E14" s="26"/>
      <c r="I14" s="4"/>
      <c r="J14" s="4"/>
      <c r="M14" s="44"/>
    </row>
    <row r="15" spans="1:13" x14ac:dyDescent="0.25">
      <c r="E15" s="26"/>
      <c r="I15" s="4"/>
      <c r="J15" s="4"/>
      <c r="M15" s="44"/>
    </row>
    <row r="16" spans="1:13" x14ac:dyDescent="0.25">
      <c r="A16" s="251" t="s">
        <v>34</v>
      </c>
      <c r="B16" s="19"/>
      <c r="C16" s="243">
        <f t="shared" ref="C16:J16" si="2">C11</f>
        <v>2022</v>
      </c>
      <c r="D16" s="243">
        <f t="shared" si="2"/>
        <v>2023</v>
      </c>
      <c r="E16" s="243">
        <f t="shared" si="2"/>
        <v>2024</v>
      </c>
      <c r="F16" s="243">
        <f t="shared" si="2"/>
        <v>2025</v>
      </c>
      <c r="G16" s="243">
        <f t="shared" ref="G16:J16" si="3">G11</f>
        <v>2026</v>
      </c>
      <c r="H16" s="243">
        <f t="shared" si="3"/>
        <v>2027</v>
      </c>
      <c r="I16" s="243">
        <f t="shared" si="3"/>
        <v>2028</v>
      </c>
      <c r="J16" s="243">
        <f t="shared" si="3"/>
        <v>2029</v>
      </c>
      <c r="K16" s="193"/>
      <c r="L16" s="193"/>
      <c r="M16" s="44"/>
    </row>
    <row r="17" spans="1:13" x14ac:dyDescent="0.25">
      <c r="B17" s="4" t="s">
        <v>19</v>
      </c>
      <c r="E17" s="26"/>
      <c r="F17" s="4">
        <f>E20</f>
        <v>1206201</v>
      </c>
      <c r="G17" s="4">
        <f t="shared" ref="G17:J17" si="4">F20</f>
        <v>1206201</v>
      </c>
      <c r="H17" s="4">
        <f t="shared" si="4"/>
        <v>1206201</v>
      </c>
      <c r="I17" s="4">
        <f t="shared" si="4"/>
        <v>1206201</v>
      </c>
      <c r="J17" s="4">
        <f t="shared" si="4"/>
        <v>1206201</v>
      </c>
      <c r="M17" s="44"/>
    </row>
    <row r="18" spans="1:13" x14ac:dyDescent="0.25">
      <c r="B18" s="4" t="s">
        <v>35</v>
      </c>
      <c r="E18" s="26"/>
      <c r="F18" s="4">
        <f>F8</f>
        <v>0</v>
      </c>
      <c r="G18" s="4">
        <f t="shared" ref="G18:J18" si="5">G8</f>
        <v>0</v>
      </c>
      <c r="H18" s="4">
        <f t="shared" si="5"/>
        <v>0</v>
      </c>
      <c r="I18" s="4">
        <f t="shared" si="5"/>
        <v>0</v>
      </c>
      <c r="J18" s="4">
        <f t="shared" si="5"/>
        <v>0</v>
      </c>
      <c r="M18" s="44"/>
    </row>
    <row r="19" spans="1:13" x14ac:dyDescent="0.25">
      <c r="B19" s="4" t="s">
        <v>36</v>
      </c>
      <c r="E19" s="26"/>
      <c r="F19" s="4">
        <f>F9</f>
        <v>0</v>
      </c>
      <c r="G19" s="4">
        <f t="shared" ref="G19:J19" si="6">G9</f>
        <v>0</v>
      </c>
      <c r="H19" s="4">
        <f t="shared" si="6"/>
        <v>0</v>
      </c>
      <c r="I19" s="4">
        <f t="shared" si="6"/>
        <v>0</v>
      </c>
      <c r="J19" s="4">
        <f t="shared" si="6"/>
        <v>0</v>
      </c>
    </row>
    <row r="20" spans="1:13" x14ac:dyDescent="0.25">
      <c r="B20" s="4" t="s">
        <v>23</v>
      </c>
      <c r="C20" s="10"/>
      <c r="E20" s="26">
        <f>BalSheet!E33</f>
        <v>1206201</v>
      </c>
      <c r="F20" s="4">
        <f>SUM(F17:F19)</f>
        <v>1206201</v>
      </c>
      <c r="G20" s="4">
        <f t="shared" ref="G20:J20" si="7">SUM(G17:G19)</f>
        <v>1206201</v>
      </c>
      <c r="H20" s="4">
        <f t="shared" si="7"/>
        <v>1206201</v>
      </c>
      <c r="I20" s="4">
        <f t="shared" si="7"/>
        <v>1206201</v>
      </c>
      <c r="J20" s="4">
        <f t="shared" si="7"/>
        <v>1206201</v>
      </c>
    </row>
    <row r="21" spans="1:13" x14ac:dyDescent="0.25">
      <c r="B21" s="4" t="s">
        <v>32</v>
      </c>
      <c r="D21" s="45"/>
      <c r="E21" s="26"/>
      <c r="F21" s="8">
        <f>F5</f>
        <v>0.04</v>
      </c>
      <c r="G21" s="8">
        <f t="shared" ref="G21:J21" si="8">G5</f>
        <v>0.04</v>
      </c>
      <c r="H21" s="8">
        <f t="shared" si="8"/>
        <v>0.04</v>
      </c>
      <c r="I21" s="8">
        <f t="shared" si="8"/>
        <v>0.04</v>
      </c>
      <c r="J21" s="8">
        <f t="shared" si="8"/>
        <v>0.04</v>
      </c>
    </row>
    <row r="22" spans="1:13" x14ac:dyDescent="0.25">
      <c r="B22" s="4" t="s">
        <v>33</v>
      </c>
      <c r="E22" s="26"/>
      <c r="F22" s="4">
        <f>F20*F21</f>
        <v>48248.04</v>
      </c>
      <c r="G22" s="4">
        <f t="shared" ref="G22:J22" si="9">G20*G21</f>
        <v>48248.04</v>
      </c>
      <c r="H22" s="4">
        <f t="shared" si="9"/>
        <v>48248.04</v>
      </c>
      <c r="I22" s="4">
        <f t="shared" si="9"/>
        <v>48248.04</v>
      </c>
      <c r="J22" s="4">
        <f t="shared" si="9"/>
        <v>48248.04</v>
      </c>
    </row>
    <row r="23" spans="1:13" x14ac:dyDescent="0.25">
      <c r="E23" s="26"/>
      <c r="I23" s="4"/>
      <c r="J23" s="4"/>
    </row>
    <row r="24" spans="1:13" x14ac:dyDescent="0.25">
      <c r="A24" s="20" t="s">
        <v>37</v>
      </c>
      <c r="B24" s="39"/>
      <c r="C24" s="243">
        <f>C16</f>
        <v>2022</v>
      </c>
      <c r="D24" s="243">
        <f t="shared" ref="D24:J24" si="10">D16</f>
        <v>2023</v>
      </c>
      <c r="E24" s="243">
        <f t="shared" si="10"/>
        <v>2024</v>
      </c>
      <c r="F24" s="243">
        <f t="shared" si="10"/>
        <v>2025</v>
      </c>
      <c r="G24" s="243">
        <f t="shared" ref="G24:J24" si="11">G16</f>
        <v>2026</v>
      </c>
      <c r="H24" s="243">
        <f t="shared" si="11"/>
        <v>2027</v>
      </c>
      <c r="I24" s="243">
        <f t="shared" si="11"/>
        <v>2028</v>
      </c>
      <c r="J24" s="243">
        <f t="shared" si="11"/>
        <v>2029</v>
      </c>
      <c r="K24" s="193"/>
      <c r="L24" s="193"/>
    </row>
    <row r="25" spans="1:13" x14ac:dyDescent="0.25">
      <c r="A25" s="7"/>
      <c r="B25" s="4" t="s">
        <v>30</v>
      </c>
      <c r="E25" s="26"/>
      <c r="F25" s="4">
        <v>0</v>
      </c>
      <c r="G25" s="4">
        <v>0</v>
      </c>
      <c r="H25" s="4">
        <v>0</v>
      </c>
      <c r="I25" s="4">
        <v>0</v>
      </c>
      <c r="J25" s="4">
        <v>0</v>
      </c>
    </row>
    <row r="26" spans="1:13" x14ac:dyDescent="0.25">
      <c r="A26" s="7"/>
      <c r="B26" s="4" t="s">
        <v>38</v>
      </c>
      <c r="E26" s="26"/>
      <c r="F26" s="4">
        <f>F20</f>
        <v>1206201</v>
      </c>
      <c r="G26" s="4">
        <f t="shared" ref="G26:J26" si="12">G20</f>
        <v>1206201</v>
      </c>
      <c r="H26" s="4">
        <f t="shared" si="12"/>
        <v>1206201</v>
      </c>
      <c r="I26" s="4">
        <f t="shared" si="12"/>
        <v>1206201</v>
      </c>
      <c r="J26" s="4">
        <f t="shared" si="12"/>
        <v>1206201</v>
      </c>
    </row>
    <row r="27" spans="1:13" x14ac:dyDescent="0.25">
      <c r="A27" s="7"/>
      <c r="B27" s="11" t="s">
        <v>39</v>
      </c>
      <c r="D27" s="11"/>
      <c r="E27" s="24"/>
      <c r="F27" s="11">
        <f>SUM(F25:F26)</f>
        <v>1206201</v>
      </c>
      <c r="G27" s="11">
        <f t="shared" ref="G27:J27" si="13">SUM(G25:G26)</f>
        <v>1206201</v>
      </c>
      <c r="H27" s="11">
        <f t="shared" si="13"/>
        <v>1206201</v>
      </c>
      <c r="I27" s="11">
        <f t="shared" si="13"/>
        <v>1206201</v>
      </c>
      <c r="J27" s="11">
        <f t="shared" si="13"/>
        <v>1206201</v>
      </c>
      <c r="K27" s="11"/>
      <c r="L27" s="11"/>
    </row>
    <row r="28" spans="1:13" x14ac:dyDescent="0.25">
      <c r="A28" s="7"/>
      <c r="B28" s="4" t="s">
        <v>40</v>
      </c>
      <c r="E28" s="26"/>
      <c r="F28" s="4">
        <f>F22</f>
        <v>48248.04</v>
      </c>
      <c r="G28" s="4">
        <f t="shared" ref="G28:J28" si="14">G22</f>
        <v>48248.04</v>
      </c>
      <c r="H28" s="4">
        <f t="shared" si="14"/>
        <v>48248.04</v>
      </c>
      <c r="I28" s="4">
        <f t="shared" si="14"/>
        <v>48248.04</v>
      </c>
      <c r="J28" s="4">
        <f t="shared" si="14"/>
        <v>48248.04</v>
      </c>
    </row>
    <row r="29" spans="1:13" x14ac:dyDescent="0.25">
      <c r="A29" s="7"/>
      <c r="E29" s="26"/>
      <c r="I29" s="4"/>
      <c r="J29" s="4"/>
    </row>
    <row r="30" spans="1:13" x14ac:dyDescent="0.25">
      <c r="A30" s="20" t="s">
        <v>41</v>
      </c>
      <c r="B30" s="39"/>
      <c r="C30" s="243">
        <f>C11</f>
        <v>2022</v>
      </c>
      <c r="D30" s="243">
        <f t="shared" ref="D30:J30" si="15">D11</f>
        <v>2023</v>
      </c>
      <c r="E30" s="243">
        <f t="shared" si="15"/>
        <v>2024</v>
      </c>
      <c r="F30" s="243">
        <f t="shared" si="15"/>
        <v>2025</v>
      </c>
      <c r="G30" s="243">
        <f t="shared" ref="G30:J30" si="16">G11</f>
        <v>2026</v>
      </c>
      <c r="H30" s="243">
        <f t="shared" si="16"/>
        <v>2027</v>
      </c>
      <c r="I30" s="243">
        <f t="shared" si="16"/>
        <v>2028</v>
      </c>
      <c r="J30" s="243">
        <f t="shared" si="16"/>
        <v>2029</v>
      </c>
      <c r="K30" s="193"/>
      <c r="L30" s="193"/>
    </row>
    <row r="31" spans="1:13" x14ac:dyDescent="0.25">
      <c r="A31" s="7"/>
      <c r="B31" s="4" t="s">
        <v>169</v>
      </c>
      <c r="E31" s="26"/>
      <c r="F31" s="4">
        <f>BalSheet!F16</f>
        <v>378893.2568334497</v>
      </c>
      <c r="G31" s="4">
        <f>BalSheet!G16</f>
        <v>475748.01301527722</v>
      </c>
      <c r="H31" s="4">
        <f>BalSheet!H16</f>
        <v>605811.94265515381</v>
      </c>
      <c r="I31" s="4">
        <f>BalSheet!I16</f>
        <v>780054.58429807576</v>
      </c>
      <c r="J31" s="4">
        <f>BalSheet!J16</f>
        <v>1012844.2318134499</v>
      </c>
    </row>
    <row r="32" spans="1:13" x14ac:dyDescent="0.25">
      <c r="B32" s="4" t="s">
        <v>32</v>
      </c>
      <c r="D32" s="45"/>
      <c r="E32" s="23"/>
      <c r="F32" s="5">
        <f>F6</f>
        <v>0.04</v>
      </c>
      <c r="G32" s="5">
        <f t="shared" ref="G32:J32" si="17">G6</f>
        <v>0.04</v>
      </c>
      <c r="H32" s="5">
        <f t="shared" si="17"/>
        <v>0.04</v>
      </c>
      <c r="I32" s="5">
        <f t="shared" si="17"/>
        <v>0.04</v>
      </c>
      <c r="J32" s="5">
        <f t="shared" si="17"/>
        <v>0.04</v>
      </c>
      <c r="K32" s="161"/>
      <c r="L32" s="161"/>
    </row>
    <row r="33" spans="2:10" x14ac:dyDescent="0.25">
      <c r="B33" s="4" t="s">
        <v>41</v>
      </c>
      <c r="E33" s="26"/>
      <c r="F33" s="4">
        <f>F31*F32</f>
        <v>15155.730273337989</v>
      </c>
      <c r="G33" s="4">
        <f t="shared" ref="G33:J33" si="18">G31*G32</f>
        <v>19029.920520611089</v>
      </c>
      <c r="H33" s="4">
        <f t="shared" si="18"/>
        <v>24232.477706206151</v>
      </c>
      <c r="I33" s="4">
        <f t="shared" si="18"/>
        <v>31202.183371923031</v>
      </c>
      <c r="J33" s="4">
        <f t="shared" si="18"/>
        <v>40513.769272537997</v>
      </c>
    </row>
    <row r="34" spans="2:10" x14ac:dyDescent="0.25">
      <c r="E34" s="26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autoPageBreaks="0" fitToPage="1"/>
  </sheetPr>
  <dimension ref="A1:L43"/>
  <sheetViews>
    <sheetView showGridLines="0" zoomScaleNormal="100" workbookViewId="0">
      <selection activeCell="F29" sqref="F28:J29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7" width="11.7109375" style="4" customWidth="1"/>
    <col min="8" max="8" width="11.7109375" style="6" customWidth="1"/>
    <col min="9" max="10" width="11.7109375" style="4" customWidth="1"/>
    <col min="11" max="12" width="12" style="4" customWidth="1"/>
    <col min="13" max="253" width="8.85546875" style="4"/>
    <col min="254" max="254" width="1.7109375" style="4" customWidth="1"/>
    <col min="255" max="255" width="40.7109375" style="4" customWidth="1"/>
    <col min="256" max="260" width="10.7109375" style="4" customWidth="1"/>
    <col min="261" max="261" width="11.42578125" style="4" customWidth="1"/>
    <col min="262" max="263" width="12" style="4" customWidth="1"/>
    <col min="264" max="265" width="8.85546875" style="4"/>
    <col min="266" max="266" width="10.7109375" style="4" bestFit="1" customWidth="1"/>
    <col min="267" max="509" width="8.85546875" style="4"/>
    <col min="510" max="510" width="1.7109375" style="4" customWidth="1"/>
    <col min="511" max="511" width="40.7109375" style="4" customWidth="1"/>
    <col min="512" max="516" width="10.7109375" style="4" customWidth="1"/>
    <col min="517" max="517" width="11.42578125" style="4" customWidth="1"/>
    <col min="518" max="519" width="12" style="4" customWidth="1"/>
    <col min="520" max="521" width="8.85546875" style="4"/>
    <col min="522" max="522" width="10.7109375" style="4" bestFit="1" customWidth="1"/>
    <col min="523" max="765" width="8.85546875" style="4"/>
    <col min="766" max="766" width="1.7109375" style="4" customWidth="1"/>
    <col min="767" max="767" width="40.7109375" style="4" customWidth="1"/>
    <col min="768" max="772" width="10.7109375" style="4" customWidth="1"/>
    <col min="773" max="773" width="11.42578125" style="4" customWidth="1"/>
    <col min="774" max="775" width="12" style="4" customWidth="1"/>
    <col min="776" max="777" width="8.85546875" style="4"/>
    <col min="778" max="778" width="10.7109375" style="4" bestFit="1" customWidth="1"/>
    <col min="779" max="1021" width="8.85546875" style="4"/>
    <col min="1022" max="1022" width="1.7109375" style="4" customWidth="1"/>
    <col min="1023" max="1023" width="40.7109375" style="4" customWidth="1"/>
    <col min="1024" max="1028" width="10.7109375" style="4" customWidth="1"/>
    <col min="1029" max="1029" width="11.42578125" style="4" customWidth="1"/>
    <col min="1030" max="1031" width="12" style="4" customWidth="1"/>
    <col min="1032" max="1033" width="8.85546875" style="4"/>
    <col min="1034" max="1034" width="10.7109375" style="4" bestFit="1" customWidth="1"/>
    <col min="1035" max="1277" width="8.85546875" style="4"/>
    <col min="1278" max="1278" width="1.7109375" style="4" customWidth="1"/>
    <col min="1279" max="1279" width="40.7109375" style="4" customWidth="1"/>
    <col min="1280" max="1284" width="10.7109375" style="4" customWidth="1"/>
    <col min="1285" max="1285" width="11.42578125" style="4" customWidth="1"/>
    <col min="1286" max="1287" width="12" style="4" customWidth="1"/>
    <col min="1288" max="1289" width="8.85546875" style="4"/>
    <col min="1290" max="1290" width="10.7109375" style="4" bestFit="1" customWidth="1"/>
    <col min="1291" max="1533" width="8.85546875" style="4"/>
    <col min="1534" max="1534" width="1.7109375" style="4" customWidth="1"/>
    <col min="1535" max="1535" width="40.7109375" style="4" customWidth="1"/>
    <col min="1536" max="1540" width="10.7109375" style="4" customWidth="1"/>
    <col min="1541" max="1541" width="11.42578125" style="4" customWidth="1"/>
    <col min="1542" max="1543" width="12" style="4" customWidth="1"/>
    <col min="1544" max="1545" width="8.85546875" style="4"/>
    <col min="1546" max="1546" width="10.7109375" style="4" bestFit="1" customWidth="1"/>
    <col min="1547" max="1789" width="8.85546875" style="4"/>
    <col min="1790" max="1790" width="1.7109375" style="4" customWidth="1"/>
    <col min="1791" max="1791" width="40.7109375" style="4" customWidth="1"/>
    <col min="1792" max="1796" width="10.7109375" style="4" customWidth="1"/>
    <col min="1797" max="1797" width="11.42578125" style="4" customWidth="1"/>
    <col min="1798" max="1799" width="12" style="4" customWidth="1"/>
    <col min="1800" max="1801" width="8.85546875" style="4"/>
    <col min="1802" max="1802" width="10.7109375" style="4" bestFit="1" customWidth="1"/>
    <col min="1803" max="2045" width="8.85546875" style="4"/>
    <col min="2046" max="2046" width="1.7109375" style="4" customWidth="1"/>
    <col min="2047" max="2047" width="40.7109375" style="4" customWidth="1"/>
    <col min="2048" max="2052" width="10.7109375" style="4" customWidth="1"/>
    <col min="2053" max="2053" width="11.42578125" style="4" customWidth="1"/>
    <col min="2054" max="2055" width="12" style="4" customWidth="1"/>
    <col min="2056" max="2057" width="8.85546875" style="4"/>
    <col min="2058" max="2058" width="10.7109375" style="4" bestFit="1" customWidth="1"/>
    <col min="2059" max="2301" width="8.85546875" style="4"/>
    <col min="2302" max="2302" width="1.7109375" style="4" customWidth="1"/>
    <col min="2303" max="2303" width="40.7109375" style="4" customWidth="1"/>
    <col min="2304" max="2308" width="10.7109375" style="4" customWidth="1"/>
    <col min="2309" max="2309" width="11.42578125" style="4" customWidth="1"/>
    <col min="2310" max="2311" width="12" style="4" customWidth="1"/>
    <col min="2312" max="2313" width="8.85546875" style="4"/>
    <col min="2314" max="2314" width="10.7109375" style="4" bestFit="1" customWidth="1"/>
    <col min="2315" max="2557" width="8.85546875" style="4"/>
    <col min="2558" max="2558" width="1.7109375" style="4" customWidth="1"/>
    <col min="2559" max="2559" width="40.7109375" style="4" customWidth="1"/>
    <col min="2560" max="2564" width="10.7109375" style="4" customWidth="1"/>
    <col min="2565" max="2565" width="11.42578125" style="4" customWidth="1"/>
    <col min="2566" max="2567" width="12" style="4" customWidth="1"/>
    <col min="2568" max="2569" width="8.85546875" style="4"/>
    <col min="2570" max="2570" width="10.7109375" style="4" bestFit="1" customWidth="1"/>
    <col min="2571" max="2813" width="8.85546875" style="4"/>
    <col min="2814" max="2814" width="1.7109375" style="4" customWidth="1"/>
    <col min="2815" max="2815" width="40.7109375" style="4" customWidth="1"/>
    <col min="2816" max="2820" width="10.7109375" style="4" customWidth="1"/>
    <col min="2821" max="2821" width="11.42578125" style="4" customWidth="1"/>
    <col min="2822" max="2823" width="12" style="4" customWidth="1"/>
    <col min="2824" max="2825" width="8.85546875" style="4"/>
    <col min="2826" max="2826" width="10.7109375" style="4" bestFit="1" customWidth="1"/>
    <col min="2827" max="3069" width="8.85546875" style="4"/>
    <col min="3070" max="3070" width="1.7109375" style="4" customWidth="1"/>
    <col min="3071" max="3071" width="40.7109375" style="4" customWidth="1"/>
    <col min="3072" max="3076" width="10.7109375" style="4" customWidth="1"/>
    <col min="3077" max="3077" width="11.42578125" style="4" customWidth="1"/>
    <col min="3078" max="3079" width="12" style="4" customWidth="1"/>
    <col min="3080" max="3081" width="8.85546875" style="4"/>
    <col min="3082" max="3082" width="10.7109375" style="4" bestFit="1" customWidth="1"/>
    <col min="3083" max="3325" width="8.85546875" style="4"/>
    <col min="3326" max="3326" width="1.7109375" style="4" customWidth="1"/>
    <col min="3327" max="3327" width="40.7109375" style="4" customWidth="1"/>
    <col min="3328" max="3332" width="10.7109375" style="4" customWidth="1"/>
    <col min="3333" max="3333" width="11.42578125" style="4" customWidth="1"/>
    <col min="3334" max="3335" width="12" style="4" customWidth="1"/>
    <col min="3336" max="3337" width="8.85546875" style="4"/>
    <col min="3338" max="3338" width="10.7109375" style="4" bestFit="1" customWidth="1"/>
    <col min="3339" max="3581" width="8.85546875" style="4"/>
    <col min="3582" max="3582" width="1.7109375" style="4" customWidth="1"/>
    <col min="3583" max="3583" width="40.7109375" style="4" customWidth="1"/>
    <col min="3584" max="3588" width="10.7109375" style="4" customWidth="1"/>
    <col min="3589" max="3589" width="11.42578125" style="4" customWidth="1"/>
    <col min="3590" max="3591" width="12" style="4" customWidth="1"/>
    <col min="3592" max="3593" width="8.85546875" style="4"/>
    <col min="3594" max="3594" width="10.7109375" style="4" bestFit="1" customWidth="1"/>
    <col min="3595" max="3837" width="8.85546875" style="4"/>
    <col min="3838" max="3838" width="1.7109375" style="4" customWidth="1"/>
    <col min="3839" max="3839" width="40.7109375" style="4" customWidth="1"/>
    <col min="3840" max="3844" width="10.7109375" style="4" customWidth="1"/>
    <col min="3845" max="3845" width="11.42578125" style="4" customWidth="1"/>
    <col min="3846" max="3847" width="12" style="4" customWidth="1"/>
    <col min="3848" max="3849" width="8.85546875" style="4"/>
    <col min="3850" max="3850" width="10.7109375" style="4" bestFit="1" customWidth="1"/>
    <col min="3851" max="4093" width="8.85546875" style="4"/>
    <col min="4094" max="4094" width="1.7109375" style="4" customWidth="1"/>
    <col min="4095" max="4095" width="40.7109375" style="4" customWidth="1"/>
    <col min="4096" max="4100" width="10.7109375" style="4" customWidth="1"/>
    <col min="4101" max="4101" width="11.42578125" style="4" customWidth="1"/>
    <col min="4102" max="4103" width="12" style="4" customWidth="1"/>
    <col min="4104" max="4105" width="8.85546875" style="4"/>
    <col min="4106" max="4106" width="10.7109375" style="4" bestFit="1" customWidth="1"/>
    <col min="4107" max="4349" width="8.85546875" style="4"/>
    <col min="4350" max="4350" width="1.7109375" style="4" customWidth="1"/>
    <col min="4351" max="4351" width="40.7109375" style="4" customWidth="1"/>
    <col min="4352" max="4356" width="10.7109375" style="4" customWidth="1"/>
    <col min="4357" max="4357" width="11.42578125" style="4" customWidth="1"/>
    <col min="4358" max="4359" width="12" style="4" customWidth="1"/>
    <col min="4360" max="4361" width="8.85546875" style="4"/>
    <col min="4362" max="4362" width="10.7109375" style="4" bestFit="1" customWidth="1"/>
    <col min="4363" max="4605" width="8.85546875" style="4"/>
    <col min="4606" max="4606" width="1.7109375" style="4" customWidth="1"/>
    <col min="4607" max="4607" width="40.7109375" style="4" customWidth="1"/>
    <col min="4608" max="4612" width="10.7109375" style="4" customWidth="1"/>
    <col min="4613" max="4613" width="11.42578125" style="4" customWidth="1"/>
    <col min="4614" max="4615" width="12" style="4" customWidth="1"/>
    <col min="4616" max="4617" width="8.85546875" style="4"/>
    <col min="4618" max="4618" width="10.7109375" style="4" bestFit="1" customWidth="1"/>
    <col min="4619" max="4861" width="8.85546875" style="4"/>
    <col min="4862" max="4862" width="1.7109375" style="4" customWidth="1"/>
    <col min="4863" max="4863" width="40.7109375" style="4" customWidth="1"/>
    <col min="4864" max="4868" width="10.7109375" style="4" customWidth="1"/>
    <col min="4869" max="4869" width="11.42578125" style="4" customWidth="1"/>
    <col min="4870" max="4871" width="12" style="4" customWidth="1"/>
    <col min="4872" max="4873" width="8.85546875" style="4"/>
    <col min="4874" max="4874" width="10.7109375" style="4" bestFit="1" customWidth="1"/>
    <col min="4875" max="5117" width="8.85546875" style="4"/>
    <col min="5118" max="5118" width="1.7109375" style="4" customWidth="1"/>
    <col min="5119" max="5119" width="40.7109375" style="4" customWidth="1"/>
    <col min="5120" max="5124" width="10.7109375" style="4" customWidth="1"/>
    <col min="5125" max="5125" width="11.42578125" style="4" customWidth="1"/>
    <col min="5126" max="5127" width="12" style="4" customWidth="1"/>
    <col min="5128" max="5129" width="8.85546875" style="4"/>
    <col min="5130" max="5130" width="10.7109375" style="4" bestFit="1" customWidth="1"/>
    <col min="5131" max="5373" width="8.85546875" style="4"/>
    <col min="5374" max="5374" width="1.7109375" style="4" customWidth="1"/>
    <col min="5375" max="5375" width="40.7109375" style="4" customWidth="1"/>
    <col min="5376" max="5380" width="10.7109375" style="4" customWidth="1"/>
    <col min="5381" max="5381" width="11.42578125" style="4" customWidth="1"/>
    <col min="5382" max="5383" width="12" style="4" customWidth="1"/>
    <col min="5384" max="5385" width="8.85546875" style="4"/>
    <col min="5386" max="5386" width="10.7109375" style="4" bestFit="1" customWidth="1"/>
    <col min="5387" max="5629" width="8.85546875" style="4"/>
    <col min="5630" max="5630" width="1.7109375" style="4" customWidth="1"/>
    <col min="5631" max="5631" width="40.7109375" style="4" customWidth="1"/>
    <col min="5632" max="5636" width="10.7109375" style="4" customWidth="1"/>
    <col min="5637" max="5637" width="11.42578125" style="4" customWidth="1"/>
    <col min="5638" max="5639" width="12" style="4" customWidth="1"/>
    <col min="5640" max="5641" width="8.85546875" style="4"/>
    <col min="5642" max="5642" width="10.7109375" style="4" bestFit="1" customWidth="1"/>
    <col min="5643" max="5885" width="8.85546875" style="4"/>
    <col min="5886" max="5886" width="1.7109375" style="4" customWidth="1"/>
    <col min="5887" max="5887" width="40.7109375" style="4" customWidth="1"/>
    <col min="5888" max="5892" width="10.7109375" style="4" customWidth="1"/>
    <col min="5893" max="5893" width="11.42578125" style="4" customWidth="1"/>
    <col min="5894" max="5895" width="12" style="4" customWidth="1"/>
    <col min="5896" max="5897" width="8.85546875" style="4"/>
    <col min="5898" max="5898" width="10.7109375" style="4" bestFit="1" customWidth="1"/>
    <col min="5899" max="6141" width="8.85546875" style="4"/>
    <col min="6142" max="6142" width="1.7109375" style="4" customWidth="1"/>
    <col min="6143" max="6143" width="40.7109375" style="4" customWidth="1"/>
    <col min="6144" max="6148" width="10.7109375" style="4" customWidth="1"/>
    <col min="6149" max="6149" width="11.42578125" style="4" customWidth="1"/>
    <col min="6150" max="6151" width="12" style="4" customWidth="1"/>
    <col min="6152" max="6153" width="8.85546875" style="4"/>
    <col min="6154" max="6154" width="10.7109375" style="4" bestFit="1" customWidth="1"/>
    <col min="6155" max="6397" width="8.85546875" style="4"/>
    <col min="6398" max="6398" width="1.7109375" style="4" customWidth="1"/>
    <col min="6399" max="6399" width="40.7109375" style="4" customWidth="1"/>
    <col min="6400" max="6404" width="10.7109375" style="4" customWidth="1"/>
    <col min="6405" max="6405" width="11.42578125" style="4" customWidth="1"/>
    <col min="6406" max="6407" width="12" style="4" customWidth="1"/>
    <col min="6408" max="6409" width="8.85546875" style="4"/>
    <col min="6410" max="6410" width="10.7109375" style="4" bestFit="1" customWidth="1"/>
    <col min="6411" max="6653" width="8.85546875" style="4"/>
    <col min="6654" max="6654" width="1.7109375" style="4" customWidth="1"/>
    <col min="6655" max="6655" width="40.7109375" style="4" customWidth="1"/>
    <col min="6656" max="6660" width="10.7109375" style="4" customWidth="1"/>
    <col min="6661" max="6661" width="11.42578125" style="4" customWidth="1"/>
    <col min="6662" max="6663" width="12" style="4" customWidth="1"/>
    <col min="6664" max="6665" width="8.85546875" style="4"/>
    <col min="6666" max="6666" width="10.7109375" style="4" bestFit="1" customWidth="1"/>
    <col min="6667" max="6909" width="8.85546875" style="4"/>
    <col min="6910" max="6910" width="1.7109375" style="4" customWidth="1"/>
    <col min="6911" max="6911" width="40.7109375" style="4" customWidth="1"/>
    <col min="6912" max="6916" width="10.7109375" style="4" customWidth="1"/>
    <col min="6917" max="6917" width="11.42578125" style="4" customWidth="1"/>
    <col min="6918" max="6919" width="12" style="4" customWidth="1"/>
    <col min="6920" max="6921" width="8.85546875" style="4"/>
    <col min="6922" max="6922" width="10.7109375" style="4" bestFit="1" customWidth="1"/>
    <col min="6923" max="7165" width="8.85546875" style="4"/>
    <col min="7166" max="7166" width="1.7109375" style="4" customWidth="1"/>
    <col min="7167" max="7167" width="40.7109375" style="4" customWidth="1"/>
    <col min="7168" max="7172" width="10.7109375" style="4" customWidth="1"/>
    <col min="7173" max="7173" width="11.42578125" style="4" customWidth="1"/>
    <col min="7174" max="7175" width="12" style="4" customWidth="1"/>
    <col min="7176" max="7177" width="8.85546875" style="4"/>
    <col min="7178" max="7178" width="10.7109375" style="4" bestFit="1" customWidth="1"/>
    <col min="7179" max="7421" width="8.85546875" style="4"/>
    <col min="7422" max="7422" width="1.7109375" style="4" customWidth="1"/>
    <col min="7423" max="7423" width="40.7109375" style="4" customWidth="1"/>
    <col min="7424" max="7428" width="10.7109375" style="4" customWidth="1"/>
    <col min="7429" max="7429" width="11.42578125" style="4" customWidth="1"/>
    <col min="7430" max="7431" width="12" style="4" customWidth="1"/>
    <col min="7432" max="7433" width="8.85546875" style="4"/>
    <col min="7434" max="7434" width="10.7109375" style="4" bestFit="1" customWidth="1"/>
    <col min="7435" max="7677" width="8.85546875" style="4"/>
    <col min="7678" max="7678" width="1.7109375" style="4" customWidth="1"/>
    <col min="7679" max="7679" width="40.7109375" style="4" customWidth="1"/>
    <col min="7680" max="7684" width="10.7109375" style="4" customWidth="1"/>
    <col min="7685" max="7685" width="11.42578125" style="4" customWidth="1"/>
    <col min="7686" max="7687" width="12" style="4" customWidth="1"/>
    <col min="7688" max="7689" width="8.85546875" style="4"/>
    <col min="7690" max="7690" width="10.7109375" style="4" bestFit="1" customWidth="1"/>
    <col min="7691" max="7933" width="8.85546875" style="4"/>
    <col min="7934" max="7934" width="1.7109375" style="4" customWidth="1"/>
    <col min="7935" max="7935" width="40.7109375" style="4" customWidth="1"/>
    <col min="7936" max="7940" width="10.7109375" style="4" customWidth="1"/>
    <col min="7941" max="7941" width="11.42578125" style="4" customWidth="1"/>
    <col min="7942" max="7943" width="12" style="4" customWidth="1"/>
    <col min="7944" max="7945" width="8.85546875" style="4"/>
    <col min="7946" max="7946" width="10.7109375" style="4" bestFit="1" customWidth="1"/>
    <col min="7947" max="8189" width="8.85546875" style="4"/>
    <col min="8190" max="8190" width="1.7109375" style="4" customWidth="1"/>
    <col min="8191" max="8191" width="40.7109375" style="4" customWidth="1"/>
    <col min="8192" max="8196" width="10.7109375" style="4" customWidth="1"/>
    <col min="8197" max="8197" width="11.42578125" style="4" customWidth="1"/>
    <col min="8198" max="8199" width="12" style="4" customWidth="1"/>
    <col min="8200" max="8201" width="8.85546875" style="4"/>
    <col min="8202" max="8202" width="10.7109375" style="4" bestFit="1" customWidth="1"/>
    <col min="8203" max="8445" width="8.85546875" style="4"/>
    <col min="8446" max="8446" width="1.7109375" style="4" customWidth="1"/>
    <col min="8447" max="8447" width="40.7109375" style="4" customWidth="1"/>
    <col min="8448" max="8452" width="10.7109375" style="4" customWidth="1"/>
    <col min="8453" max="8453" width="11.42578125" style="4" customWidth="1"/>
    <col min="8454" max="8455" width="12" style="4" customWidth="1"/>
    <col min="8456" max="8457" width="8.85546875" style="4"/>
    <col min="8458" max="8458" width="10.7109375" style="4" bestFit="1" customWidth="1"/>
    <col min="8459" max="8701" width="8.85546875" style="4"/>
    <col min="8702" max="8702" width="1.7109375" style="4" customWidth="1"/>
    <col min="8703" max="8703" width="40.7109375" style="4" customWidth="1"/>
    <col min="8704" max="8708" width="10.7109375" style="4" customWidth="1"/>
    <col min="8709" max="8709" width="11.42578125" style="4" customWidth="1"/>
    <col min="8710" max="8711" width="12" style="4" customWidth="1"/>
    <col min="8712" max="8713" width="8.85546875" style="4"/>
    <col min="8714" max="8714" width="10.7109375" style="4" bestFit="1" customWidth="1"/>
    <col min="8715" max="8957" width="8.85546875" style="4"/>
    <col min="8958" max="8958" width="1.7109375" style="4" customWidth="1"/>
    <col min="8959" max="8959" width="40.7109375" style="4" customWidth="1"/>
    <col min="8960" max="8964" width="10.7109375" style="4" customWidth="1"/>
    <col min="8965" max="8965" width="11.42578125" style="4" customWidth="1"/>
    <col min="8966" max="8967" width="12" style="4" customWidth="1"/>
    <col min="8968" max="8969" width="8.85546875" style="4"/>
    <col min="8970" max="8970" width="10.7109375" style="4" bestFit="1" customWidth="1"/>
    <col min="8971" max="9213" width="8.85546875" style="4"/>
    <col min="9214" max="9214" width="1.7109375" style="4" customWidth="1"/>
    <col min="9215" max="9215" width="40.7109375" style="4" customWidth="1"/>
    <col min="9216" max="9220" width="10.7109375" style="4" customWidth="1"/>
    <col min="9221" max="9221" width="11.42578125" style="4" customWidth="1"/>
    <col min="9222" max="9223" width="12" style="4" customWidth="1"/>
    <col min="9224" max="9225" width="8.85546875" style="4"/>
    <col min="9226" max="9226" width="10.7109375" style="4" bestFit="1" customWidth="1"/>
    <col min="9227" max="9469" width="8.85546875" style="4"/>
    <col min="9470" max="9470" width="1.7109375" style="4" customWidth="1"/>
    <col min="9471" max="9471" width="40.7109375" style="4" customWidth="1"/>
    <col min="9472" max="9476" width="10.7109375" style="4" customWidth="1"/>
    <col min="9477" max="9477" width="11.42578125" style="4" customWidth="1"/>
    <col min="9478" max="9479" width="12" style="4" customWidth="1"/>
    <col min="9480" max="9481" width="8.85546875" style="4"/>
    <col min="9482" max="9482" width="10.7109375" style="4" bestFit="1" customWidth="1"/>
    <col min="9483" max="9725" width="8.85546875" style="4"/>
    <col min="9726" max="9726" width="1.7109375" style="4" customWidth="1"/>
    <col min="9727" max="9727" width="40.7109375" style="4" customWidth="1"/>
    <col min="9728" max="9732" width="10.7109375" style="4" customWidth="1"/>
    <col min="9733" max="9733" width="11.42578125" style="4" customWidth="1"/>
    <col min="9734" max="9735" width="12" style="4" customWidth="1"/>
    <col min="9736" max="9737" width="8.85546875" style="4"/>
    <col min="9738" max="9738" width="10.7109375" style="4" bestFit="1" customWidth="1"/>
    <col min="9739" max="9981" width="8.85546875" style="4"/>
    <col min="9982" max="9982" width="1.7109375" style="4" customWidth="1"/>
    <col min="9983" max="9983" width="40.7109375" style="4" customWidth="1"/>
    <col min="9984" max="9988" width="10.7109375" style="4" customWidth="1"/>
    <col min="9989" max="9989" width="11.42578125" style="4" customWidth="1"/>
    <col min="9990" max="9991" width="12" style="4" customWidth="1"/>
    <col min="9992" max="9993" width="8.85546875" style="4"/>
    <col min="9994" max="9994" width="10.7109375" style="4" bestFit="1" customWidth="1"/>
    <col min="9995" max="10237" width="8.85546875" style="4"/>
    <col min="10238" max="10238" width="1.7109375" style="4" customWidth="1"/>
    <col min="10239" max="10239" width="40.7109375" style="4" customWidth="1"/>
    <col min="10240" max="10244" width="10.7109375" style="4" customWidth="1"/>
    <col min="10245" max="10245" width="11.42578125" style="4" customWidth="1"/>
    <col min="10246" max="10247" width="12" style="4" customWidth="1"/>
    <col min="10248" max="10249" width="8.85546875" style="4"/>
    <col min="10250" max="10250" width="10.7109375" style="4" bestFit="1" customWidth="1"/>
    <col min="10251" max="10493" width="8.85546875" style="4"/>
    <col min="10494" max="10494" width="1.7109375" style="4" customWidth="1"/>
    <col min="10495" max="10495" width="40.7109375" style="4" customWidth="1"/>
    <col min="10496" max="10500" width="10.7109375" style="4" customWidth="1"/>
    <col min="10501" max="10501" width="11.42578125" style="4" customWidth="1"/>
    <col min="10502" max="10503" width="12" style="4" customWidth="1"/>
    <col min="10504" max="10505" width="8.85546875" style="4"/>
    <col min="10506" max="10506" width="10.7109375" style="4" bestFit="1" customWidth="1"/>
    <col min="10507" max="10749" width="8.85546875" style="4"/>
    <col min="10750" max="10750" width="1.7109375" style="4" customWidth="1"/>
    <col min="10751" max="10751" width="40.7109375" style="4" customWidth="1"/>
    <col min="10752" max="10756" width="10.7109375" style="4" customWidth="1"/>
    <col min="10757" max="10757" width="11.42578125" style="4" customWidth="1"/>
    <col min="10758" max="10759" width="12" style="4" customWidth="1"/>
    <col min="10760" max="10761" width="8.85546875" style="4"/>
    <col min="10762" max="10762" width="10.7109375" style="4" bestFit="1" customWidth="1"/>
    <col min="10763" max="11005" width="8.85546875" style="4"/>
    <col min="11006" max="11006" width="1.7109375" style="4" customWidth="1"/>
    <col min="11007" max="11007" width="40.7109375" style="4" customWidth="1"/>
    <col min="11008" max="11012" width="10.7109375" style="4" customWidth="1"/>
    <col min="11013" max="11013" width="11.42578125" style="4" customWidth="1"/>
    <col min="11014" max="11015" width="12" style="4" customWidth="1"/>
    <col min="11016" max="11017" width="8.85546875" style="4"/>
    <col min="11018" max="11018" width="10.7109375" style="4" bestFit="1" customWidth="1"/>
    <col min="11019" max="11261" width="8.85546875" style="4"/>
    <col min="11262" max="11262" width="1.7109375" style="4" customWidth="1"/>
    <col min="11263" max="11263" width="40.7109375" style="4" customWidth="1"/>
    <col min="11264" max="11268" width="10.7109375" style="4" customWidth="1"/>
    <col min="11269" max="11269" width="11.42578125" style="4" customWidth="1"/>
    <col min="11270" max="11271" width="12" style="4" customWidth="1"/>
    <col min="11272" max="11273" width="8.85546875" style="4"/>
    <col min="11274" max="11274" width="10.7109375" style="4" bestFit="1" customWidth="1"/>
    <col min="11275" max="11517" width="8.85546875" style="4"/>
    <col min="11518" max="11518" width="1.7109375" style="4" customWidth="1"/>
    <col min="11519" max="11519" width="40.7109375" style="4" customWidth="1"/>
    <col min="11520" max="11524" width="10.7109375" style="4" customWidth="1"/>
    <col min="11525" max="11525" width="11.42578125" style="4" customWidth="1"/>
    <col min="11526" max="11527" width="12" style="4" customWidth="1"/>
    <col min="11528" max="11529" width="8.85546875" style="4"/>
    <col min="11530" max="11530" width="10.7109375" style="4" bestFit="1" customWidth="1"/>
    <col min="11531" max="11773" width="8.85546875" style="4"/>
    <col min="11774" max="11774" width="1.7109375" style="4" customWidth="1"/>
    <col min="11775" max="11775" width="40.7109375" style="4" customWidth="1"/>
    <col min="11776" max="11780" width="10.7109375" style="4" customWidth="1"/>
    <col min="11781" max="11781" width="11.42578125" style="4" customWidth="1"/>
    <col min="11782" max="11783" width="12" style="4" customWidth="1"/>
    <col min="11784" max="11785" width="8.85546875" style="4"/>
    <col min="11786" max="11786" width="10.7109375" style="4" bestFit="1" customWidth="1"/>
    <col min="11787" max="12029" width="8.85546875" style="4"/>
    <col min="12030" max="12030" width="1.7109375" style="4" customWidth="1"/>
    <col min="12031" max="12031" width="40.7109375" style="4" customWidth="1"/>
    <col min="12032" max="12036" width="10.7109375" style="4" customWidth="1"/>
    <col min="12037" max="12037" width="11.42578125" style="4" customWidth="1"/>
    <col min="12038" max="12039" width="12" style="4" customWidth="1"/>
    <col min="12040" max="12041" width="8.85546875" style="4"/>
    <col min="12042" max="12042" width="10.7109375" style="4" bestFit="1" customWidth="1"/>
    <col min="12043" max="12285" width="8.85546875" style="4"/>
    <col min="12286" max="12286" width="1.7109375" style="4" customWidth="1"/>
    <col min="12287" max="12287" width="40.7109375" style="4" customWidth="1"/>
    <col min="12288" max="12292" width="10.7109375" style="4" customWidth="1"/>
    <col min="12293" max="12293" width="11.42578125" style="4" customWidth="1"/>
    <col min="12294" max="12295" width="12" style="4" customWidth="1"/>
    <col min="12296" max="12297" width="8.85546875" style="4"/>
    <col min="12298" max="12298" width="10.7109375" style="4" bestFit="1" customWidth="1"/>
    <col min="12299" max="12541" width="8.85546875" style="4"/>
    <col min="12542" max="12542" width="1.7109375" style="4" customWidth="1"/>
    <col min="12543" max="12543" width="40.7109375" style="4" customWidth="1"/>
    <col min="12544" max="12548" width="10.7109375" style="4" customWidth="1"/>
    <col min="12549" max="12549" width="11.42578125" style="4" customWidth="1"/>
    <col min="12550" max="12551" width="12" style="4" customWidth="1"/>
    <col min="12552" max="12553" width="8.85546875" style="4"/>
    <col min="12554" max="12554" width="10.7109375" style="4" bestFit="1" customWidth="1"/>
    <col min="12555" max="12797" width="8.85546875" style="4"/>
    <col min="12798" max="12798" width="1.7109375" style="4" customWidth="1"/>
    <col min="12799" max="12799" width="40.7109375" style="4" customWidth="1"/>
    <col min="12800" max="12804" width="10.7109375" style="4" customWidth="1"/>
    <col min="12805" max="12805" width="11.42578125" style="4" customWidth="1"/>
    <col min="12806" max="12807" width="12" style="4" customWidth="1"/>
    <col min="12808" max="12809" width="8.85546875" style="4"/>
    <col min="12810" max="12810" width="10.7109375" style="4" bestFit="1" customWidth="1"/>
    <col min="12811" max="13053" width="8.85546875" style="4"/>
    <col min="13054" max="13054" width="1.7109375" style="4" customWidth="1"/>
    <col min="13055" max="13055" width="40.7109375" style="4" customWidth="1"/>
    <col min="13056" max="13060" width="10.7109375" style="4" customWidth="1"/>
    <col min="13061" max="13061" width="11.42578125" style="4" customWidth="1"/>
    <col min="13062" max="13063" width="12" style="4" customWidth="1"/>
    <col min="13064" max="13065" width="8.85546875" style="4"/>
    <col min="13066" max="13066" width="10.7109375" style="4" bestFit="1" customWidth="1"/>
    <col min="13067" max="13309" width="8.85546875" style="4"/>
    <col min="13310" max="13310" width="1.7109375" style="4" customWidth="1"/>
    <col min="13311" max="13311" width="40.7109375" style="4" customWidth="1"/>
    <col min="13312" max="13316" width="10.7109375" style="4" customWidth="1"/>
    <col min="13317" max="13317" width="11.42578125" style="4" customWidth="1"/>
    <col min="13318" max="13319" width="12" style="4" customWidth="1"/>
    <col min="13320" max="13321" width="8.85546875" style="4"/>
    <col min="13322" max="13322" width="10.7109375" style="4" bestFit="1" customWidth="1"/>
    <col min="13323" max="13565" width="8.85546875" style="4"/>
    <col min="13566" max="13566" width="1.7109375" style="4" customWidth="1"/>
    <col min="13567" max="13567" width="40.7109375" style="4" customWidth="1"/>
    <col min="13568" max="13572" width="10.7109375" style="4" customWidth="1"/>
    <col min="13573" max="13573" width="11.42578125" style="4" customWidth="1"/>
    <col min="13574" max="13575" width="12" style="4" customWidth="1"/>
    <col min="13576" max="13577" width="8.85546875" style="4"/>
    <col min="13578" max="13578" width="10.7109375" style="4" bestFit="1" customWidth="1"/>
    <col min="13579" max="13821" width="8.85546875" style="4"/>
    <col min="13822" max="13822" width="1.7109375" style="4" customWidth="1"/>
    <col min="13823" max="13823" width="40.7109375" style="4" customWidth="1"/>
    <col min="13824" max="13828" width="10.7109375" style="4" customWidth="1"/>
    <col min="13829" max="13829" width="11.42578125" style="4" customWidth="1"/>
    <col min="13830" max="13831" width="12" style="4" customWidth="1"/>
    <col min="13832" max="13833" width="8.85546875" style="4"/>
    <col min="13834" max="13834" width="10.7109375" style="4" bestFit="1" customWidth="1"/>
    <col min="13835" max="14077" width="8.85546875" style="4"/>
    <col min="14078" max="14078" width="1.7109375" style="4" customWidth="1"/>
    <col min="14079" max="14079" width="40.7109375" style="4" customWidth="1"/>
    <col min="14080" max="14084" width="10.7109375" style="4" customWidth="1"/>
    <col min="14085" max="14085" width="11.42578125" style="4" customWidth="1"/>
    <col min="14086" max="14087" width="12" style="4" customWidth="1"/>
    <col min="14088" max="14089" width="8.85546875" style="4"/>
    <col min="14090" max="14090" width="10.7109375" style="4" bestFit="1" customWidth="1"/>
    <col min="14091" max="14333" width="8.85546875" style="4"/>
    <col min="14334" max="14334" width="1.7109375" style="4" customWidth="1"/>
    <col min="14335" max="14335" width="40.7109375" style="4" customWidth="1"/>
    <col min="14336" max="14340" width="10.7109375" style="4" customWidth="1"/>
    <col min="14341" max="14341" width="11.42578125" style="4" customWidth="1"/>
    <col min="14342" max="14343" width="12" style="4" customWidth="1"/>
    <col min="14344" max="14345" width="8.85546875" style="4"/>
    <col min="14346" max="14346" width="10.7109375" style="4" bestFit="1" customWidth="1"/>
    <col min="14347" max="14589" width="8.85546875" style="4"/>
    <col min="14590" max="14590" width="1.7109375" style="4" customWidth="1"/>
    <col min="14591" max="14591" width="40.7109375" style="4" customWidth="1"/>
    <col min="14592" max="14596" width="10.7109375" style="4" customWidth="1"/>
    <col min="14597" max="14597" width="11.42578125" style="4" customWidth="1"/>
    <col min="14598" max="14599" width="12" style="4" customWidth="1"/>
    <col min="14600" max="14601" width="8.85546875" style="4"/>
    <col min="14602" max="14602" width="10.7109375" style="4" bestFit="1" customWidth="1"/>
    <col min="14603" max="14845" width="8.85546875" style="4"/>
    <col min="14846" max="14846" width="1.7109375" style="4" customWidth="1"/>
    <col min="14847" max="14847" width="40.7109375" style="4" customWidth="1"/>
    <col min="14848" max="14852" width="10.7109375" style="4" customWidth="1"/>
    <col min="14853" max="14853" width="11.42578125" style="4" customWidth="1"/>
    <col min="14854" max="14855" width="12" style="4" customWidth="1"/>
    <col min="14856" max="14857" width="8.85546875" style="4"/>
    <col min="14858" max="14858" width="10.7109375" style="4" bestFit="1" customWidth="1"/>
    <col min="14859" max="15101" width="8.85546875" style="4"/>
    <col min="15102" max="15102" width="1.7109375" style="4" customWidth="1"/>
    <col min="15103" max="15103" width="40.7109375" style="4" customWidth="1"/>
    <col min="15104" max="15108" width="10.7109375" style="4" customWidth="1"/>
    <col min="15109" max="15109" width="11.42578125" style="4" customWidth="1"/>
    <col min="15110" max="15111" width="12" style="4" customWidth="1"/>
    <col min="15112" max="15113" width="8.85546875" style="4"/>
    <col min="15114" max="15114" width="10.7109375" style="4" bestFit="1" customWidth="1"/>
    <col min="15115" max="15357" width="8.85546875" style="4"/>
    <col min="15358" max="15358" width="1.7109375" style="4" customWidth="1"/>
    <col min="15359" max="15359" width="40.7109375" style="4" customWidth="1"/>
    <col min="15360" max="15364" width="10.7109375" style="4" customWidth="1"/>
    <col min="15365" max="15365" width="11.42578125" style="4" customWidth="1"/>
    <col min="15366" max="15367" width="12" style="4" customWidth="1"/>
    <col min="15368" max="15369" width="8.85546875" style="4"/>
    <col min="15370" max="15370" width="10.7109375" style="4" bestFit="1" customWidth="1"/>
    <col min="15371" max="15613" width="8.85546875" style="4"/>
    <col min="15614" max="15614" width="1.7109375" style="4" customWidth="1"/>
    <col min="15615" max="15615" width="40.7109375" style="4" customWidth="1"/>
    <col min="15616" max="15620" width="10.7109375" style="4" customWidth="1"/>
    <col min="15621" max="15621" width="11.42578125" style="4" customWidth="1"/>
    <col min="15622" max="15623" width="12" style="4" customWidth="1"/>
    <col min="15624" max="15625" width="8.85546875" style="4"/>
    <col min="15626" max="15626" width="10.7109375" style="4" bestFit="1" customWidth="1"/>
    <col min="15627" max="15869" width="8.85546875" style="4"/>
    <col min="15870" max="15870" width="1.7109375" style="4" customWidth="1"/>
    <col min="15871" max="15871" width="40.7109375" style="4" customWidth="1"/>
    <col min="15872" max="15876" width="10.7109375" style="4" customWidth="1"/>
    <col min="15877" max="15877" width="11.42578125" style="4" customWidth="1"/>
    <col min="15878" max="15879" width="12" style="4" customWidth="1"/>
    <col min="15880" max="15881" width="8.85546875" style="4"/>
    <col min="15882" max="15882" width="10.7109375" style="4" bestFit="1" customWidth="1"/>
    <col min="15883" max="16125" width="8.85546875" style="4"/>
    <col min="16126" max="16126" width="1.7109375" style="4" customWidth="1"/>
    <col min="16127" max="16127" width="40.7109375" style="4" customWidth="1"/>
    <col min="16128" max="16132" width="10.7109375" style="4" customWidth="1"/>
    <col min="16133" max="16133" width="11.42578125" style="4" customWidth="1"/>
    <col min="16134" max="16135" width="12" style="4" customWidth="1"/>
    <col min="16136" max="16137" width="8.85546875" style="4"/>
    <col min="16138" max="16138" width="10.7109375" style="4" bestFit="1" customWidth="1"/>
    <col min="16139" max="16384" width="8.85546875" style="4"/>
  </cols>
  <sheetData>
    <row r="1" spans="1:12" s="2" customFormat="1" ht="19.5" x14ac:dyDescent="0.3">
      <c r="A1" s="244" t="str">
        <f>CoName</f>
        <v>Wingstop Inc</v>
      </c>
      <c r="B1" s="3"/>
      <c r="C1" s="38" t="s">
        <v>0</v>
      </c>
      <c r="D1" s="38" t="s">
        <v>0</v>
      </c>
      <c r="E1" s="38" t="s">
        <v>0</v>
      </c>
      <c r="F1" s="38" t="s">
        <v>1</v>
      </c>
      <c r="G1" s="38" t="s">
        <v>1</v>
      </c>
      <c r="H1" s="38" t="s">
        <v>1</v>
      </c>
      <c r="I1" s="38" t="s">
        <v>1</v>
      </c>
      <c r="J1" s="38" t="s">
        <v>1</v>
      </c>
      <c r="K1" s="38"/>
      <c r="L1" s="38"/>
    </row>
    <row r="2" spans="1:12" x14ac:dyDescent="0.25">
      <c r="A2" s="16" t="s">
        <v>10</v>
      </c>
      <c r="B2" s="15"/>
      <c r="C2" s="253">
        <v>2022</v>
      </c>
      <c r="D2" s="253">
        <f>C2+1</f>
        <v>2023</v>
      </c>
      <c r="E2" s="253">
        <f t="shared" ref="E2:J2" si="0">D2+1</f>
        <v>2024</v>
      </c>
      <c r="F2" s="253">
        <f t="shared" si="0"/>
        <v>2025</v>
      </c>
      <c r="G2" s="253">
        <f t="shared" si="0"/>
        <v>2026</v>
      </c>
      <c r="H2" s="253">
        <f t="shared" si="0"/>
        <v>2027</v>
      </c>
      <c r="I2" s="253">
        <f t="shared" si="0"/>
        <v>2028</v>
      </c>
      <c r="J2" s="253">
        <f t="shared" si="0"/>
        <v>2029</v>
      </c>
    </row>
    <row r="3" spans="1:12" x14ac:dyDescent="0.25">
      <c r="A3" s="83"/>
      <c r="C3" s="94"/>
      <c r="D3" s="94"/>
      <c r="E3" s="94"/>
    </row>
    <row r="4" spans="1:12" x14ac:dyDescent="0.25">
      <c r="B4" s="29" t="s">
        <v>43</v>
      </c>
      <c r="C4" s="30"/>
      <c r="D4" s="30"/>
      <c r="E4" s="31"/>
      <c r="F4" s="165">
        <f>Assumptions!F10</f>
        <v>0.13</v>
      </c>
      <c r="G4" s="165">
        <f>Assumptions!G10</f>
        <v>0.2</v>
      </c>
      <c r="H4" s="165">
        <f>Assumptions!H10</f>
        <v>0.25</v>
      </c>
      <c r="I4" s="165">
        <f>Assumptions!I10</f>
        <v>0.25</v>
      </c>
      <c r="J4" s="165">
        <f>Assumptions!J10</f>
        <v>0.25</v>
      </c>
      <c r="K4" s="198"/>
      <c r="L4" s="198"/>
    </row>
    <row r="5" spans="1:12" x14ac:dyDescent="0.25">
      <c r="B5" s="29" t="s">
        <v>44</v>
      </c>
      <c r="C5" s="30"/>
      <c r="D5" s="30"/>
      <c r="E5" s="30"/>
      <c r="F5" s="165">
        <f>Assumptions!F11</f>
        <v>0.14542213973317653</v>
      </c>
      <c r="G5" s="165">
        <f>Assumptions!G11</f>
        <v>0.14442213973317652</v>
      </c>
      <c r="H5" s="165">
        <f>Assumptions!H11</f>
        <v>0.14342213973317652</v>
      </c>
      <c r="I5" s="165">
        <f>Assumptions!I11</f>
        <v>0.14242213973317652</v>
      </c>
      <c r="J5" s="165">
        <f>Assumptions!J11</f>
        <v>0.14142213973317652</v>
      </c>
      <c r="K5" s="198"/>
      <c r="L5" s="198"/>
    </row>
    <row r="6" spans="1:12" x14ac:dyDescent="0.25">
      <c r="B6" s="29" t="s">
        <v>45</v>
      </c>
      <c r="C6" s="30"/>
      <c r="D6" s="30"/>
      <c r="E6" s="30"/>
      <c r="F6" s="165">
        <f>Assumptions!F12</f>
        <v>0.58393396845992451</v>
      </c>
      <c r="G6" s="165">
        <f>Assumptions!G12</f>
        <v>0.57893396845992451</v>
      </c>
      <c r="H6" s="165">
        <f>Assumptions!H12</f>
        <v>0.5739339684599245</v>
      </c>
      <c r="I6" s="165">
        <f>Assumptions!I12</f>
        <v>0.5689339684599245</v>
      </c>
      <c r="J6" s="165">
        <f>Assumptions!J12</f>
        <v>0.5639339684599245</v>
      </c>
      <c r="K6" s="198"/>
      <c r="L6" s="198"/>
    </row>
    <row r="7" spans="1:12" x14ac:dyDescent="0.25">
      <c r="A7" s="83"/>
      <c r="B7" s="4" t="s">
        <v>46</v>
      </c>
      <c r="C7" s="29"/>
      <c r="D7" s="29"/>
      <c r="E7" s="29"/>
      <c r="F7" s="166">
        <f>Assumptions!F13</f>
        <v>0</v>
      </c>
      <c r="G7" s="166">
        <f>Assumptions!G13</f>
        <v>0</v>
      </c>
      <c r="H7" s="166">
        <f>Assumptions!H13</f>
        <v>0</v>
      </c>
      <c r="I7" s="166">
        <f>Assumptions!I13</f>
        <v>0</v>
      </c>
      <c r="J7" s="166">
        <f>Assumptions!J13</f>
        <v>0</v>
      </c>
      <c r="K7" s="199"/>
      <c r="L7" s="199"/>
    </row>
    <row r="8" spans="1:12" x14ac:dyDescent="0.25">
      <c r="A8" s="83"/>
      <c r="B8" s="4" t="s">
        <v>47</v>
      </c>
      <c r="C8" s="29"/>
      <c r="D8" s="29"/>
      <c r="E8" s="29"/>
      <c r="F8" s="167">
        <f>Assumptions!F14</f>
        <v>0</v>
      </c>
      <c r="G8" s="167">
        <f>Assumptions!G14</f>
        <v>0</v>
      </c>
      <c r="H8" s="167">
        <f>Assumptions!H14</f>
        <v>0</v>
      </c>
      <c r="I8" s="167">
        <f>Assumptions!I14</f>
        <v>0</v>
      </c>
      <c r="J8" s="167">
        <f>Assumptions!J14</f>
        <v>0</v>
      </c>
      <c r="K8" s="200"/>
      <c r="L8" s="200"/>
    </row>
    <row r="9" spans="1:12" x14ac:dyDescent="0.25">
      <c r="B9" s="4" t="s">
        <v>146</v>
      </c>
      <c r="F9" s="167">
        <f>Assumptions!F15</f>
        <v>0</v>
      </c>
      <c r="G9" s="167">
        <f>Assumptions!G15</f>
        <v>0</v>
      </c>
      <c r="H9" s="167">
        <f>Assumptions!H15</f>
        <v>0</v>
      </c>
      <c r="I9" s="167">
        <f>Assumptions!I15</f>
        <v>0</v>
      </c>
      <c r="J9" s="167">
        <f>Assumptions!J15</f>
        <v>0</v>
      </c>
      <c r="K9" s="200"/>
      <c r="L9" s="200"/>
    </row>
    <row r="10" spans="1:12" x14ac:dyDescent="0.25">
      <c r="B10" s="29" t="s">
        <v>48</v>
      </c>
      <c r="C10" s="40"/>
      <c r="D10" s="40"/>
      <c r="E10" s="40"/>
      <c r="F10" s="165">
        <f>Assumptions!F16</f>
        <v>0.23</v>
      </c>
      <c r="G10" s="165">
        <f>Assumptions!G16</f>
        <v>0.23</v>
      </c>
      <c r="H10" s="165">
        <f>Assumptions!H16</f>
        <v>0.23</v>
      </c>
      <c r="I10" s="165">
        <f>Assumptions!I16</f>
        <v>0.23</v>
      </c>
      <c r="J10" s="165">
        <f>Assumptions!J16</f>
        <v>0.23</v>
      </c>
      <c r="K10" s="198"/>
      <c r="L10" s="198"/>
    </row>
    <row r="11" spans="1:12" s="255" customFormat="1" x14ac:dyDescent="0.25">
      <c r="A11" s="258"/>
      <c r="B11" s="255" t="s">
        <v>140</v>
      </c>
      <c r="E11" s="259"/>
      <c r="F11" s="260">
        <f>Assumptions!F17</f>
        <v>1.2378186484174507</v>
      </c>
      <c r="G11" s="260">
        <f>Assumptions!G17</f>
        <v>1.4878186484174507</v>
      </c>
      <c r="H11" s="260">
        <f>Assumptions!H17</f>
        <v>1.7378186484174507</v>
      </c>
      <c r="I11" s="260">
        <f>Assumptions!I17</f>
        <v>1.9878186484174507</v>
      </c>
      <c r="J11" s="260">
        <f>Assumptions!J17</f>
        <v>2.2378186484174507</v>
      </c>
      <c r="K11" s="261"/>
      <c r="L11" s="261"/>
    </row>
    <row r="12" spans="1:12" x14ac:dyDescent="0.25">
      <c r="B12" s="4" t="s">
        <v>49</v>
      </c>
      <c r="C12" s="29"/>
      <c r="D12" s="29"/>
      <c r="E12" s="36"/>
      <c r="F12" s="167">
        <f>Assumptions!F18</f>
        <v>29225</v>
      </c>
      <c r="G12" s="167">
        <f>Assumptions!G18</f>
        <v>29225</v>
      </c>
      <c r="H12" s="167">
        <f>Assumptions!H18</f>
        <v>29225</v>
      </c>
      <c r="I12" s="167">
        <f>Assumptions!I18</f>
        <v>29225</v>
      </c>
      <c r="J12" s="167">
        <f>Assumptions!J18</f>
        <v>29225</v>
      </c>
      <c r="K12" s="200"/>
      <c r="L12" s="200"/>
    </row>
    <row r="13" spans="1:12" x14ac:dyDescent="0.25">
      <c r="B13" s="4" t="s">
        <v>50</v>
      </c>
      <c r="C13" s="29"/>
      <c r="D13" s="29"/>
      <c r="E13" s="36"/>
      <c r="F13" s="167">
        <f>Assumptions!F19</f>
        <v>29382.972972972973</v>
      </c>
      <c r="G13" s="167">
        <f>Assumptions!G19</f>
        <v>29382.972972972973</v>
      </c>
      <c r="H13" s="167">
        <f>Assumptions!H19</f>
        <v>29382.972972972973</v>
      </c>
      <c r="I13" s="167">
        <f>Assumptions!I19</f>
        <v>29382.972972972973</v>
      </c>
      <c r="J13" s="167">
        <f>Assumptions!J19</f>
        <v>29382.972972972973</v>
      </c>
      <c r="K13" s="200"/>
      <c r="L13" s="200"/>
    </row>
    <row r="14" spans="1:12" x14ac:dyDescent="0.25"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4.85" customHeight="1" x14ac:dyDescent="0.25">
      <c r="A15" s="168" t="s">
        <v>42</v>
      </c>
      <c r="B15" s="169"/>
      <c r="C15" s="140">
        <f>C37</f>
        <v>44926</v>
      </c>
      <c r="D15" s="140">
        <f t="shared" ref="D15:J15" si="1">D37</f>
        <v>45291</v>
      </c>
      <c r="E15" s="140">
        <f t="shared" si="1"/>
        <v>45657</v>
      </c>
      <c r="F15" s="140">
        <f t="shared" si="1"/>
        <v>46022</v>
      </c>
      <c r="G15" s="140">
        <f t="shared" si="1"/>
        <v>46022</v>
      </c>
      <c r="H15" s="140">
        <f t="shared" si="1"/>
        <v>46022</v>
      </c>
      <c r="I15" s="140">
        <f t="shared" si="1"/>
        <v>46022</v>
      </c>
      <c r="J15" s="140">
        <f t="shared" si="1"/>
        <v>46022</v>
      </c>
      <c r="K15" s="196"/>
      <c r="L15" s="196"/>
    </row>
    <row r="16" spans="1:12" x14ac:dyDescent="0.25">
      <c r="B16" s="4" t="s">
        <v>51</v>
      </c>
      <c r="C16" s="266">
        <v>357521</v>
      </c>
      <c r="D16" s="267">
        <v>460055</v>
      </c>
      <c r="E16" s="268">
        <v>625807</v>
      </c>
      <c r="F16" s="4">
        <f>E16*(1+F4)</f>
        <v>707161.90999999992</v>
      </c>
      <c r="G16" s="4">
        <f t="shared" ref="G16:J16" si="2">F16*(1+G4)</f>
        <v>848594.2919999999</v>
      </c>
      <c r="H16" s="4">
        <f t="shared" si="2"/>
        <v>1060742.8649999998</v>
      </c>
      <c r="I16" s="4">
        <f t="shared" si="2"/>
        <v>1325928.5812499998</v>
      </c>
      <c r="J16" s="4">
        <f t="shared" si="2"/>
        <v>1657410.7265624998</v>
      </c>
    </row>
    <row r="17" spans="1:12" x14ac:dyDescent="0.25">
      <c r="B17" s="4" t="s">
        <v>158</v>
      </c>
      <c r="C17" s="267">
        <v>63395</v>
      </c>
      <c r="D17" s="267">
        <v>60646</v>
      </c>
      <c r="E17" s="268">
        <v>91632</v>
      </c>
      <c r="F17" s="163">
        <f>F16*F5</f>
        <v>102836.99808999999</v>
      </c>
      <c r="G17" s="163">
        <f t="shared" ref="G17:J17" si="3">G16*G5</f>
        <v>122555.80341599998</v>
      </c>
      <c r="H17" s="163">
        <f t="shared" si="3"/>
        <v>152134.01140499997</v>
      </c>
      <c r="I17" s="163">
        <f t="shared" si="3"/>
        <v>188841.58567499998</v>
      </c>
      <c r="J17" s="163">
        <f t="shared" si="3"/>
        <v>234394.57136718745</v>
      </c>
      <c r="K17" s="197"/>
      <c r="L17" s="197"/>
    </row>
    <row r="18" spans="1:12" x14ac:dyDescent="0.25">
      <c r="B18" s="4" t="s">
        <v>52</v>
      </c>
      <c r="C18" s="267">
        <f>265588-C17</f>
        <v>202193</v>
      </c>
      <c r="D18" s="267">
        <f>347461-D17</f>
        <v>286815</v>
      </c>
      <c r="E18" s="268">
        <f>460191-E17</f>
        <v>368559</v>
      </c>
      <c r="F18" s="163">
        <f>F16*F6</f>
        <v>412935.86044999992</v>
      </c>
      <c r="G18" s="163">
        <f t="shared" ref="G18:J18" si="4">G16*G6</f>
        <v>491280.0610799999</v>
      </c>
      <c r="H18" s="163">
        <f t="shared" si="4"/>
        <v>608796.36202499981</v>
      </c>
      <c r="I18" s="163">
        <f t="shared" si="4"/>
        <v>754365.80962499988</v>
      </c>
      <c r="J18" s="163">
        <f t="shared" si="4"/>
        <v>934670.20839843724</v>
      </c>
      <c r="K18" s="197"/>
      <c r="L18" s="197"/>
    </row>
    <row r="19" spans="1:12" s="11" customFormat="1" x14ac:dyDescent="0.25">
      <c r="A19" s="11" t="s">
        <v>125</v>
      </c>
      <c r="B19" s="17" t="s">
        <v>55</v>
      </c>
      <c r="C19" s="269">
        <f>C16-SUM(C17:C18)</f>
        <v>91933</v>
      </c>
      <c r="D19" s="269">
        <f>D16-SUM(D17:D18)</f>
        <v>112594</v>
      </c>
      <c r="E19" s="269">
        <f>E16-SUM(E17:E18)</f>
        <v>165616</v>
      </c>
      <c r="F19" s="269">
        <f>F16-SUM(F17:F18)</f>
        <v>191389.05145999999</v>
      </c>
      <c r="G19" s="269">
        <f t="shared" ref="G19:J19" si="5">G16-SUM(G17:G18)</f>
        <v>234758.42750400002</v>
      </c>
      <c r="H19" s="269">
        <f t="shared" si="5"/>
        <v>299812.49156999995</v>
      </c>
      <c r="I19" s="269">
        <f t="shared" si="5"/>
        <v>382721.18594999996</v>
      </c>
      <c r="J19" s="269">
        <f t="shared" si="5"/>
        <v>488345.94679687498</v>
      </c>
    </row>
    <row r="20" spans="1:12" s="11" customFormat="1" x14ac:dyDescent="0.25">
      <c r="C20" s="270"/>
      <c r="D20" s="270"/>
      <c r="E20" s="271"/>
    </row>
    <row r="21" spans="1:12" s="11" customFormat="1" x14ac:dyDescent="0.25">
      <c r="B21" s="4" t="s">
        <v>15</v>
      </c>
      <c r="C21" s="272">
        <v>10899</v>
      </c>
      <c r="D21" s="272">
        <v>13239</v>
      </c>
      <c r="E21" s="273">
        <v>19490</v>
      </c>
      <c r="F21" s="4">
        <f>Calcs!F8</f>
        <v>22238.947401797363</v>
      </c>
      <c r="G21" s="4">
        <f>Calcs!G8</f>
        <v>28673.137433314332</v>
      </c>
      <c r="H21" s="4">
        <f>Calcs!H8</f>
        <v>36043.43577532679</v>
      </c>
      <c r="I21" s="4">
        <f>Calcs!I8</f>
        <v>45220.640014065015</v>
      </c>
      <c r="J21" s="4">
        <f>Calcs!J8</f>
        <v>56662.774481590859</v>
      </c>
      <c r="K21" s="4"/>
      <c r="L21" s="4"/>
    </row>
    <row r="22" spans="1:12" s="11" customFormat="1" x14ac:dyDescent="0.25">
      <c r="B22" s="4" t="s">
        <v>54</v>
      </c>
      <c r="C22" s="266">
        <v>0</v>
      </c>
      <c r="D22" s="266">
        <v>0</v>
      </c>
      <c r="E22" s="274">
        <v>0</v>
      </c>
      <c r="F22" s="4">
        <f>F7</f>
        <v>0</v>
      </c>
      <c r="G22" s="4">
        <f t="shared" ref="G22:J22" si="6">G7</f>
        <v>0</v>
      </c>
      <c r="H22" s="4">
        <f t="shared" si="6"/>
        <v>0</v>
      </c>
      <c r="I22" s="4">
        <f t="shared" si="6"/>
        <v>0</v>
      </c>
      <c r="J22" s="4">
        <f t="shared" si="6"/>
        <v>0</v>
      </c>
      <c r="K22" s="4"/>
      <c r="L22" s="4"/>
    </row>
    <row r="23" spans="1:12" s="120" customFormat="1" x14ac:dyDescent="0.25">
      <c r="A23" s="120" t="s">
        <v>125</v>
      </c>
      <c r="B23" s="121" t="s">
        <v>53</v>
      </c>
      <c r="C23" s="269">
        <f>SUM(C19,C21:C22)</f>
        <v>102832</v>
      </c>
      <c r="D23" s="269">
        <f t="shared" ref="D23:F23" si="7">SUM(D19,D21:D22)</f>
        <v>125833</v>
      </c>
      <c r="E23" s="269">
        <f t="shared" si="7"/>
        <v>185106</v>
      </c>
      <c r="F23" s="269">
        <f t="shared" si="7"/>
        <v>213627.99886179736</v>
      </c>
      <c r="G23" s="269">
        <f t="shared" ref="G23:J23" si="8">SUM(G19,G21:G22)</f>
        <v>263431.56493731437</v>
      </c>
      <c r="H23" s="269">
        <f t="shared" si="8"/>
        <v>335855.92734532675</v>
      </c>
      <c r="I23" s="269">
        <f t="shared" si="8"/>
        <v>427941.82596406498</v>
      </c>
      <c r="J23" s="269">
        <f t="shared" si="8"/>
        <v>545008.72127846582</v>
      </c>
    </row>
    <row r="24" spans="1:12" s="11" customFormat="1" x14ac:dyDescent="0.25">
      <c r="C24" s="275"/>
      <c r="D24" s="275"/>
      <c r="E24" s="276"/>
      <c r="F24" s="4"/>
      <c r="G24" s="4"/>
      <c r="H24" s="4"/>
      <c r="I24" s="4"/>
      <c r="J24" s="4"/>
      <c r="K24" s="13"/>
      <c r="L24" s="13"/>
    </row>
    <row r="25" spans="1:12" s="11" customFormat="1" x14ac:dyDescent="0.25">
      <c r="B25" s="4" t="s">
        <v>56</v>
      </c>
      <c r="C25" s="277">
        <v>0</v>
      </c>
      <c r="D25" s="277">
        <v>0</v>
      </c>
      <c r="E25" s="278">
        <v>0</v>
      </c>
      <c r="F25" s="4">
        <f>F8</f>
        <v>0</v>
      </c>
      <c r="G25" s="4">
        <f t="shared" ref="G25:J25" si="9">G8</f>
        <v>0</v>
      </c>
      <c r="H25" s="4">
        <f t="shared" si="9"/>
        <v>0</v>
      </c>
      <c r="I25" s="4">
        <f t="shared" si="9"/>
        <v>0</v>
      </c>
      <c r="J25" s="4">
        <f t="shared" si="9"/>
        <v>0</v>
      </c>
      <c r="K25" s="4"/>
      <c r="L25" s="4"/>
    </row>
    <row r="26" spans="1:12" s="11" customFormat="1" x14ac:dyDescent="0.25">
      <c r="B26" s="4" t="s">
        <v>57</v>
      </c>
      <c r="C26" s="277">
        <v>-573</v>
      </c>
      <c r="D26" s="277">
        <v>-57</v>
      </c>
      <c r="E26" s="278">
        <v>2866</v>
      </c>
      <c r="F26" s="4">
        <f>F9</f>
        <v>0</v>
      </c>
      <c r="G26" s="4">
        <f t="shared" ref="G26:J26" si="10">G9</f>
        <v>0</v>
      </c>
      <c r="H26" s="4">
        <f t="shared" si="10"/>
        <v>0</v>
      </c>
      <c r="I26" s="4">
        <f t="shared" si="10"/>
        <v>0</v>
      </c>
      <c r="J26" s="4">
        <f t="shared" si="10"/>
        <v>0</v>
      </c>
      <c r="K26" s="4"/>
      <c r="L26" s="4"/>
    </row>
    <row r="27" spans="1:12" s="11" customFormat="1" x14ac:dyDescent="0.25">
      <c r="B27" s="4"/>
      <c r="C27" s="279"/>
      <c r="D27" s="279"/>
      <c r="E27" s="268"/>
      <c r="F27" s="4"/>
      <c r="G27" s="4"/>
      <c r="H27" s="4"/>
      <c r="I27" s="4"/>
      <c r="J27" s="4"/>
      <c r="K27" s="4"/>
      <c r="L27" s="4"/>
    </row>
    <row r="28" spans="1:12" s="11" customFormat="1" x14ac:dyDescent="0.25">
      <c r="B28" s="4" t="s">
        <v>41</v>
      </c>
      <c r="C28" s="280"/>
      <c r="D28" s="280"/>
      <c r="E28" s="281"/>
      <c r="F28" s="285">
        <f>IF(circ=1,Debt!F33,0)</f>
        <v>0</v>
      </c>
      <c r="G28" s="285">
        <f>IF(circ=1,Debt!G33,0)</f>
        <v>0</v>
      </c>
      <c r="H28" s="285">
        <f>IF(circ=1,Debt!H33,0)</f>
        <v>0</v>
      </c>
      <c r="I28" s="285">
        <f>IF(circ=1,Debt!I33,0)</f>
        <v>0</v>
      </c>
      <c r="J28" s="285">
        <f>IF(circ=1,Debt!J33,0)</f>
        <v>0</v>
      </c>
      <c r="K28" s="173"/>
      <c r="L28" s="173"/>
    </row>
    <row r="29" spans="1:12" x14ac:dyDescent="0.25">
      <c r="B29" s="4" t="s">
        <v>33</v>
      </c>
      <c r="C29" s="280">
        <v>-21230</v>
      </c>
      <c r="D29" s="280">
        <v>-18227</v>
      </c>
      <c r="E29" s="281">
        <v>-21292</v>
      </c>
      <c r="F29" s="285">
        <f>IF(circ=1,-Debt!F22,0)</f>
        <v>0</v>
      </c>
      <c r="G29" s="285">
        <f>IF(circ=1,-Debt!G22,0)</f>
        <v>0</v>
      </c>
      <c r="H29" s="285">
        <f>IF(circ=1,-Debt!H22,0)</f>
        <v>0</v>
      </c>
      <c r="I29" s="285">
        <f>IF(circ=1,-Debt!I22,0)</f>
        <v>0</v>
      </c>
      <c r="J29" s="285">
        <f>IF(circ=1,-Debt!J22,0)</f>
        <v>0</v>
      </c>
      <c r="K29" s="173"/>
      <c r="L29" s="173"/>
    </row>
    <row r="30" spans="1:12" x14ac:dyDescent="0.25">
      <c r="C30" s="279"/>
      <c r="D30" s="279"/>
      <c r="E30" s="268"/>
      <c r="H30" s="4"/>
    </row>
    <row r="31" spans="1:12" s="11" customFormat="1" x14ac:dyDescent="0.25">
      <c r="A31" s="11" t="s">
        <v>125</v>
      </c>
      <c r="B31" s="17" t="s">
        <v>85</v>
      </c>
      <c r="C31" s="269">
        <f t="shared" ref="C31:D31" si="11">C19+SUM(C26:C29)</f>
        <v>70130</v>
      </c>
      <c r="D31" s="269">
        <f t="shared" si="11"/>
        <v>94310</v>
      </c>
      <c r="E31" s="269">
        <f>E19+SUM(E25:E29)</f>
        <v>147190</v>
      </c>
      <c r="F31" s="269">
        <f>F19+SUM(F25:F29)</f>
        <v>191389.05145999999</v>
      </c>
      <c r="G31" s="269">
        <f t="shared" ref="G31:J31" si="12">G19+SUM(G25:G29)</f>
        <v>234758.42750400002</v>
      </c>
      <c r="H31" s="269">
        <f t="shared" si="12"/>
        <v>299812.49156999995</v>
      </c>
      <c r="I31" s="269">
        <f t="shared" si="12"/>
        <v>382721.18594999996</v>
      </c>
      <c r="J31" s="269">
        <f t="shared" si="12"/>
        <v>488345.94679687498</v>
      </c>
    </row>
    <row r="32" spans="1:12" x14ac:dyDescent="0.25">
      <c r="C32" s="275"/>
      <c r="D32" s="275"/>
      <c r="E32" s="276"/>
      <c r="H32" s="4"/>
    </row>
    <row r="33" spans="1:12" x14ac:dyDescent="0.25">
      <c r="B33" s="4" t="s">
        <v>58</v>
      </c>
      <c r="C33" s="282">
        <v>16369</v>
      </c>
      <c r="D33" s="275">
        <v>24135</v>
      </c>
      <c r="E33" s="283">
        <v>38473</v>
      </c>
      <c r="F33" s="4">
        <f>F10*F31</f>
        <v>44019.481835799997</v>
      </c>
      <c r="G33" s="4">
        <f t="shared" ref="G33:J33" si="13">G10*G31</f>
        <v>53994.438325920004</v>
      </c>
      <c r="H33" s="4">
        <f t="shared" si="13"/>
        <v>68956.873061099992</v>
      </c>
      <c r="I33" s="4">
        <f t="shared" si="13"/>
        <v>88025.87276849999</v>
      </c>
      <c r="J33" s="4">
        <f t="shared" si="13"/>
        <v>112319.56776328124</v>
      </c>
    </row>
    <row r="34" spans="1:12" s="11" customFormat="1" x14ac:dyDescent="0.25">
      <c r="A34" s="11" t="s">
        <v>125</v>
      </c>
      <c r="B34" s="17" t="s">
        <v>59</v>
      </c>
      <c r="C34" s="269">
        <f>C31-C33</f>
        <v>53761</v>
      </c>
      <c r="D34" s="284">
        <f t="shared" ref="D34:F34" si="14">D31-D33</f>
        <v>70175</v>
      </c>
      <c r="E34" s="269">
        <f t="shared" si="14"/>
        <v>108717</v>
      </c>
      <c r="F34" s="269">
        <f t="shared" si="14"/>
        <v>147369.5696242</v>
      </c>
      <c r="G34" s="269">
        <f t="shared" ref="G34:J34" si="15">G31-G33</f>
        <v>180763.98917808002</v>
      </c>
      <c r="H34" s="269">
        <f t="shared" si="15"/>
        <v>230855.61850889996</v>
      </c>
      <c r="I34" s="269">
        <f t="shared" si="15"/>
        <v>294695.31318149995</v>
      </c>
      <c r="J34" s="269">
        <f t="shared" si="15"/>
        <v>376026.37903359375</v>
      </c>
    </row>
    <row r="35" spans="1:12" s="255" customFormat="1" x14ac:dyDescent="0.25">
      <c r="A35" s="258"/>
      <c r="B35" s="255" t="s">
        <v>178</v>
      </c>
      <c r="C35" s="262">
        <f t="shared" ref="C35:D35" si="16">C36/C38</f>
        <v>4.6513984114878815</v>
      </c>
      <c r="D35" s="265">
        <f t="shared" si="16"/>
        <v>0.83762764517278221</v>
      </c>
      <c r="E35" s="263">
        <f>E36/E38</f>
        <v>0.98781864841745082</v>
      </c>
      <c r="F35" s="255">
        <f>F11</f>
        <v>1.2378186484174507</v>
      </c>
      <c r="G35" s="255">
        <f t="shared" ref="G35:J35" si="17">G11</f>
        <v>1.4878186484174507</v>
      </c>
      <c r="H35" s="255">
        <f t="shared" si="17"/>
        <v>1.7378186484174507</v>
      </c>
      <c r="I35" s="255">
        <f t="shared" si="17"/>
        <v>1.9878186484174507</v>
      </c>
      <c r="J35" s="255">
        <f t="shared" si="17"/>
        <v>2.2378186484174507</v>
      </c>
    </row>
    <row r="36" spans="1:12" x14ac:dyDescent="0.25">
      <c r="B36" s="4" t="s">
        <v>60</v>
      </c>
      <c r="C36" s="10">
        <v>141279</v>
      </c>
      <c r="D36" s="10">
        <v>24907</v>
      </c>
      <c r="E36" s="22">
        <v>28869</v>
      </c>
      <c r="F36" s="4">
        <f>F35*F38</f>
        <v>36175.25</v>
      </c>
      <c r="G36" s="4">
        <f t="shared" ref="G36:J36" si="18">G35*G38</f>
        <v>43481.5</v>
      </c>
      <c r="H36" s="4">
        <f t="shared" si="18"/>
        <v>50787.75</v>
      </c>
      <c r="I36" s="4">
        <f t="shared" si="18"/>
        <v>58094</v>
      </c>
      <c r="J36" s="4">
        <f t="shared" si="18"/>
        <v>65400.25</v>
      </c>
    </row>
    <row r="37" spans="1:12" x14ac:dyDescent="0.25">
      <c r="A37" s="20" t="s">
        <v>61</v>
      </c>
      <c r="B37" s="19"/>
      <c r="C37" s="52">
        <v>44926</v>
      </c>
      <c r="D37" s="52">
        <v>45291</v>
      </c>
      <c r="E37" s="52">
        <v>45657</v>
      </c>
      <c r="F37" s="52">
        <v>46022</v>
      </c>
      <c r="G37" s="52">
        <v>46022</v>
      </c>
      <c r="H37" s="52">
        <v>46022</v>
      </c>
      <c r="I37" s="52">
        <v>46022</v>
      </c>
      <c r="J37" s="52">
        <v>46022</v>
      </c>
      <c r="K37" s="193"/>
      <c r="L37" s="193"/>
    </row>
    <row r="38" spans="1:12" x14ac:dyDescent="0.25">
      <c r="B38" s="4" t="s">
        <v>49</v>
      </c>
      <c r="C38" s="10">
        <f>C34/C40</f>
        <v>30373.446327683614</v>
      </c>
      <c r="D38" s="10">
        <f>D34/D40</f>
        <v>29735.169491525427</v>
      </c>
      <c r="E38" s="22">
        <f>E34/E40</f>
        <v>29225</v>
      </c>
      <c r="F38" s="164">
        <f>F12</f>
        <v>29225</v>
      </c>
      <c r="G38" s="164">
        <f t="shared" ref="G38:J38" si="19">G12</f>
        <v>29225</v>
      </c>
      <c r="H38" s="164">
        <f t="shared" si="19"/>
        <v>29225</v>
      </c>
      <c r="I38" s="164">
        <f t="shared" si="19"/>
        <v>29225</v>
      </c>
      <c r="J38" s="164">
        <f t="shared" si="19"/>
        <v>29225</v>
      </c>
      <c r="K38" s="197"/>
      <c r="L38" s="197"/>
    </row>
    <row r="39" spans="1:12" x14ac:dyDescent="0.25">
      <c r="B39" s="4" t="s">
        <v>50</v>
      </c>
      <c r="C39" s="10">
        <f>C34/C41</f>
        <v>30373.446327683614</v>
      </c>
      <c r="D39" s="10">
        <f>D34/D41</f>
        <v>29861.702127659573</v>
      </c>
      <c r="E39" s="22">
        <f>E34/E41</f>
        <v>29382.972972972973</v>
      </c>
      <c r="F39" s="164">
        <f>F13</f>
        <v>29382.972972972973</v>
      </c>
      <c r="G39" s="164">
        <f t="shared" ref="G39:J39" si="20">G13</f>
        <v>29382.972972972973</v>
      </c>
      <c r="H39" s="164">
        <f t="shared" si="20"/>
        <v>29382.972972972973</v>
      </c>
      <c r="I39" s="164">
        <f t="shared" si="20"/>
        <v>29382.972972972973</v>
      </c>
      <c r="J39" s="164">
        <f t="shared" si="20"/>
        <v>29382.972972972973</v>
      </c>
      <c r="K39" s="197"/>
      <c r="L39" s="197"/>
    </row>
    <row r="40" spans="1:12" x14ac:dyDescent="0.25">
      <c r="B40" s="4" t="s">
        <v>62</v>
      </c>
      <c r="C40" s="171">
        <v>1.77</v>
      </c>
      <c r="D40" s="171">
        <v>2.36</v>
      </c>
      <c r="E40" s="172">
        <v>3.72</v>
      </c>
      <c r="F40" s="163">
        <f>F34/F38</f>
        <v>5.0425857869700597</v>
      </c>
      <c r="G40" s="163">
        <f t="shared" ref="G40:J40" si="21">G34/G38</f>
        <v>6.1852519821413185</v>
      </c>
      <c r="H40" s="163">
        <f t="shared" si="21"/>
        <v>7.8992512748982024</v>
      </c>
      <c r="I40" s="163">
        <f t="shared" si="21"/>
        <v>10.0836719651497</v>
      </c>
      <c r="J40" s="163">
        <f t="shared" si="21"/>
        <v>12.866599795845808</v>
      </c>
      <c r="K40" s="197"/>
      <c r="L40" s="197"/>
    </row>
    <row r="41" spans="1:12" s="11" customFormat="1" x14ac:dyDescent="0.25">
      <c r="A41" s="11" t="s">
        <v>125</v>
      </c>
      <c r="B41" s="17" t="s">
        <v>63</v>
      </c>
      <c r="C41" s="170">
        <v>1.77</v>
      </c>
      <c r="D41" s="170">
        <v>2.35</v>
      </c>
      <c r="E41" s="170">
        <v>3.7</v>
      </c>
      <c r="F41" s="170">
        <f>F34/F39</f>
        <v>5.0154751106960269</v>
      </c>
      <c r="G41" s="170">
        <f t="shared" ref="G41:J41" si="22">G34/G39</f>
        <v>6.1519979392265798</v>
      </c>
      <c r="H41" s="170">
        <f t="shared" si="22"/>
        <v>7.8567821820224051</v>
      </c>
      <c r="I41" s="170">
        <f t="shared" si="22"/>
        <v>10.029458675014485</v>
      </c>
      <c r="J41" s="170">
        <f t="shared" si="22"/>
        <v>12.797424528126207</v>
      </c>
      <c r="K41" s="201"/>
      <c r="L41" s="201"/>
    </row>
    <row r="42" spans="1:12" x14ac:dyDescent="0.25">
      <c r="C42" s="14"/>
      <c r="D42" s="14"/>
      <c r="E42" s="35"/>
      <c r="F42" s="14"/>
      <c r="G42" s="14"/>
      <c r="H42" s="14"/>
      <c r="I42" s="14"/>
      <c r="J42" s="14"/>
    </row>
    <row r="43" spans="1:12" x14ac:dyDescent="0.25">
      <c r="D43" s="14"/>
      <c r="E43" s="14"/>
      <c r="F43" s="14"/>
    </row>
  </sheetData>
  <conditionalFormatting sqref="F4:L13">
    <cfRule type="expression" dxfId="1" priority="34">
      <formula>$E$12&gt;1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autoPageBreaks="0" fitToPage="1"/>
  </sheetPr>
  <dimension ref="A1:L53"/>
  <sheetViews>
    <sheetView showGridLines="0" zoomScaleNormal="100" workbookViewId="0">
      <selection activeCell="F40" sqref="F15:J40"/>
    </sheetView>
  </sheetViews>
  <sheetFormatPr defaultColWidth="8.85546875" defaultRowHeight="15" x14ac:dyDescent="0.25"/>
  <cols>
    <col min="1" max="1" width="1.7109375" style="4" customWidth="1"/>
    <col min="2" max="2" width="42.85546875" style="4" customWidth="1"/>
    <col min="3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2.855468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2.855468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2.855468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2.855468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2.855468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2.855468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2.855468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2.855468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2.855468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2.855468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2.855468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2.855468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2.855468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2.855468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2.855468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2.855468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2.855468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2.855468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2.855468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2.855468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2.855468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2.855468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2.855468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2.855468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2.855468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2.855468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2.855468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2.855468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2.855468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2.855468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2.855468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2.855468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2.855468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2.855468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2.855468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2.855468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2.855468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2.855468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2.855468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2.855468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2.855468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2.855468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2.855468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2.855468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2.855468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2.855468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2.855468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2.855468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2.855468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2.855468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2.855468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2.855468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2.855468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2.855468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2.855468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2.855468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2.855468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2.855468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2.855468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2.855468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2.855468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2.855468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2.855468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44" t="str">
        <f>CoName</f>
        <v>Wingstop Inc</v>
      </c>
      <c r="B1" s="3"/>
      <c r="C1" s="38" t="s">
        <v>0</v>
      </c>
      <c r="D1" s="38" t="s">
        <v>0</v>
      </c>
      <c r="E1" s="38" t="s">
        <v>0</v>
      </c>
      <c r="F1" s="38" t="s">
        <v>1</v>
      </c>
      <c r="G1" s="38" t="s">
        <v>1</v>
      </c>
      <c r="H1" s="38" t="s">
        <v>1</v>
      </c>
      <c r="I1" s="38" t="s">
        <v>1</v>
      </c>
      <c r="J1" s="38" t="s">
        <v>1</v>
      </c>
      <c r="K1" s="38"/>
      <c r="L1" s="38"/>
    </row>
    <row r="2" spans="1:12" x14ac:dyDescent="0.25">
      <c r="A2" s="16" t="s">
        <v>10</v>
      </c>
      <c r="B2" s="60"/>
      <c r="C2" s="254">
        <v>2022</v>
      </c>
      <c r="D2" s="254">
        <f>C2+1</f>
        <v>2023</v>
      </c>
      <c r="E2" s="254">
        <f t="shared" ref="E2:J2" si="0">D2+1</f>
        <v>2024</v>
      </c>
      <c r="F2" s="254">
        <f t="shared" si="0"/>
        <v>2025</v>
      </c>
      <c r="G2" s="254">
        <f t="shared" si="0"/>
        <v>2026</v>
      </c>
      <c r="H2" s="254">
        <f t="shared" si="0"/>
        <v>2027</v>
      </c>
      <c r="I2" s="254">
        <f t="shared" si="0"/>
        <v>2028</v>
      </c>
      <c r="J2" s="254">
        <f t="shared" si="0"/>
        <v>2029</v>
      </c>
      <c r="K2" s="202"/>
      <c r="L2" s="202"/>
    </row>
    <row r="3" spans="1:12" x14ac:dyDescent="0.25">
      <c r="K3" s="6"/>
      <c r="L3" s="6"/>
    </row>
    <row r="4" spans="1:12" x14ac:dyDescent="0.25">
      <c r="B4" s="4" t="s">
        <v>141</v>
      </c>
      <c r="C4" s="40"/>
      <c r="D4" s="40"/>
      <c r="E4" s="41"/>
      <c r="F4" s="97">
        <f>Assumptions!F44</f>
        <v>0.02</v>
      </c>
      <c r="G4" s="97">
        <f>F4</f>
        <v>0.02</v>
      </c>
      <c r="H4" s="97">
        <f t="shared" ref="H4:J4" si="1">G4</f>
        <v>0.02</v>
      </c>
      <c r="I4" s="97">
        <f t="shared" si="1"/>
        <v>0.02</v>
      </c>
      <c r="J4" s="97">
        <f t="shared" si="1"/>
        <v>0.02</v>
      </c>
      <c r="K4" s="160"/>
      <c r="L4" s="160"/>
    </row>
    <row r="5" spans="1:12" x14ac:dyDescent="0.25">
      <c r="B5" s="4" t="s">
        <v>154</v>
      </c>
      <c r="C5" s="40"/>
      <c r="D5" s="40"/>
      <c r="E5" s="41"/>
      <c r="F5" s="97">
        <f>Assumptions!F45</f>
        <v>3.1417034325279203E-2</v>
      </c>
      <c r="G5" s="97">
        <f>Assumptions!G45</f>
        <v>3.1417034325279203E-2</v>
      </c>
      <c r="H5" s="97">
        <f>Assumptions!H45</f>
        <v>3.1417034325279203E-2</v>
      </c>
      <c r="I5" s="97">
        <f>Assumptions!I45</f>
        <v>3.1417034325279203E-2</v>
      </c>
      <c r="J5" s="97">
        <f>Assumptions!J45</f>
        <v>3.1417034325279203E-2</v>
      </c>
      <c r="K5" s="160"/>
      <c r="L5" s="160"/>
    </row>
    <row r="6" spans="1:12" x14ac:dyDescent="0.25">
      <c r="B6" s="4" t="s">
        <v>66</v>
      </c>
      <c r="C6" s="40"/>
      <c r="D6" s="40"/>
      <c r="E6" s="41"/>
      <c r="F6" s="97">
        <f>Assumptions!F47</f>
        <v>9.5951307671534508E-2</v>
      </c>
      <c r="G6" s="97">
        <f>Assumptions!G47</f>
        <v>9.5951307671534508E-2</v>
      </c>
      <c r="H6" s="97">
        <f>Assumptions!H47</f>
        <v>9.5951307671534508E-2</v>
      </c>
      <c r="I6" s="97">
        <f>Assumptions!I47</f>
        <v>9.5951307671534508E-2</v>
      </c>
      <c r="J6" s="97">
        <f>Assumptions!J47</f>
        <v>9.5951307671534508E-2</v>
      </c>
      <c r="K6" s="160"/>
      <c r="L6" s="160"/>
    </row>
    <row r="7" spans="1:12" x14ac:dyDescent="0.25">
      <c r="A7" s="7"/>
      <c r="C7" s="29"/>
      <c r="D7" s="29"/>
      <c r="E7" s="29"/>
      <c r="F7" s="98"/>
      <c r="G7" s="98"/>
      <c r="H7" s="98"/>
      <c r="I7" s="98"/>
      <c r="J7" s="98"/>
      <c r="K7" s="160"/>
      <c r="L7" s="160"/>
    </row>
    <row r="8" spans="1:12" x14ac:dyDescent="0.25">
      <c r="B8" s="4" t="s">
        <v>67</v>
      </c>
      <c r="C8" s="40"/>
      <c r="D8" s="40"/>
      <c r="E8" s="41"/>
      <c r="F8" s="97">
        <f>Assumptions!F50</f>
        <v>0.13943116647784382</v>
      </c>
      <c r="G8" s="97">
        <f>Assumptions!G50</f>
        <v>0.13943116647784382</v>
      </c>
      <c r="H8" s="97">
        <f>Assumptions!H50</f>
        <v>0.13943116647784382</v>
      </c>
      <c r="I8" s="97">
        <f>Assumptions!I50</f>
        <v>0.13943116647784382</v>
      </c>
      <c r="J8" s="97">
        <f>Assumptions!J50</f>
        <v>0.13943116647784382</v>
      </c>
      <c r="K8" s="160"/>
      <c r="L8" s="160"/>
    </row>
    <row r="9" spans="1:12" x14ac:dyDescent="0.25">
      <c r="C9" s="29"/>
      <c r="D9" s="29"/>
      <c r="E9" s="29"/>
      <c r="F9" s="98"/>
      <c r="G9" s="98"/>
      <c r="H9" s="98"/>
      <c r="I9" s="98"/>
      <c r="J9" s="98"/>
      <c r="K9" s="160"/>
      <c r="L9" s="160"/>
    </row>
    <row r="10" spans="1:12" x14ac:dyDescent="0.25">
      <c r="B10" s="4" t="s">
        <v>153</v>
      </c>
      <c r="C10" s="40"/>
      <c r="D10" s="40"/>
      <c r="E10" s="41"/>
      <c r="F10" s="97">
        <f>Assumptions!F54</f>
        <v>7.5770473197136368E-2</v>
      </c>
      <c r="G10" s="97">
        <f>Assumptions!G54</f>
        <v>7.5770473197136368E-2</v>
      </c>
      <c r="H10" s="97">
        <f>Assumptions!H54</f>
        <v>7.5770473197136368E-2</v>
      </c>
      <c r="I10" s="97">
        <f>Assumptions!I54</f>
        <v>7.5770473197136368E-2</v>
      </c>
      <c r="J10" s="97">
        <f>Assumptions!J54</f>
        <v>7.5770473197136368E-2</v>
      </c>
      <c r="K10" s="160"/>
      <c r="L10" s="160"/>
    </row>
    <row r="11" spans="1:12" x14ac:dyDescent="0.25">
      <c r="B11" s="4" t="s">
        <v>68</v>
      </c>
      <c r="C11" s="40"/>
      <c r="D11" s="40"/>
      <c r="E11" s="25"/>
      <c r="F11" s="97">
        <f>Assumptions!F55</f>
        <v>0.12863390789812196</v>
      </c>
      <c r="G11" s="97">
        <f>Assumptions!G55</f>
        <v>0.12863390789812196</v>
      </c>
      <c r="H11" s="97">
        <f>Assumptions!H55</f>
        <v>0.12863390789812196</v>
      </c>
      <c r="I11" s="97">
        <f>Assumptions!I55</f>
        <v>0.12863390789812196</v>
      </c>
      <c r="J11" s="97">
        <f>Assumptions!J55</f>
        <v>0.12863390789812196</v>
      </c>
      <c r="K11" s="160"/>
      <c r="L11" s="160"/>
    </row>
    <row r="12" spans="1:12" x14ac:dyDescent="0.25">
      <c r="B12" s="4" t="s">
        <v>69</v>
      </c>
      <c r="C12" s="40"/>
      <c r="D12" s="40"/>
      <c r="E12" s="41"/>
      <c r="F12" s="246">
        <f>Assumptions!F56</f>
        <v>0.15689821302733911</v>
      </c>
      <c r="G12" s="246">
        <f>Assumptions!G56</f>
        <v>0.15689821302733911</v>
      </c>
      <c r="H12" s="246">
        <f>Assumptions!H56</f>
        <v>0.15689821302733911</v>
      </c>
      <c r="I12" s="246">
        <f>Assumptions!I56</f>
        <v>0.15689821302733911</v>
      </c>
      <c r="J12" s="246">
        <f>Assumptions!J56</f>
        <v>0.15689821302733911</v>
      </c>
      <c r="K12" s="160"/>
      <c r="L12" s="160"/>
    </row>
    <row r="13" spans="1:12" x14ac:dyDescent="0.25">
      <c r="C13" s="40"/>
      <c r="D13" s="40"/>
      <c r="E13" s="40"/>
      <c r="F13" s="98"/>
      <c r="G13" s="98"/>
      <c r="H13" s="98"/>
      <c r="I13" s="98"/>
      <c r="J13" s="98"/>
      <c r="K13" s="160"/>
      <c r="L13" s="160"/>
    </row>
    <row r="14" spans="1:12" ht="15" customHeight="1" x14ac:dyDescent="0.25">
      <c r="A14" s="168" t="s">
        <v>64</v>
      </c>
      <c r="B14" s="169"/>
      <c r="C14" s="243">
        <f>C2</f>
        <v>2022</v>
      </c>
      <c r="D14" s="243">
        <f>D2</f>
        <v>2023</v>
      </c>
      <c r="E14" s="243">
        <f>E2</f>
        <v>2024</v>
      </c>
      <c r="F14" s="243">
        <f>F2</f>
        <v>2025</v>
      </c>
      <c r="G14" s="243">
        <f>G2</f>
        <v>2026</v>
      </c>
      <c r="H14" s="243">
        <f>H2</f>
        <v>2027</v>
      </c>
      <c r="I14" s="243">
        <f>I2</f>
        <v>2028</v>
      </c>
      <c r="J14" s="243">
        <f>J2</f>
        <v>2029</v>
      </c>
      <c r="K14" s="196"/>
      <c r="L14" s="196"/>
    </row>
    <row r="15" spans="1:12" x14ac:dyDescent="0.25">
      <c r="B15" s="4" t="s">
        <v>159</v>
      </c>
      <c r="C15" s="175">
        <f>2%*IncState!C16</f>
        <v>7150.42</v>
      </c>
      <c r="D15" s="175">
        <f>2%*IncState!D16</f>
        <v>9201.1</v>
      </c>
      <c r="E15" s="176">
        <f>2%*IncState!E16</f>
        <v>12516.14</v>
      </c>
      <c r="F15" s="4">
        <f>F4*IncState!F16</f>
        <v>14143.238199999998</v>
      </c>
      <c r="G15" s="4">
        <f>G4*IncState!G16</f>
        <v>16971.885839999999</v>
      </c>
      <c r="H15" s="4">
        <f>H4*IncState!H16</f>
        <v>21214.857299999996</v>
      </c>
      <c r="I15" s="4">
        <f>I4*IncState!I16</f>
        <v>26518.571624999997</v>
      </c>
      <c r="J15" s="4">
        <f>J4*IncState!J16</f>
        <v>33148.214531249992</v>
      </c>
    </row>
    <row r="16" spans="1:12" x14ac:dyDescent="0.25">
      <c r="B16" s="4" t="s">
        <v>160</v>
      </c>
      <c r="C16" s="175">
        <f>184496-C15</f>
        <v>177345.58</v>
      </c>
      <c r="D16" s="175">
        <f>90216-D15</f>
        <v>81014.899999999994</v>
      </c>
      <c r="E16" s="176">
        <f>315910-E15</f>
        <v>303393.86</v>
      </c>
      <c r="F16" s="4">
        <f>MAX(CashFlow!F23,0)</f>
        <v>378893.2568334497</v>
      </c>
      <c r="G16" s="4">
        <f>MAX(CashFlow!G23,0)</f>
        <v>475748.01301527722</v>
      </c>
      <c r="H16" s="4">
        <f>MAX(CashFlow!H23,0)</f>
        <v>605811.94265515381</v>
      </c>
      <c r="I16" s="4">
        <f>MAX(CashFlow!I23,0)</f>
        <v>780054.58429807576</v>
      </c>
      <c r="J16" s="4">
        <f>MAX(CashFlow!J23,0)</f>
        <v>1012844.2318134499</v>
      </c>
    </row>
    <row r="17" spans="1:12" x14ac:dyDescent="0.25">
      <c r="B17" s="4" t="s">
        <v>70</v>
      </c>
      <c r="C17" s="177">
        <v>9461</v>
      </c>
      <c r="D17" s="177">
        <f>12408</f>
        <v>12408</v>
      </c>
      <c r="E17" s="178">
        <v>19661</v>
      </c>
      <c r="F17" s="4">
        <f>F5*IncState!F16</f>
        <v>22216.93</v>
      </c>
      <c r="G17" s="4">
        <f>G5*IncState!G16</f>
        <v>26660.315999999999</v>
      </c>
      <c r="H17" s="4">
        <f>H5*IncState!H16</f>
        <v>33325.394999999997</v>
      </c>
      <c r="I17" s="4">
        <f>I5*IncState!I16</f>
        <v>41656.743750000001</v>
      </c>
      <c r="J17" s="4">
        <f>J5*IncState!J16</f>
        <v>52070.9296875</v>
      </c>
    </row>
    <row r="18" spans="1:12" x14ac:dyDescent="0.25">
      <c r="B18" s="4" t="s">
        <v>71</v>
      </c>
      <c r="C18" s="177">
        <f>4252+15167+13296</f>
        <v>32715</v>
      </c>
      <c r="D18" s="177">
        <f>11444+25328+4948</f>
        <v>41720</v>
      </c>
      <c r="E18" s="178">
        <f>20868+6520+32659</f>
        <v>60047</v>
      </c>
      <c r="F18" s="4">
        <f>F6*IncState!F16</f>
        <v>67853.109999999986</v>
      </c>
      <c r="G18" s="4">
        <f>G6*IncState!G16</f>
        <v>81423.731999999989</v>
      </c>
      <c r="H18" s="4">
        <f>H6*IncState!H16</f>
        <v>101779.66499999996</v>
      </c>
      <c r="I18" s="4">
        <f>I6*IncState!I16</f>
        <v>127224.58124999997</v>
      </c>
      <c r="J18" s="4">
        <f>J6*IncState!J16</f>
        <v>159030.72656249997</v>
      </c>
    </row>
    <row r="19" spans="1:12" s="11" customFormat="1" x14ac:dyDescent="0.25">
      <c r="B19" s="11" t="s">
        <v>72</v>
      </c>
      <c r="C19" s="11">
        <f>SUM(C15:C18)</f>
        <v>226672</v>
      </c>
      <c r="D19" s="11">
        <f>SUM(D15:D18)</f>
        <v>144344</v>
      </c>
      <c r="E19" s="24">
        <f>SUM(E15:E18)</f>
        <v>395618</v>
      </c>
      <c r="F19" s="11">
        <f>SUM(F15:F18)</f>
        <v>483106.53503344971</v>
      </c>
      <c r="G19" s="11">
        <f t="shared" ref="G19:J19" si="2">SUM(G15:G18)</f>
        <v>600803.94685527717</v>
      </c>
      <c r="H19" s="11">
        <f t="shared" si="2"/>
        <v>762131.85995515378</v>
      </c>
      <c r="I19" s="11">
        <f t="shared" si="2"/>
        <v>975454.48092307569</v>
      </c>
      <c r="J19" s="11">
        <f t="shared" si="2"/>
        <v>1257094.1025946997</v>
      </c>
    </row>
    <row r="20" spans="1:12" x14ac:dyDescent="0.25">
      <c r="A20" s="7"/>
      <c r="E20" s="26"/>
      <c r="I20" s="4"/>
      <c r="J20" s="4"/>
    </row>
    <row r="21" spans="1:12" x14ac:dyDescent="0.25">
      <c r="B21" s="4" t="s">
        <v>73</v>
      </c>
      <c r="C21" s="177">
        <v>66851</v>
      </c>
      <c r="D21" s="177">
        <f>91292+19092</f>
        <v>110384</v>
      </c>
      <c r="E21" s="178">
        <f>125953</f>
        <v>125953</v>
      </c>
      <c r="F21" s="4">
        <f>Calcs!F9</f>
        <v>162393.82259820262</v>
      </c>
      <c r="G21" s="4">
        <f>Calcs!G9</f>
        <v>204136.40916488826</v>
      </c>
      <c r="H21" s="4">
        <f>Calcs!H9</f>
        <v>256112.62838956143</v>
      </c>
      <c r="I21" s="4">
        <f>Calcs!I9</f>
        <v>320916.55712549639</v>
      </c>
      <c r="J21" s="4">
        <f>Calcs!J9</f>
        <v>401784.49358140555</v>
      </c>
    </row>
    <row r="22" spans="1:12" x14ac:dyDescent="0.25">
      <c r="B22" s="4" t="s">
        <v>161</v>
      </c>
      <c r="C22" s="177">
        <f>62514+32700</f>
        <v>95214</v>
      </c>
      <c r="D22" s="177">
        <f>67708+32700</f>
        <v>100408</v>
      </c>
      <c r="E22" s="178">
        <f>74718+32700</f>
        <v>107418</v>
      </c>
      <c r="F22" s="122">
        <f>E22-IncState!F22</f>
        <v>107418</v>
      </c>
      <c r="G22" s="122">
        <f>F22-IncState!G22</f>
        <v>107418</v>
      </c>
      <c r="H22" s="122">
        <f>G22-IncState!H22</f>
        <v>107418</v>
      </c>
      <c r="I22" s="122">
        <f>H22-IncState!I22</f>
        <v>107418</v>
      </c>
      <c r="J22" s="122">
        <f>I22-IncState!J22</f>
        <v>107418</v>
      </c>
      <c r="K22" s="122"/>
      <c r="L22" s="122"/>
    </row>
    <row r="23" spans="1:12" x14ac:dyDescent="0.25">
      <c r="B23" s="4" t="s">
        <v>162</v>
      </c>
      <c r="C23" s="177">
        <f>9015+26438</f>
        <v>35453</v>
      </c>
      <c r="D23" s="177">
        <f>7740+14949</f>
        <v>22689</v>
      </c>
      <c r="E23" s="178">
        <f>6476+31735+49046</f>
        <v>87257</v>
      </c>
      <c r="F23" s="4">
        <f>F8*IncState!F16</f>
        <v>98600.409999999989</v>
      </c>
      <c r="G23" s="4">
        <f>G8*IncState!G16</f>
        <v>118320.492</v>
      </c>
      <c r="H23" s="4">
        <f>H8*IncState!H16</f>
        <v>147900.61499999996</v>
      </c>
      <c r="I23" s="4">
        <f>I8*IncState!I16</f>
        <v>184875.76874999999</v>
      </c>
      <c r="J23" s="4">
        <f>J8*IncState!J16</f>
        <v>231094.71093749997</v>
      </c>
    </row>
    <row r="24" spans="1:12" s="11" customFormat="1" x14ac:dyDescent="0.25">
      <c r="B24" s="11" t="s">
        <v>74</v>
      </c>
      <c r="C24" s="11">
        <f>SUM(C21:C23)</f>
        <v>197518</v>
      </c>
      <c r="D24" s="11">
        <f>SUM(D21:D23)</f>
        <v>233481</v>
      </c>
      <c r="E24" s="24">
        <f>SUM(E21:E23)</f>
        <v>320628</v>
      </c>
      <c r="F24" s="11">
        <f>SUM(F21:F23)</f>
        <v>368412.23259820259</v>
      </c>
      <c r="G24" s="11">
        <f t="shared" ref="G24:J24" si="3">SUM(G21:G23)</f>
        <v>429874.90116488829</v>
      </c>
      <c r="H24" s="11">
        <f t="shared" si="3"/>
        <v>511431.24338956142</v>
      </c>
      <c r="I24" s="11">
        <f t="shared" si="3"/>
        <v>613210.32587549638</v>
      </c>
      <c r="J24" s="11">
        <f t="shared" si="3"/>
        <v>740297.20451890549</v>
      </c>
    </row>
    <row r="25" spans="1:12" x14ac:dyDescent="0.25">
      <c r="E25" s="26"/>
      <c r="I25" s="4"/>
      <c r="J25" s="4"/>
    </row>
    <row r="26" spans="1:12" s="11" customFormat="1" x14ac:dyDescent="0.25">
      <c r="A26" s="11" t="s">
        <v>125</v>
      </c>
      <c r="B26" s="17" t="s">
        <v>75</v>
      </c>
      <c r="C26" s="18">
        <f>SUM(C24,C19)</f>
        <v>424190</v>
      </c>
      <c r="D26" s="18">
        <f>SUM(D24,D19)</f>
        <v>377825</v>
      </c>
      <c r="E26" s="18">
        <f>SUM(E24,E19)</f>
        <v>716246</v>
      </c>
      <c r="F26" s="18">
        <f>SUM(F24,F19)</f>
        <v>851518.7676316523</v>
      </c>
      <c r="G26" s="18">
        <f t="shared" ref="G26:J26" si="4">SUM(G24,G19)</f>
        <v>1030678.8480201655</v>
      </c>
      <c r="H26" s="18">
        <f t="shared" si="4"/>
        <v>1273563.1033447152</v>
      </c>
      <c r="I26" s="18">
        <f t="shared" si="4"/>
        <v>1588664.8067985722</v>
      </c>
      <c r="J26" s="18">
        <f t="shared" si="4"/>
        <v>1997391.3071136051</v>
      </c>
    </row>
    <row r="27" spans="1:12" x14ac:dyDescent="0.25">
      <c r="A27" s="11"/>
      <c r="E27" s="26"/>
      <c r="I27" s="4"/>
      <c r="J27" s="4"/>
      <c r="K27" s="6"/>
      <c r="L27" s="6"/>
    </row>
    <row r="28" spans="1:12" x14ac:dyDescent="0.25">
      <c r="B28" s="4" t="s">
        <v>76</v>
      </c>
      <c r="C28" s="9">
        <v>0</v>
      </c>
      <c r="D28" s="9">
        <v>0</v>
      </c>
      <c r="E28" s="42">
        <v>0</v>
      </c>
      <c r="F28" s="4">
        <f>MIN(CashFlow!F23,0)</f>
        <v>0</v>
      </c>
      <c r="G28" s="4">
        <f>MIN(CashFlow!G23,0)</f>
        <v>0</v>
      </c>
      <c r="H28" s="4">
        <f>MIN(CashFlow!H23,0)</f>
        <v>0</v>
      </c>
      <c r="I28" s="4">
        <f>MIN(CashFlow!I23,0)</f>
        <v>0</v>
      </c>
      <c r="J28" s="4">
        <f>MIN(CashFlow!J23,0)</f>
        <v>0</v>
      </c>
    </row>
    <row r="29" spans="1:12" x14ac:dyDescent="0.25">
      <c r="B29" s="4" t="s">
        <v>152</v>
      </c>
      <c r="C29" s="177">
        <v>5219</v>
      </c>
      <c r="D29" s="9">
        <v>4725</v>
      </c>
      <c r="E29" s="42">
        <v>6943</v>
      </c>
      <c r="F29" s="4">
        <f>F10*IncState!F17</f>
        <v>7792.0080074523084</v>
      </c>
      <c r="G29" s="4">
        <f>G10*IncState!G17</f>
        <v>9286.1112178855401</v>
      </c>
      <c r="H29" s="4">
        <f>H10*IncState!H17</f>
        <v>11527.266033535388</v>
      </c>
      <c r="I29" s="4">
        <f>I10*IncState!I17</f>
        <v>14308.616305892318</v>
      </c>
      <c r="J29" s="4">
        <f>J10*IncState!J17</f>
        <v>17760.187587331744</v>
      </c>
    </row>
    <row r="30" spans="1:12" x14ac:dyDescent="0.25">
      <c r="B30" s="4" t="s">
        <v>77</v>
      </c>
      <c r="C30" s="177">
        <f>34726+15167</f>
        <v>49893</v>
      </c>
      <c r="D30" s="9">
        <f>2380+38571+25328</f>
        <v>66279</v>
      </c>
      <c r="E30" s="42">
        <f>1059+46782+32659</f>
        <v>80500</v>
      </c>
      <c r="F30" s="4">
        <f>F11*IncState!F16</f>
        <v>90965</v>
      </c>
      <c r="G30" s="4">
        <f>G11*IncState!G16</f>
        <v>109158</v>
      </c>
      <c r="H30" s="4">
        <f>H11*IncState!H16</f>
        <v>136447.49999999997</v>
      </c>
      <c r="I30" s="4">
        <f>I11*IncState!I16</f>
        <v>170559.375</v>
      </c>
      <c r="J30" s="4">
        <f>J11*IncState!J16</f>
        <v>213199.21875</v>
      </c>
    </row>
    <row r="31" spans="1:12" s="11" customFormat="1" x14ac:dyDescent="0.25">
      <c r="B31" s="11" t="s">
        <v>78</v>
      </c>
      <c r="C31" s="11">
        <f t="shared" ref="C31:E31" si="5">SUM(C28:C30)</f>
        <v>55112</v>
      </c>
      <c r="D31" s="11">
        <f t="shared" si="5"/>
        <v>71004</v>
      </c>
      <c r="E31" s="24">
        <f t="shared" si="5"/>
        <v>87443</v>
      </c>
      <c r="F31" s="11">
        <f>SUM(F28:F30)</f>
        <v>98757.008007452314</v>
      </c>
      <c r="G31" s="11">
        <f t="shared" ref="G31:J31" si="6">SUM(G28:G30)</f>
        <v>118444.11121788554</v>
      </c>
      <c r="H31" s="11">
        <f t="shared" si="6"/>
        <v>147974.76603353536</v>
      </c>
      <c r="I31" s="11">
        <f t="shared" si="6"/>
        <v>184867.99130589233</v>
      </c>
      <c r="J31" s="11">
        <f t="shared" si="6"/>
        <v>230959.40633733175</v>
      </c>
    </row>
    <row r="32" spans="1:12" x14ac:dyDescent="0.25">
      <c r="B32" s="11"/>
      <c r="E32" s="26"/>
      <c r="I32" s="4"/>
      <c r="J32" s="4"/>
    </row>
    <row r="33" spans="1:12" x14ac:dyDescent="0.25">
      <c r="B33" s="4" t="s">
        <v>79</v>
      </c>
      <c r="C33" s="177">
        <f>7300+706846</f>
        <v>714146</v>
      </c>
      <c r="D33" s="9">
        <v>712327</v>
      </c>
      <c r="E33" s="42">
        <v>1206201</v>
      </c>
      <c r="F33" s="4">
        <f>Debt!F20</f>
        <v>1206201</v>
      </c>
      <c r="G33" s="4">
        <f>Debt!G20</f>
        <v>1206201</v>
      </c>
      <c r="H33" s="4">
        <f>Debt!H20</f>
        <v>1206201</v>
      </c>
      <c r="I33" s="4">
        <f>Debt!I20</f>
        <v>1206201</v>
      </c>
      <c r="J33" s="4">
        <f>Debt!J20</f>
        <v>1206201</v>
      </c>
    </row>
    <row r="34" spans="1:12" x14ac:dyDescent="0.25">
      <c r="B34" s="4" t="s">
        <v>80</v>
      </c>
      <c r="C34" s="177">
        <f>27052+4180+14561</f>
        <v>45793</v>
      </c>
      <c r="D34" s="9">
        <f>17807+30145+3721+187</f>
        <v>51860</v>
      </c>
      <c r="E34" s="42">
        <f>58169+38877+1085+57</f>
        <v>98188</v>
      </c>
      <c r="F34" s="4">
        <f>F12*IncState!F16</f>
        <v>110952.44</v>
      </c>
      <c r="G34" s="4">
        <f>G12*IncState!G16</f>
        <v>133142.92799999999</v>
      </c>
      <c r="H34" s="4">
        <f>H12*IncState!H16</f>
        <v>166428.65999999997</v>
      </c>
      <c r="I34" s="4">
        <f>I12*IncState!I16</f>
        <v>208035.82499999998</v>
      </c>
      <c r="J34" s="4">
        <f>J12*IncState!J16</f>
        <v>260044.78124999997</v>
      </c>
    </row>
    <row r="35" spans="1:12" x14ac:dyDescent="0.25">
      <c r="B35" s="11" t="s">
        <v>81</v>
      </c>
      <c r="C35" s="11">
        <f t="shared" ref="C35:E35" si="7">SUM(C33:C34)</f>
        <v>759939</v>
      </c>
      <c r="D35" s="11">
        <f t="shared" si="7"/>
        <v>764187</v>
      </c>
      <c r="E35" s="24">
        <f t="shared" si="7"/>
        <v>1304389</v>
      </c>
      <c r="F35" s="11">
        <f>SUM(F33:F34)</f>
        <v>1317153.44</v>
      </c>
      <c r="G35" s="11">
        <f t="shared" ref="G35:J35" si="8">SUM(G33:G34)</f>
        <v>1339343.9280000001</v>
      </c>
      <c r="H35" s="11">
        <f t="shared" si="8"/>
        <v>1372629.66</v>
      </c>
      <c r="I35" s="11">
        <f t="shared" si="8"/>
        <v>1414236.825</v>
      </c>
      <c r="J35" s="11">
        <f t="shared" si="8"/>
        <v>1466245.78125</v>
      </c>
      <c r="K35" s="11"/>
      <c r="L35" s="11"/>
    </row>
    <row r="36" spans="1:12" x14ac:dyDescent="0.25">
      <c r="E36" s="26"/>
      <c r="I36" s="4"/>
      <c r="J36" s="4"/>
    </row>
    <row r="37" spans="1:12" x14ac:dyDescent="0.25">
      <c r="B37" s="4" t="s">
        <v>17</v>
      </c>
      <c r="C37" s="179">
        <v>-390861</v>
      </c>
      <c r="D37" s="179">
        <v>-457366</v>
      </c>
      <c r="E37" s="207">
        <v>-675586</v>
      </c>
      <c r="F37" s="4">
        <f>Calcs!F17</f>
        <v>-564391.6803758</v>
      </c>
      <c r="G37" s="4">
        <f>Calcs!G17</f>
        <v>-427109.19119772001</v>
      </c>
      <c r="H37" s="4">
        <f>Calcs!H17</f>
        <v>-247041.32268882004</v>
      </c>
      <c r="I37" s="4">
        <f>Calcs!I17</f>
        <v>-10440.009507320094</v>
      </c>
      <c r="J37" s="4">
        <f>Calcs!J17</f>
        <v>300186.11952627369</v>
      </c>
    </row>
    <row r="38" spans="1:12" s="11" customFormat="1" x14ac:dyDescent="0.25">
      <c r="A38" s="11" t="s">
        <v>125</v>
      </c>
      <c r="B38" s="17" t="s">
        <v>82</v>
      </c>
      <c r="C38" s="18">
        <f>SUM(C37,C35,C31)</f>
        <v>424190</v>
      </c>
      <c r="D38" s="18">
        <f>SUM(D37,D35,D31)</f>
        <v>377825</v>
      </c>
      <c r="E38" s="18">
        <f t="shared" ref="E38:F38" si="9">SUM(E37,E35,E31)</f>
        <v>716246</v>
      </c>
      <c r="F38" s="18">
        <f t="shared" si="9"/>
        <v>851518.7676316523</v>
      </c>
      <c r="G38" s="18">
        <f t="shared" ref="G38:J38" si="10">SUM(G37,G35,G31)</f>
        <v>1030678.8480201656</v>
      </c>
      <c r="H38" s="18">
        <f t="shared" si="10"/>
        <v>1273563.1033447152</v>
      </c>
      <c r="I38" s="18">
        <f t="shared" si="10"/>
        <v>1588664.8067985722</v>
      </c>
      <c r="J38" s="18">
        <f t="shared" si="10"/>
        <v>1997391.3071136053</v>
      </c>
    </row>
    <row r="39" spans="1:12" x14ac:dyDescent="0.25">
      <c r="E39" s="26"/>
      <c r="I39" s="4"/>
      <c r="J39" s="4"/>
      <c r="K39" s="6"/>
      <c r="L39" s="6"/>
    </row>
    <row r="40" spans="1:12" x14ac:dyDescent="0.25">
      <c r="A40" s="4" t="s">
        <v>125</v>
      </c>
      <c r="B40" s="11" t="s">
        <v>83</v>
      </c>
      <c r="C40" s="43">
        <f>C38-C26</f>
        <v>0</v>
      </c>
      <c r="D40" s="43">
        <f t="shared" ref="D40:J40" si="11">D38-D26</f>
        <v>0</v>
      </c>
      <c r="E40" s="141">
        <f t="shared" si="11"/>
        <v>0</v>
      </c>
      <c r="F40" s="43">
        <f t="shared" si="11"/>
        <v>0</v>
      </c>
      <c r="G40" s="43">
        <f t="shared" ref="G40:J40" si="12">G38-G26</f>
        <v>0</v>
      </c>
      <c r="H40" s="43">
        <f t="shared" si="12"/>
        <v>0</v>
      </c>
      <c r="I40" s="43">
        <f t="shared" si="12"/>
        <v>0</v>
      </c>
      <c r="J40" s="43">
        <f t="shared" si="12"/>
        <v>0</v>
      </c>
      <c r="K40" s="43"/>
      <c r="L40" s="43"/>
    </row>
    <row r="41" spans="1:12" x14ac:dyDescent="0.25">
      <c r="I41" s="4"/>
      <c r="J41" s="4"/>
    </row>
    <row r="42" spans="1:12" x14ac:dyDescent="0.25">
      <c r="H42" s="6"/>
    </row>
    <row r="43" spans="1:12" x14ac:dyDescent="0.25">
      <c r="H43" s="6"/>
    </row>
    <row r="44" spans="1:12" x14ac:dyDescent="0.25">
      <c r="H44" s="6"/>
    </row>
    <row r="45" spans="1:12" x14ac:dyDescent="0.25">
      <c r="H45" s="6"/>
    </row>
    <row r="46" spans="1:12" x14ac:dyDescent="0.25">
      <c r="H46" s="6"/>
    </row>
    <row r="47" spans="1:12" x14ac:dyDescent="0.25">
      <c r="H47" s="6"/>
    </row>
    <row r="48" spans="1:12" x14ac:dyDescent="0.25">
      <c r="H48" s="6"/>
    </row>
    <row r="49" spans="8:8" x14ac:dyDescent="0.25">
      <c r="H49" s="6"/>
    </row>
    <row r="50" spans="8:8" x14ac:dyDescent="0.25">
      <c r="H50" s="6"/>
    </row>
    <row r="51" spans="8:8" x14ac:dyDescent="0.25">
      <c r="H51" s="6"/>
    </row>
    <row r="52" spans="8:8" x14ac:dyDescent="0.25">
      <c r="H52" s="6"/>
    </row>
    <row r="53" spans="8:8" x14ac:dyDescent="0.25">
      <c r="H53" s="6"/>
    </row>
  </sheetData>
  <conditionalFormatting sqref="F4:L13">
    <cfRule type="expression" dxfId="0" priority="36">
      <formula>$E$12&gt;1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autoPageBreaks="0" fitToPage="1"/>
  </sheetPr>
  <dimension ref="A1:L23"/>
  <sheetViews>
    <sheetView showGridLines="0" zoomScaleNormal="100" workbookViewId="0">
      <selection activeCell="F23" sqref="F4:J23"/>
    </sheetView>
  </sheetViews>
  <sheetFormatPr defaultColWidth="8.85546875" defaultRowHeight="15" x14ac:dyDescent="0.25"/>
  <cols>
    <col min="1" max="1" width="1.7109375" style="4" customWidth="1"/>
    <col min="2" max="2" width="40.7109375" style="4" customWidth="1"/>
    <col min="3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44" t="str">
        <f>CoName</f>
        <v>Wingstop Inc</v>
      </c>
      <c r="B1" s="3"/>
      <c r="C1" s="38" t="s">
        <v>0</v>
      </c>
      <c r="D1" s="38" t="s">
        <v>0</v>
      </c>
      <c r="E1" s="38" t="s">
        <v>0</v>
      </c>
      <c r="F1" s="38" t="s">
        <v>1</v>
      </c>
      <c r="G1" s="38" t="s">
        <v>1</v>
      </c>
      <c r="H1" s="38" t="s">
        <v>1</v>
      </c>
      <c r="I1" s="38" t="s">
        <v>1</v>
      </c>
      <c r="J1" s="38" t="s">
        <v>1</v>
      </c>
      <c r="K1" s="38"/>
      <c r="L1" s="38"/>
    </row>
    <row r="2" spans="1:12" s="2" customFormat="1" x14ac:dyDescent="0.25">
      <c r="A2" s="168" t="s">
        <v>84</v>
      </c>
      <c r="B2" s="169"/>
      <c r="C2" s="174">
        <v>2022</v>
      </c>
      <c r="D2" s="174">
        <f>C2+1</f>
        <v>2023</v>
      </c>
      <c r="E2" s="174">
        <f t="shared" ref="E2:J2" si="0">D2+1</f>
        <v>2024</v>
      </c>
      <c r="F2" s="174">
        <f t="shared" si="0"/>
        <v>2025</v>
      </c>
      <c r="G2" s="174">
        <f t="shared" si="0"/>
        <v>2026</v>
      </c>
      <c r="H2" s="174">
        <f t="shared" si="0"/>
        <v>2027</v>
      </c>
      <c r="I2" s="174">
        <f t="shared" si="0"/>
        <v>2028</v>
      </c>
      <c r="J2" s="174">
        <f t="shared" si="0"/>
        <v>2029</v>
      </c>
      <c r="K2" s="196"/>
      <c r="L2" s="196"/>
    </row>
    <row r="3" spans="1:12" x14ac:dyDescent="0.25">
      <c r="B3" s="4" t="s">
        <v>157</v>
      </c>
      <c r="F3" s="4">
        <f>IncState!F34</f>
        <v>147369.5696242</v>
      </c>
      <c r="G3" s="4">
        <f>IncState!G34</f>
        <v>180763.98917808002</v>
      </c>
      <c r="H3" s="4">
        <f>IncState!H34</f>
        <v>230855.61850889996</v>
      </c>
      <c r="I3" s="4">
        <f>IncState!I34</f>
        <v>294695.31318149995</v>
      </c>
      <c r="J3" s="4">
        <f>IncState!J34</f>
        <v>376026.37903359375</v>
      </c>
    </row>
    <row r="4" spans="1:12" x14ac:dyDescent="0.25">
      <c r="B4" s="4" t="s">
        <v>15</v>
      </c>
      <c r="F4" s="4">
        <f>IncState!F21</f>
        <v>22238.947401797363</v>
      </c>
      <c r="G4" s="4">
        <f>IncState!G21</f>
        <v>28673.137433314332</v>
      </c>
      <c r="H4" s="4">
        <f>IncState!H21</f>
        <v>36043.43577532679</v>
      </c>
      <c r="I4" s="4">
        <f>IncState!I21</f>
        <v>45220.640014065015</v>
      </c>
      <c r="J4" s="4">
        <f>IncState!J21</f>
        <v>56662.774481590859</v>
      </c>
    </row>
    <row r="5" spans="1:12" x14ac:dyDescent="0.25">
      <c r="B5" s="4" t="s">
        <v>54</v>
      </c>
      <c r="F5" s="4">
        <f>IncState!F22</f>
        <v>0</v>
      </c>
      <c r="G5" s="4">
        <f>IncState!G22</f>
        <v>0</v>
      </c>
      <c r="H5" s="4">
        <f>IncState!H22</f>
        <v>0</v>
      </c>
      <c r="I5" s="4">
        <f>IncState!I22</f>
        <v>0</v>
      </c>
      <c r="J5" s="4">
        <f>IncState!J22</f>
        <v>0</v>
      </c>
    </row>
    <row r="6" spans="1:12" x14ac:dyDescent="0.25">
      <c r="B6" s="4" t="s">
        <v>90</v>
      </c>
      <c r="F6" s="4">
        <f>Calcs!F25</f>
        <v>-675.13019254767278</v>
      </c>
      <c r="G6" s="4">
        <f>Calcs!G25</f>
        <v>-1155.552429566771</v>
      </c>
      <c r="H6" s="4">
        <f>Calcs!H25</f>
        <v>-1733.3286443501711</v>
      </c>
      <c r="I6" s="4">
        <f>Calcs!I25</f>
        <v>-2186.754052643053</v>
      </c>
      <c r="J6" s="4">
        <f>Calcs!J25</f>
        <v>-2758.5591248105338</v>
      </c>
    </row>
    <row r="7" spans="1:12" x14ac:dyDescent="0.25">
      <c r="B7" s="4" t="s">
        <v>187</v>
      </c>
      <c r="F7" s="4">
        <f>BalSheet!E23-BalSheet!F23</f>
        <v>-11343.409999999989</v>
      </c>
      <c r="G7" s="4">
        <f>BalSheet!F23-BalSheet!G23</f>
        <v>-19720.082000000009</v>
      </c>
      <c r="H7" s="4">
        <f>BalSheet!G23-BalSheet!H23</f>
        <v>-29580.122999999963</v>
      </c>
      <c r="I7" s="4">
        <f>BalSheet!H23-BalSheet!I23</f>
        <v>-36975.153750000027</v>
      </c>
      <c r="J7" s="4">
        <f>BalSheet!I23-BalSheet!J23</f>
        <v>-46218.942187499983</v>
      </c>
    </row>
    <row r="8" spans="1:12" x14ac:dyDescent="0.25">
      <c r="B8" s="4" t="s">
        <v>188</v>
      </c>
      <c r="F8" s="4">
        <f>BalSheet!F34-BalSheet!E34</f>
        <v>12764.440000000002</v>
      </c>
      <c r="G8" s="4">
        <f>BalSheet!G34-BalSheet!F34</f>
        <v>22190.487999999983</v>
      </c>
      <c r="H8" s="4">
        <f>BalSheet!H34-BalSheet!G34</f>
        <v>33285.731999999989</v>
      </c>
      <c r="I8" s="4">
        <f>BalSheet!I34-BalSheet!H34</f>
        <v>41607.165000000008</v>
      </c>
      <c r="J8" s="4">
        <f>BalSheet!J34-BalSheet!I34</f>
        <v>52008.956249999988</v>
      </c>
    </row>
    <row r="9" spans="1:12" s="11" customFormat="1" x14ac:dyDescent="0.25">
      <c r="B9" s="11" t="s">
        <v>189</v>
      </c>
      <c r="F9" s="11">
        <f>SUM(F3:F8)</f>
        <v>170354.41683344974</v>
      </c>
      <c r="G9" s="11">
        <f t="shared" ref="G9:J9" si="1">SUM(G3:G8)</f>
        <v>210751.98018182753</v>
      </c>
      <c r="H9" s="11">
        <f t="shared" si="1"/>
        <v>268871.33463987662</v>
      </c>
      <c r="I9" s="11">
        <f t="shared" si="1"/>
        <v>342361.21039292193</v>
      </c>
      <c r="J9" s="11">
        <f t="shared" si="1"/>
        <v>435720.60845287406</v>
      </c>
    </row>
    <row r="10" spans="1:12" x14ac:dyDescent="0.25">
      <c r="I10" s="4"/>
      <c r="J10" s="4"/>
    </row>
    <row r="11" spans="1:12" x14ac:dyDescent="0.25">
      <c r="B11" s="4" t="s">
        <v>14</v>
      </c>
      <c r="F11" s="4">
        <f>-Calcs!F7</f>
        <v>-58679.77</v>
      </c>
      <c r="G11" s="4">
        <f>-Calcs!G7</f>
        <v>-70415.724000000002</v>
      </c>
      <c r="H11" s="4">
        <f>-Calcs!H7</f>
        <v>-88019.654999999984</v>
      </c>
      <c r="I11" s="4">
        <f>-Calcs!I7</f>
        <v>-110024.56874999999</v>
      </c>
      <c r="J11" s="4">
        <f>-Calcs!J7</f>
        <v>-137530.7109375</v>
      </c>
    </row>
    <row r="12" spans="1:12" s="11" customFormat="1" x14ac:dyDescent="0.25">
      <c r="B12" s="11" t="s">
        <v>190</v>
      </c>
      <c r="F12" s="11">
        <f>SUM(F11)</f>
        <v>-58679.77</v>
      </c>
      <c r="G12" s="11">
        <f t="shared" ref="G12:J12" si="2">SUM(G11)</f>
        <v>-70415.724000000002</v>
      </c>
      <c r="H12" s="11">
        <f t="shared" si="2"/>
        <v>-88019.654999999984</v>
      </c>
      <c r="I12" s="11">
        <f t="shared" si="2"/>
        <v>-110024.56874999999</v>
      </c>
      <c r="J12" s="11">
        <f t="shared" si="2"/>
        <v>-137530.7109375</v>
      </c>
    </row>
    <row r="13" spans="1:12" x14ac:dyDescent="0.25">
      <c r="I13" s="4"/>
      <c r="J13" s="4"/>
    </row>
    <row r="14" spans="1:12" x14ac:dyDescent="0.25">
      <c r="B14" s="4" t="s">
        <v>191</v>
      </c>
      <c r="F14" s="4">
        <f>-IncState!F36</f>
        <v>-36175.25</v>
      </c>
      <c r="G14" s="4">
        <f>-IncState!G36</f>
        <v>-43481.5</v>
      </c>
      <c r="H14" s="4">
        <f>-IncState!H36</f>
        <v>-50787.75</v>
      </c>
      <c r="I14" s="4">
        <f>-IncState!I36</f>
        <v>-58094</v>
      </c>
      <c r="J14" s="4">
        <f>-IncState!J36</f>
        <v>-65400.25</v>
      </c>
    </row>
    <row r="15" spans="1:12" x14ac:dyDescent="0.25">
      <c r="B15" s="4" t="s">
        <v>144</v>
      </c>
      <c r="F15" s="4">
        <f>Calcs!F11</f>
        <v>0</v>
      </c>
      <c r="G15" s="4">
        <f>Calcs!G11</f>
        <v>0</v>
      </c>
      <c r="H15" s="4">
        <f>Calcs!H11</f>
        <v>0</v>
      </c>
      <c r="I15" s="4">
        <f>Calcs!I11</f>
        <v>0</v>
      </c>
      <c r="J15" s="4">
        <f>Calcs!J11</f>
        <v>0</v>
      </c>
    </row>
    <row r="16" spans="1:12" x14ac:dyDescent="0.25">
      <c r="B16" s="4" t="s">
        <v>192</v>
      </c>
      <c r="F16" s="4">
        <f>SUM(Debt!F8:F9)</f>
        <v>0</v>
      </c>
      <c r="G16" s="4">
        <f>SUM(Debt!G8:G9)</f>
        <v>0</v>
      </c>
      <c r="H16" s="4">
        <f>SUM(Debt!H8:H9)</f>
        <v>0</v>
      </c>
      <c r="I16" s="4">
        <f>SUM(Debt!I8:I9)</f>
        <v>0</v>
      </c>
      <c r="J16" s="4">
        <f>SUM(Debt!J8:J9)</f>
        <v>0</v>
      </c>
    </row>
    <row r="17" spans="2:10" s="11" customFormat="1" x14ac:dyDescent="0.25">
      <c r="B17" s="11" t="s">
        <v>193</v>
      </c>
      <c r="F17" s="11">
        <f>SUM(F14:F16)</f>
        <v>-36175.25</v>
      </c>
      <c r="G17" s="11">
        <f t="shared" ref="G17:J17" si="3">SUM(G14:G16)</f>
        <v>-43481.5</v>
      </c>
      <c r="H17" s="11">
        <f t="shared" si="3"/>
        <v>-50787.75</v>
      </c>
      <c r="I17" s="11">
        <f t="shared" si="3"/>
        <v>-58094</v>
      </c>
      <c r="J17" s="11">
        <f t="shared" si="3"/>
        <v>-65400.25</v>
      </c>
    </row>
    <row r="18" spans="2:10" x14ac:dyDescent="0.25">
      <c r="I18" s="4"/>
      <c r="J18" s="4"/>
    </row>
    <row r="19" spans="2:10" x14ac:dyDescent="0.25">
      <c r="B19" s="4" t="s">
        <v>194</v>
      </c>
      <c r="F19" s="4">
        <f>SUM(F17,F12,F9)</f>
        <v>75499.396833449748</v>
      </c>
      <c r="G19" s="4">
        <f t="shared" ref="G19:J19" si="4">SUM(G17,G12,G9)</f>
        <v>96854.756181827528</v>
      </c>
      <c r="H19" s="4">
        <f t="shared" si="4"/>
        <v>130063.92963987665</v>
      </c>
      <c r="I19" s="4">
        <f t="shared" si="4"/>
        <v>174242.64164292195</v>
      </c>
      <c r="J19" s="4">
        <f t="shared" si="4"/>
        <v>232789.64751537406</v>
      </c>
    </row>
    <row r="20" spans="2:10" x14ac:dyDescent="0.25">
      <c r="I20" s="4"/>
      <c r="J20" s="4"/>
    </row>
    <row r="21" spans="2:10" x14ac:dyDescent="0.25">
      <c r="B21" s="4" t="s">
        <v>195</v>
      </c>
      <c r="F21" s="4">
        <f>BalSheet!E16</f>
        <v>303393.86</v>
      </c>
      <c r="G21" s="4">
        <f>BalSheet!F16</f>
        <v>378893.2568334497</v>
      </c>
      <c r="H21" s="4">
        <f>BalSheet!G16</f>
        <v>475748.01301527722</v>
      </c>
      <c r="I21" s="4">
        <f>BalSheet!H16</f>
        <v>605811.94265515381</v>
      </c>
      <c r="J21" s="4">
        <f>BalSheet!I16</f>
        <v>780054.58429807576</v>
      </c>
    </row>
    <row r="22" spans="2:10" x14ac:dyDescent="0.25">
      <c r="B22" s="4" t="str">
        <f>B19</f>
        <v>Net changes in cash</v>
      </c>
      <c r="F22" s="4">
        <f>F19</f>
        <v>75499.396833449748</v>
      </c>
      <c r="G22" s="4">
        <f t="shared" ref="G22:J22" si="5">G19</f>
        <v>96854.756181827528</v>
      </c>
      <c r="H22" s="4">
        <f t="shared" si="5"/>
        <v>130063.92963987665</v>
      </c>
      <c r="I22" s="4">
        <f t="shared" si="5"/>
        <v>174242.64164292195</v>
      </c>
      <c r="J22" s="4">
        <f t="shared" si="5"/>
        <v>232789.64751537406</v>
      </c>
    </row>
    <row r="23" spans="2:10" x14ac:dyDescent="0.25">
      <c r="B23" s="4" t="s">
        <v>196</v>
      </c>
      <c r="F23" s="4">
        <f>SUM(F21:F22)</f>
        <v>378893.2568334497</v>
      </c>
      <c r="G23" s="4">
        <f t="shared" ref="G23:J23" si="6">SUM(G21:G22)</f>
        <v>475748.01301527722</v>
      </c>
      <c r="H23" s="4">
        <f t="shared" si="6"/>
        <v>605811.94265515381</v>
      </c>
      <c r="I23" s="4">
        <f t="shared" si="6"/>
        <v>780054.58429807576</v>
      </c>
      <c r="J23" s="4">
        <f t="shared" si="6"/>
        <v>1012844.2318134499</v>
      </c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>
    <pageSetUpPr autoPageBreaks="0" fitToPage="1"/>
  </sheetPr>
  <dimension ref="A1:L30"/>
  <sheetViews>
    <sheetView showGridLines="0" zoomScaleNormal="100" workbookViewId="0">
      <selection activeCell="F15" sqref="F3:J15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44" t="str">
        <f>CoName</f>
        <v>Wingstop Inc</v>
      </c>
      <c r="B1" s="3"/>
      <c r="C1" s="38" t="s">
        <v>0</v>
      </c>
      <c r="D1" s="38" t="s">
        <v>0</v>
      </c>
      <c r="E1" s="38" t="s">
        <v>0</v>
      </c>
      <c r="F1" s="38" t="s">
        <v>1</v>
      </c>
      <c r="G1" s="38" t="s">
        <v>1</v>
      </c>
      <c r="H1" s="38" t="s">
        <v>1</v>
      </c>
      <c r="I1" s="38" t="s">
        <v>1</v>
      </c>
      <c r="J1" s="38" t="s">
        <v>1</v>
      </c>
      <c r="K1" s="38"/>
      <c r="L1" s="38"/>
    </row>
    <row r="2" spans="1:12" s="2" customFormat="1" ht="16.350000000000001" customHeight="1" x14ac:dyDescent="0.25">
      <c r="A2" s="168" t="s">
        <v>87</v>
      </c>
      <c r="B2" s="169"/>
      <c r="C2" s="174">
        <v>2022</v>
      </c>
      <c r="D2" s="174">
        <f>C2+1</f>
        <v>2023</v>
      </c>
      <c r="E2" s="174">
        <f t="shared" ref="E2:J2" si="0">D2+1</f>
        <v>2024</v>
      </c>
      <c r="F2" s="174">
        <f t="shared" si="0"/>
        <v>2025</v>
      </c>
      <c r="G2" s="174">
        <f t="shared" si="0"/>
        <v>2026</v>
      </c>
      <c r="H2" s="174">
        <f t="shared" si="0"/>
        <v>2027</v>
      </c>
      <c r="I2" s="174">
        <f t="shared" si="0"/>
        <v>2028</v>
      </c>
      <c r="J2" s="174">
        <f t="shared" si="0"/>
        <v>2029</v>
      </c>
      <c r="K2" s="196"/>
      <c r="L2" s="196"/>
    </row>
    <row r="3" spans="1:12" x14ac:dyDescent="0.25">
      <c r="A3" s="11" t="s">
        <v>125</v>
      </c>
      <c r="B3" s="4" t="s">
        <v>88</v>
      </c>
      <c r="D3" s="226"/>
      <c r="E3" s="23"/>
      <c r="F3" s="227">
        <f>IncState!F16</f>
        <v>707161.90999999992</v>
      </c>
      <c r="G3" s="227">
        <f>IncState!G16</f>
        <v>848594.2919999999</v>
      </c>
      <c r="H3" s="227">
        <f>IncState!H16</f>
        <v>1060742.8649999998</v>
      </c>
      <c r="I3" s="227">
        <f>IncState!I16</f>
        <v>1325928.5812499998</v>
      </c>
      <c r="J3" s="227">
        <f>IncState!J16</f>
        <v>1657410.7265624998</v>
      </c>
      <c r="K3" s="204"/>
      <c r="L3" s="204"/>
    </row>
    <row r="4" spans="1:12" x14ac:dyDescent="0.25">
      <c r="B4" s="4" t="s">
        <v>55</v>
      </c>
      <c r="E4" s="26"/>
      <c r="F4" s="4">
        <f>IncState!F19</f>
        <v>191389.05145999999</v>
      </c>
      <c r="G4" s="4">
        <f>IncState!G19</f>
        <v>234758.42750400002</v>
      </c>
      <c r="H4" s="4">
        <f>IncState!H19</f>
        <v>299812.49156999995</v>
      </c>
      <c r="I4" s="4">
        <f>IncState!I19</f>
        <v>382721.18594999996</v>
      </c>
      <c r="J4" s="4">
        <f>IncState!J19</f>
        <v>488345.94679687498</v>
      </c>
    </row>
    <row r="5" spans="1:12" x14ac:dyDescent="0.25">
      <c r="B5" s="29" t="s">
        <v>93</v>
      </c>
      <c r="C5" s="29"/>
      <c r="D5" s="29"/>
      <c r="E5" s="36"/>
      <c r="F5" s="40">
        <f>Assumptions!F16</f>
        <v>0.23</v>
      </c>
      <c r="G5" s="40">
        <f>Assumptions!G16</f>
        <v>0.23</v>
      </c>
      <c r="H5" s="40">
        <f>Assumptions!H16</f>
        <v>0.23</v>
      </c>
      <c r="I5" s="40">
        <f>Assumptions!I16</f>
        <v>0.23</v>
      </c>
      <c r="J5" s="40">
        <f>Assumptions!J16</f>
        <v>0.23</v>
      </c>
      <c r="K5" s="40"/>
      <c r="L5" s="40"/>
    </row>
    <row r="6" spans="1:12" x14ac:dyDescent="0.25">
      <c r="C6" s="5"/>
      <c r="D6" s="5"/>
      <c r="E6" s="23"/>
      <c r="F6" s="5"/>
      <c r="G6" s="5"/>
      <c r="H6" s="5"/>
      <c r="I6" s="5"/>
      <c r="J6" s="5"/>
      <c r="K6" s="161"/>
      <c r="L6" s="161"/>
    </row>
    <row r="7" spans="1:12" x14ac:dyDescent="0.25">
      <c r="A7" s="24" t="s">
        <v>125</v>
      </c>
      <c r="B7" s="21" t="s">
        <v>89</v>
      </c>
      <c r="C7" s="113"/>
      <c r="D7" s="113"/>
      <c r="E7" s="113"/>
      <c r="F7" s="123">
        <f t="shared" ref="F7:J8" si="1">F4*(1-F5)</f>
        <v>147369.5696242</v>
      </c>
      <c r="G7" s="123">
        <f t="shared" ref="G7:J7" si="2">G4*(1-G5)</f>
        <v>180763.98917808002</v>
      </c>
      <c r="H7" s="123">
        <f t="shared" si="2"/>
        <v>230855.61850889996</v>
      </c>
      <c r="I7" s="123">
        <f t="shared" si="2"/>
        <v>294695.31318149995</v>
      </c>
      <c r="J7" s="123">
        <f t="shared" si="2"/>
        <v>376026.37903359375</v>
      </c>
      <c r="K7" s="204"/>
      <c r="L7" s="204"/>
    </row>
    <row r="8" spans="1:12" x14ac:dyDescent="0.25">
      <c r="B8" s="4" t="s">
        <v>15</v>
      </c>
      <c r="C8" s="113"/>
      <c r="D8" s="113"/>
      <c r="E8" s="114"/>
      <c r="F8" s="124">
        <f>CashFlow!F4</f>
        <v>22238.947401797363</v>
      </c>
      <c r="G8" s="124">
        <f>CashFlow!G4</f>
        <v>28673.137433314332</v>
      </c>
      <c r="H8" s="124">
        <f>CashFlow!H4</f>
        <v>36043.43577532679</v>
      </c>
      <c r="I8" s="124">
        <f>CashFlow!I4</f>
        <v>45220.640014065015</v>
      </c>
      <c r="J8" s="124">
        <f>CashFlow!J4</f>
        <v>56662.774481590859</v>
      </c>
      <c r="K8" s="203"/>
      <c r="L8" s="203"/>
    </row>
    <row r="9" spans="1:12" x14ac:dyDescent="0.25">
      <c r="B9" s="4" t="s">
        <v>54</v>
      </c>
      <c r="C9" s="5"/>
      <c r="D9" s="5"/>
      <c r="E9" s="23"/>
      <c r="F9" s="125">
        <f>CashFlow!F5</f>
        <v>0</v>
      </c>
      <c r="G9" s="125">
        <f>CashFlow!G5</f>
        <v>0</v>
      </c>
      <c r="H9" s="125">
        <f>CashFlow!H5</f>
        <v>0</v>
      </c>
      <c r="I9" s="125">
        <f>CashFlow!I5</f>
        <v>0</v>
      </c>
      <c r="J9" s="125">
        <f>CashFlow!J5</f>
        <v>0</v>
      </c>
      <c r="K9" s="203"/>
      <c r="L9" s="203"/>
    </row>
    <row r="10" spans="1:12" x14ac:dyDescent="0.25">
      <c r="B10" s="4" t="s">
        <v>90</v>
      </c>
      <c r="C10" s="5"/>
      <c r="D10" s="5"/>
      <c r="E10" s="23"/>
      <c r="F10" s="125">
        <f>CashFlow!F6</f>
        <v>-675.13019254767278</v>
      </c>
      <c r="G10" s="125">
        <f>CashFlow!G6</f>
        <v>-1155.552429566771</v>
      </c>
      <c r="H10" s="125">
        <f>CashFlow!H6</f>
        <v>-1733.3286443501711</v>
      </c>
      <c r="I10" s="125">
        <f>CashFlow!I6</f>
        <v>-2186.754052643053</v>
      </c>
      <c r="J10" s="125">
        <f>CashFlow!J6</f>
        <v>-2758.5591248105338</v>
      </c>
      <c r="K10" s="203"/>
      <c r="L10" s="203"/>
    </row>
    <row r="11" spans="1:12" x14ac:dyDescent="0.25">
      <c r="B11" s="4" t="s">
        <v>164</v>
      </c>
      <c r="C11" s="5"/>
      <c r="D11" s="5"/>
      <c r="E11" s="23"/>
      <c r="F11" s="125">
        <f>CashFlow!F7</f>
        <v>-11343.409999999989</v>
      </c>
      <c r="G11" s="125">
        <f>CashFlow!G7</f>
        <v>-19720.082000000009</v>
      </c>
      <c r="H11" s="125">
        <f>CashFlow!H7</f>
        <v>-29580.122999999963</v>
      </c>
      <c r="I11" s="125">
        <f>CashFlow!I7</f>
        <v>-36975.153750000027</v>
      </c>
      <c r="J11" s="125">
        <f>CashFlow!J7</f>
        <v>-46218.942187499983</v>
      </c>
      <c r="K11" s="203"/>
      <c r="L11" s="203"/>
    </row>
    <row r="12" spans="1:12" x14ac:dyDescent="0.25">
      <c r="B12" s="4" t="s">
        <v>165</v>
      </c>
      <c r="E12" s="26"/>
      <c r="F12" s="125">
        <f>CashFlow!F8</f>
        <v>12764.440000000002</v>
      </c>
      <c r="G12" s="125">
        <f>CashFlow!G8</f>
        <v>22190.487999999983</v>
      </c>
      <c r="H12" s="125">
        <f>CashFlow!H8</f>
        <v>33285.731999999989</v>
      </c>
      <c r="I12" s="125">
        <f>CashFlow!I8</f>
        <v>41607.165000000008</v>
      </c>
      <c r="J12" s="125">
        <f>CashFlow!J8</f>
        <v>52008.956249999988</v>
      </c>
      <c r="K12" s="203"/>
      <c r="L12" s="203"/>
    </row>
    <row r="13" spans="1:12" x14ac:dyDescent="0.25">
      <c r="B13" s="4" t="s">
        <v>91</v>
      </c>
      <c r="E13" s="26"/>
      <c r="F13" s="122">
        <f>CashFlow!F12</f>
        <v>-58679.77</v>
      </c>
      <c r="G13" s="122">
        <f>CashFlow!G12</f>
        <v>-70415.724000000002</v>
      </c>
      <c r="H13" s="122">
        <f>CashFlow!H12</f>
        <v>-88019.654999999984</v>
      </c>
      <c r="I13" s="122">
        <f>CashFlow!I12</f>
        <v>-110024.56874999999</v>
      </c>
      <c r="J13" s="122">
        <f>CashFlow!J12</f>
        <v>-137530.7109375</v>
      </c>
      <c r="K13" s="122"/>
      <c r="L13" s="122"/>
    </row>
    <row r="14" spans="1:12" x14ac:dyDescent="0.25">
      <c r="E14" s="59"/>
      <c r="F14" s="126"/>
      <c r="G14" s="126"/>
      <c r="H14" s="126"/>
      <c r="I14" s="126"/>
      <c r="J14" s="126"/>
      <c r="K14" s="126"/>
      <c r="L14" s="126"/>
    </row>
    <row r="15" spans="1:12" s="11" customFormat="1" x14ac:dyDescent="0.25">
      <c r="A15" s="24" t="s">
        <v>125</v>
      </c>
      <c r="B15" s="33" t="s">
        <v>92</v>
      </c>
      <c r="C15" s="33"/>
      <c r="D15" s="33"/>
      <c r="E15" s="33"/>
      <c r="F15" s="33">
        <f>SUM(F7:F13)</f>
        <v>111674.64683344975</v>
      </c>
      <c r="G15" s="33">
        <f t="shared" ref="G15:J15" si="3">SUM(G7:G13)</f>
        <v>140336.25618182751</v>
      </c>
      <c r="H15" s="33">
        <f t="shared" si="3"/>
        <v>180851.67963987665</v>
      </c>
      <c r="I15" s="33">
        <f t="shared" si="3"/>
        <v>232336.64164292195</v>
      </c>
      <c r="J15" s="33">
        <f t="shared" si="3"/>
        <v>298189.89751537406</v>
      </c>
    </row>
    <row r="16" spans="1:12" x14ac:dyDescent="0.25">
      <c r="B16" s="62"/>
      <c r="C16" s="62"/>
      <c r="D16" s="62"/>
      <c r="E16" s="62"/>
      <c r="F16" s="62"/>
      <c r="G16" s="62"/>
      <c r="H16" s="62"/>
      <c r="I16" s="80"/>
      <c r="J16" s="80"/>
    </row>
    <row r="17" spans="3:8" x14ac:dyDescent="0.25">
      <c r="C17" s="5"/>
      <c r="D17" s="5"/>
      <c r="E17" s="5"/>
      <c r="F17" s="5"/>
      <c r="G17" s="5"/>
      <c r="H17" s="5"/>
    </row>
    <row r="20" spans="3:8" x14ac:dyDescent="0.25">
      <c r="C20" s="5"/>
      <c r="D20" s="5"/>
      <c r="E20" s="5"/>
      <c r="F20" s="5"/>
      <c r="G20" s="5"/>
      <c r="H20" s="5"/>
    </row>
    <row r="28" spans="3:8" x14ac:dyDescent="0.25">
      <c r="C28" s="5"/>
      <c r="D28" s="5"/>
      <c r="E28" s="5"/>
      <c r="F28" s="5"/>
      <c r="G28" s="5"/>
      <c r="H28" s="5"/>
    </row>
    <row r="29" spans="3:8" x14ac:dyDescent="0.25">
      <c r="C29" s="5"/>
      <c r="D29" s="5"/>
      <c r="E29" s="5"/>
      <c r="F29" s="5"/>
      <c r="G29" s="5"/>
      <c r="H29" s="5"/>
    </row>
    <row r="30" spans="3:8" x14ac:dyDescent="0.25">
      <c r="C30" s="5"/>
      <c r="D30" s="5"/>
      <c r="E30" s="5"/>
      <c r="F30" s="5"/>
      <c r="G30" s="5"/>
      <c r="H30" s="5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0C759-7EE8-4F94-A92F-62A3DBDD70DA}">
  <sheetPr codeName="Sheet13"/>
  <dimension ref="A1:M15"/>
  <sheetViews>
    <sheetView showGridLines="0" zoomScaleNormal="100" workbookViewId="0">
      <selection activeCell="E6" sqref="E6"/>
    </sheetView>
  </sheetViews>
  <sheetFormatPr defaultColWidth="9" defaultRowHeight="15" x14ac:dyDescent="0.25"/>
  <cols>
    <col min="1" max="1" width="2.7109375" style="4" customWidth="1"/>
    <col min="2" max="3" width="9" style="4"/>
    <col min="4" max="4" width="11" style="4" customWidth="1"/>
    <col min="5" max="5" width="8.28515625" style="4" customWidth="1"/>
    <col min="6" max="7" width="9" style="4"/>
    <col min="8" max="8" width="12.28515625" style="4" customWidth="1"/>
    <col min="9" max="9" width="10.140625" style="4" customWidth="1"/>
    <col min="10" max="10" width="14.28515625" style="4" bestFit="1" customWidth="1"/>
    <col min="11" max="11" width="11.42578125" style="4" customWidth="1"/>
    <col min="12" max="12" width="13.140625" style="4" customWidth="1"/>
    <col min="13" max="13" width="15" style="4" bestFit="1" customWidth="1"/>
    <col min="14" max="16384" width="9" style="4"/>
  </cols>
  <sheetData>
    <row r="1" spans="1:13" ht="19.5" x14ac:dyDescent="0.3">
      <c r="A1" s="244" t="str">
        <f>CoName</f>
        <v>Wingstop Inc</v>
      </c>
    </row>
    <row r="2" spans="1:13" x14ac:dyDescent="0.25">
      <c r="G2" s="136"/>
    </row>
    <row r="3" spans="1:13" x14ac:dyDescent="0.25">
      <c r="A3" s="26" t="s">
        <v>125</v>
      </c>
      <c r="B3" s="151" t="s">
        <v>101</v>
      </c>
      <c r="C3" s="152"/>
      <c r="D3" s="152"/>
      <c r="E3" s="153"/>
      <c r="F3" s="11"/>
      <c r="G3" s="73" t="s">
        <v>109</v>
      </c>
      <c r="H3" s="73" t="s">
        <v>104</v>
      </c>
      <c r="I3" s="73" t="s">
        <v>105</v>
      </c>
      <c r="J3" s="73" t="s">
        <v>106</v>
      </c>
      <c r="K3" s="73" t="s">
        <v>107</v>
      </c>
      <c r="L3" s="73" t="s">
        <v>112</v>
      </c>
      <c r="M3" s="73" t="s">
        <v>108</v>
      </c>
    </row>
    <row r="4" spans="1:13" x14ac:dyDescent="0.25">
      <c r="A4" s="26"/>
      <c r="B4" s="247" t="s">
        <v>166</v>
      </c>
      <c r="C4" s="63"/>
      <c r="D4" s="68"/>
      <c r="E4" s="248">
        <v>0.21</v>
      </c>
      <c r="G4" s="128"/>
      <c r="H4" s="129"/>
      <c r="I4" s="76"/>
      <c r="J4" s="77"/>
      <c r="K4" s="131"/>
      <c r="L4" s="142">
        <f>E4</f>
        <v>0.21</v>
      </c>
      <c r="M4" s="132">
        <f>H4/((1+K4*(1-L4)))</f>
        <v>0</v>
      </c>
    </row>
    <row r="5" spans="1:13" x14ac:dyDescent="0.25">
      <c r="A5" s="26"/>
      <c r="B5" s="63" t="s">
        <v>94</v>
      </c>
      <c r="C5" s="63"/>
      <c r="D5" s="68"/>
      <c r="E5" s="127">
        <v>0.04</v>
      </c>
      <c r="G5" s="128"/>
      <c r="H5" s="129"/>
      <c r="I5" s="76"/>
      <c r="J5" s="77"/>
      <c r="K5" s="131"/>
      <c r="L5" s="142">
        <f>L4</f>
        <v>0.21</v>
      </c>
      <c r="M5" s="132">
        <f t="shared" ref="M5:M7" si="0">H5/((1+K5*(1-L5)))</f>
        <v>0</v>
      </c>
    </row>
    <row r="6" spans="1:13" x14ac:dyDescent="0.25">
      <c r="A6" s="26"/>
      <c r="B6" s="63" t="s">
        <v>95</v>
      </c>
      <c r="C6" s="63"/>
      <c r="D6" s="68"/>
      <c r="E6" s="127">
        <v>0.05</v>
      </c>
      <c r="G6" s="128"/>
      <c r="H6" s="130"/>
      <c r="I6" s="78"/>
      <c r="J6" s="77"/>
      <c r="K6" s="131"/>
      <c r="L6" s="142">
        <f t="shared" ref="L6:L7" si="1">L5</f>
        <v>0.21</v>
      </c>
      <c r="M6" s="132">
        <f t="shared" si="0"/>
        <v>0</v>
      </c>
    </row>
    <row r="7" spans="1:13" x14ac:dyDescent="0.25">
      <c r="A7" s="26"/>
      <c r="B7" s="63" t="s">
        <v>96</v>
      </c>
      <c r="C7" s="63"/>
      <c r="D7" s="68"/>
      <c r="E7" s="209">
        <v>0.67</v>
      </c>
      <c r="G7" s="128"/>
      <c r="H7" s="130"/>
      <c r="I7" s="78"/>
      <c r="J7" s="79"/>
      <c r="K7" s="131"/>
      <c r="L7" s="142">
        <f t="shared" si="1"/>
        <v>0.21</v>
      </c>
      <c r="M7" s="132">
        <f t="shared" si="0"/>
        <v>0</v>
      </c>
    </row>
    <row r="8" spans="1:13" x14ac:dyDescent="0.25">
      <c r="A8" s="26"/>
      <c r="B8" s="63" t="s">
        <v>97</v>
      </c>
      <c r="C8" s="63"/>
      <c r="D8" s="68"/>
      <c r="E8" s="127">
        <f>E5+E6*E7</f>
        <v>7.350000000000001E-2</v>
      </c>
      <c r="L8" s="62"/>
    </row>
    <row r="9" spans="1:13" x14ac:dyDescent="0.25">
      <c r="A9" s="26"/>
      <c r="B9" s="64" t="s">
        <v>98</v>
      </c>
      <c r="C9" s="64"/>
      <c r="D9" s="69"/>
      <c r="E9" s="133">
        <f>1-E10</f>
        <v>0.82301727207908315</v>
      </c>
      <c r="G9" s="4" t="s">
        <v>110</v>
      </c>
      <c r="L9" s="26"/>
      <c r="M9" s="208">
        <f>AVERAGE(M4:M7)</f>
        <v>0</v>
      </c>
    </row>
    <row r="10" spans="1:13" x14ac:dyDescent="0.25">
      <c r="A10" s="26"/>
      <c r="B10" s="65" t="s">
        <v>99</v>
      </c>
      <c r="C10" s="65"/>
      <c r="D10" s="70"/>
      <c r="E10" s="134">
        <f>MAIN!F8/MAIN!F6</f>
        <v>0.17698272792091685</v>
      </c>
      <c r="M10" s="62"/>
    </row>
    <row r="11" spans="1:13" x14ac:dyDescent="0.25">
      <c r="A11" s="26"/>
      <c r="B11" s="150" t="s">
        <v>179</v>
      </c>
      <c r="C11" s="66"/>
      <c r="D11" s="71"/>
      <c r="E11" s="135">
        <f>Assumptions!F24</f>
        <v>0.04</v>
      </c>
      <c r="G11" s="4" t="s">
        <v>111</v>
      </c>
      <c r="L11" s="26"/>
      <c r="M11" s="208">
        <f>M9*(1+E10*(1-E4))</f>
        <v>0</v>
      </c>
    </row>
    <row r="12" spans="1:13" x14ac:dyDescent="0.25">
      <c r="A12" s="26"/>
      <c r="B12" s="67" t="s">
        <v>100</v>
      </c>
      <c r="C12" s="67"/>
      <c r="D12" s="72"/>
      <c r="E12" s="135">
        <f>E11*(1-E4)</f>
        <v>3.1600000000000003E-2</v>
      </c>
      <c r="M12" s="62"/>
    </row>
    <row r="13" spans="1:13" s="11" customFormat="1" x14ac:dyDescent="0.25">
      <c r="A13" s="24" t="s">
        <v>125</v>
      </c>
      <c r="B13" s="151" t="s">
        <v>101</v>
      </c>
      <c r="C13" s="152"/>
      <c r="D13" s="153"/>
      <c r="E13" s="147">
        <f>WACC!E8*WACC!E9+WACC!E12*WACC!E10</f>
        <v>6.6084423700113595E-2</v>
      </c>
      <c r="F13" s="4"/>
    </row>
    <row r="14" spans="1:13" s="11" customFormat="1" x14ac:dyDescent="0.25">
      <c r="A14" s="24"/>
      <c r="B14" s="73" t="s">
        <v>102</v>
      </c>
      <c r="C14" s="73"/>
      <c r="D14" s="108"/>
      <c r="E14" s="137">
        <v>2.5000000000000001E-2</v>
      </c>
      <c r="F14" s="4"/>
    </row>
    <row r="15" spans="1:13" x14ac:dyDescent="0.25">
      <c r="B15" s="62"/>
      <c r="C15" s="62"/>
      <c r="D15" s="62"/>
      <c r="E15" s="62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40EB-072D-4DA9-B457-4757931D9A4D}">
  <sheetPr codeName="Sheet14"/>
  <dimension ref="A1:Q44"/>
  <sheetViews>
    <sheetView showGridLines="0" tabSelected="1" zoomScaleNormal="100" workbookViewId="0">
      <selection activeCell="E6" sqref="E6"/>
    </sheetView>
  </sheetViews>
  <sheetFormatPr defaultColWidth="9" defaultRowHeight="15" x14ac:dyDescent="0.25"/>
  <cols>
    <col min="1" max="1" width="2" style="4" customWidth="1"/>
    <col min="2" max="2" width="22.42578125" style="4" bestFit="1" customWidth="1"/>
    <col min="3" max="12" width="11.7109375" style="4" customWidth="1"/>
    <col min="13" max="16384" width="9" style="4"/>
  </cols>
  <sheetData>
    <row r="1" spans="1:14" ht="19.5" x14ac:dyDescent="0.3">
      <c r="A1" s="244" t="str">
        <f>CoName</f>
        <v>Wingstop Inc</v>
      </c>
      <c r="B1" s="3"/>
      <c r="C1" s="3"/>
      <c r="D1" s="38" t="s">
        <v>1</v>
      </c>
      <c r="E1" s="38" t="s">
        <v>1</v>
      </c>
      <c r="F1" s="38" t="s">
        <v>1</v>
      </c>
      <c r="G1" s="38" t="s">
        <v>1</v>
      </c>
      <c r="H1" s="38" t="s">
        <v>1</v>
      </c>
      <c r="I1" s="38"/>
      <c r="J1" s="38"/>
      <c r="K1" s="38"/>
      <c r="L1" s="38"/>
      <c r="M1" s="38"/>
    </row>
    <row r="2" spans="1:14" x14ac:dyDescent="0.25">
      <c r="A2" s="73" t="s">
        <v>113</v>
      </c>
      <c r="B2" s="19"/>
      <c r="C2" s="39"/>
      <c r="D2" s="73">
        <v>0.5</v>
      </c>
      <c r="E2" s="73">
        <f>D2+1</f>
        <v>1.5</v>
      </c>
      <c r="F2" s="73">
        <f t="shared" ref="F2:H2" si="0">E2+1</f>
        <v>2.5</v>
      </c>
      <c r="G2" s="73">
        <f t="shared" si="0"/>
        <v>3.5</v>
      </c>
      <c r="H2" s="73">
        <f t="shared" si="0"/>
        <v>4.5</v>
      </c>
      <c r="I2" s="148"/>
      <c r="J2" s="148"/>
      <c r="K2" s="148"/>
      <c r="L2" s="148"/>
      <c r="M2" s="148"/>
      <c r="N2" s="148"/>
    </row>
    <row r="3" spans="1:14" x14ac:dyDescent="0.25">
      <c r="B3" s="4" t="s">
        <v>184</v>
      </c>
      <c r="D3" s="8">
        <f>1/(1+$K$17)^D2</f>
        <v>0.96851020462767201</v>
      </c>
      <c r="E3" s="8">
        <f t="shared" ref="E3:H3" si="1">1/(1+$K$17)^E2</f>
        <v>0.90847421001257478</v>
      </c>
      <c r="F3" s="8">
        <f t="shared" si="1"/>
        <v>0.85215972564300968</v>
      </c>
      <c r="G3" s="8">
        <f t="shared" si="1"/>
        <v>0.7993360626031617</v>
      </c>
      <c r="H3" s="8">
        <f t="shared" si="1"/>
        <v>0.74978683191793127</v>
      </c>
      <c r="I3" s="8"/>
      <c r="J3" s="8"/>
      <c r="K3" s="8"/>
    </row>
    <row r="4" spans="1:14" x14ac:dyDescent="0.25">
      <c r="B4" s="4" t="s">
        <v>185</v>
      </c>
      <c r="D4" s="4">
        <f>D3*'Free Cash Flow'!F15</f>
        <v>108158.03505638742</v>
      </c>
      <c r="E4" s="4">
        <f>E3*'Free Cash Flow'!G15</f>
        <v>127491.86947090806</v>
      </c>
      <c r="F4" s="4">
        <f>F3*'Free Cash Flow'!H15</f>
        <v>154114.51770399476</v>
      </c>
      <c r="G4" s="4">
        <f>G3*'Free Cash Flow'!I15</f>
        <v>185715.05632929501</v>
      </c>
      <c r="H4" s="4">
        <f>H3*'Free Cash Flow'!J15</f>
        <v>223578.85856798492</v>
      </c>
      <c r="I4" s="4">
        <f>(H4*(1+K18))/(K17-K18)</f>
        <v>5577985.7520929733</v>
      </c>
    </row>
    <row r="5" spans="1:14" x14ac:dyDescent="0.25">
      <c r="G5" s="136"/>
    </row>
    <row r="6" spans="1:14" x14ac:dyDescent="0.25">
      <c r="A6" s="73" t="s">
        <v>114</v>
      </c>
      <c r="B6" s="19"/>
      <c r="C6" s="39"/>
      <c r="D6" s="82"/>
      <c r="E6" s="73" t="s">
        <v>171</v>
      </c>
      <c r="F6" s="19"/>
      <c r="G6" s="39"/>
      <c r="H6" s="82" t="s">
        <v>167</v>
      </c>
      <c r="I6" s="293"/>
      <c r="J6" s="294"/>
      <c r="K6" s="295"/>
    </row>
    <row r="7" spans="1:14" x14ac:dyDescent="0.25">
      <c r="B7" s="4" t="s">
        <v>115</v>
      </c>
      <c r="C7" s="4">
        <f>SUM(D4:H4)</f>
        <v>799058.33712857019</v>
      </c>
      <c r="E7" s="4" t="s">
        <v>115</v>
      </c>
      <c r="G7" s="4">
        <f>C7</f>
        <v>799058.33712857019</v>
      </c>
      <c r="I7" s="294"/>
      <c r="J7" s="294"/>
      <c r="K7" s="294"/>
    </row>
    <row r="8" spans="1:14" x14ac:dyDescent="0.25">
      <c r="B8" s="4" t="s">
        <v>116</v>
      </c>
      <c r="C8" s="4">
        <f>I4*H3</f>
        <v>4182300.2655451498</v>
      </c>
      <c r="E8" s="4" t="s">
        <v>172</v>
      </c>
      <c r="G8" s="4">
        <f>G10*IncState!J23*'DCF Model'!H3</f>
        <v>6129605.4374253554</v>
      </c>
      <c r="I8" s="294"/>
      <c r="J8" s="294"/>
      <c r="K8" s="294"/>
    </row>
    <row r="9" spans="1:14" x14ac:dyDescent="0.25">
      <c r="B9" s="4" t="s">
        <v>117</v>
      </c>
      <c r="C9" s="4">
        <f>SUM(C7:C8)</f>
        <v>4981358.6026737196</v>
      </c>
      <c r="E9" s="4" t="s">
        <v>117</v>
      </c>
      <c r="G9" s="4">
        <f>SUM(G7:G8)</f>
        <v>6928663.7745539257</v>
      </c>
      <c r="I9" s="294"/>
      <c r="J9" s="294"/>
      <c r="K9" s="294"/>
    </row>
    <row r="10" spans="1:14" x14ac:dyDescent="0.25">
      <c r="C10" s="81"/>
      <c r="E10" s="4" t="s">
        <v>118</v>
      </c>
      <c r="G10" s="81">
        <v>15</v>
      </c>
      <c r="I10" s="294"/>
      <c r="J10" s="294"/>
      <c r="K10" s="294"/>
    </row>
    <row r="11" spans="1:14" x14ac:dyDescent="0.25">
      <c r="I11" s="296"/>
      <c r="J11" s="294"/>
      <c r="K11" s="297"/>
    </row>
    <row r="12" spans="1:14" x14ac:dyDescent="0.25">
      <c r="B12" s="26" t="s">
        <v>119</v>
      </c>
      <c r="C12" s="34">
        <f>MAIN!F7</f>
        <v>286110</v>
      </c>
      <c r="E12" s="26" t="s">
        <v>119</v>
      </c>
      <c r="F12" s="145"/>
      <c r="G12" s="34">
        <f>C12</f>
        <v>286110</v>
      </c>
      <c r="I12" s="148"/>
    </row>
    <row r="13" spans="1:14" x14ac:dyDescent="0.25">
      <c r="B13" s="26" t="s">
        <v>120</v>
      </c>
      <c r="C13" s="34">
        <f>MAIN!F8</f>
        <v>1266676</v>
      </c>
      <c r="E13" s="26" t="s">
        <v>120</v>
      </c>
      <c r="F13" s="145"/>
      <c r="G13" s="34">
        <f t="shared" ref="G13:G14" si="2">C13</f>
        <v>1266676</v>
      </c>
    </row>
    <row r="14" spans="1:14" x14ac:dyDescent="0.25">
      <c r="B14" s="26" t="s">
        <v>121</v>
      </c>
      <c r="C14" s="75">
        <v>0</v>
      </c>
      <c r="E14" s="4" t="s">
        <v>121</v>
      </c>
      <c r="F14" s="26"/>
      <c r="G14" s="34">
        <f t="shared" si="2"/>
        <v>0</v>
      </c>
    </row>
    <row r="15" spans="1:14" x14ac:dyDescent="0.25">
      <c r="B15" s="4" t="s">
        <v>122</v>
      </c>
      <c r="C15" s="62">
        <f>C9+C12-SUM(C13:C14)</f>
        <v>4000792.6026737196</v>
      </c>
      <c r="E15" s="4" t="s">
        <v>122</v>
      </c>
      <c r="G15" s="62">
        <f>G9+G12-SUM(G13:G14)</f>
        <v>5948097.7745539257</v>
      </c>
    </row>
    <row r="17" spans="1:17" x14ac:dyDescent="0.25">
      <c r="B17" s="4" t="s">
        <v>123</v>
      </c>
      <c r="C17" s="4">
        <f>MAIN!F5</f>
        <v>27786.853999999999</v>
      </c>
      <c r="E17" s="4" t="s">
        <v>123</v>
      </c>
      <c r="G17" s="4">
        <f>C17</f>
        <v>27786.853999999999</v>
      </c>
      <c r="I17" s="151" t="s">
        <v>101</v>
      </c>
      <c r="J17" s="152"/>
      <c r="K17" s="147">
        <f>WACC!E13</f>
        <v>6.6084423700113595E-2</v>
      </c>
    </row>
    <row r="18" spans="1:17" x14ac:dyDescent="0.25">
      <c r="A18" s="4" t="s">
        <v>125</v>
      </c>
      <c r="B18" s="138" t="s">
        <v>124</v>
      </c>
      <c r="C18" s="146">
        <f>C15/C17</f>
        <v>143.98148860873994</v>
      </c>
      <c r="E18" s="138" t="s">
        <v>124</v>
      </c>
      <c r="F18" s="145"/>
      <c r="G18" s="146">
        <f>G15/G17</f>
        <v>214.06157654817366</v>
      </c>
      <c r="I18" s="73" t="s">
        <v>102</v>
      </c>
      <c r="J18" s="73"/>
      <c r="K18" s="137">
        <v>2.5000000000000001E-2</v>
      </c>
    </row>
    <row r="19" spans="1:17" x14ac:dyDescent="0.25">
      <c r="C19" s="21"/>
    </row>
    <row r="20" spans="1:17" x14ac:dyDescent="0.25">
      <c r="A20" s="109" t="s">
        <v>147</v>
      </c>
      <c r="B20" s="1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205"/>
    </row>
    <row r="21" spans="1:17" x14ac:dyDescent="0.25">
      <c r="B21" s="110"/>
      <c r="C21" s="110"/>
      <c r="D21" s="110"/>
      <c r="E21" s="110"/>
      <c r="F21" s="110"/>
      <c r="G21" s="110"/>
      <c r="H21" s="110"/>
      <c r="I21" s="110"/>
    </row>
    <row r="22" spans="1:17" x14ac:dyDescent="0.25">
      <c r="B22" s="110"/>
      <c r="C22" s="110" t="s">
        <v>148</v>
      </c>
      <c r="D22" s="110"/>
      <c r="E22" s="111">
        <v>5.0000000000000001E-3</v>
      </c>
      <c r="F22" s="110"/>
      <c r="G22" s="110"/>
      <c r="H22" s="110" t="s">
        <v>148</v>
      </c>
      <c r="I22" s="110"/>
      <c r="J22" s="111">
        <v>5.0000000000000001E-3</v>
      </c>
    </row>
    <row r="23" spans="1:17" x14ac:dyDescent="0.25">
      <c r="B23" s="110"/>
      <c r="C23" s="110" t="s">
        <v>149</v>
      </c>
      <c r="D23" s="110"/>
      <c r="E23" s="139">
        <v>2.5000000000000001E-3</v>
      </c>
      <c r="F23" s="110"/>
      <c r="G23" s="110"/>
      <c r="H23" s="110" t="s">
        <v>170</v>
      </c>
      <c r="I23" s="110"/>
      <c r="J23" s="144">
        <v>2</v>
      </c>
    </row>
    <row r="24" spans="1:17" x14ac:dyDescent="0.25">
      <c r="B24" s="110"/>
      <c r="C24" s="110"/>
      <c r="D24" s="110"/>
      <c r="E24" s="156"/>
      <c r="F24" s="110"/>
      <c r="G24" s="110"/>
      <c r="J24" s="155"/>
      <c r="K24" s="110"/>
    </row>
    <row r="25" spans="1:17" x14ac:dyDescent="0.25">
      <c r="B25" s="110"/>
      <c r="C25" s="229"/>
      <c r="D25" s="229"/>
      <c r="E25" s="229" t="s">
        <v>197</v>
      </c>
      <c r="F25" s="229"/>
      <c r="H25" s="229"/>
      <c r="I25" s="158"/>
      <c r="J25" s="158" t="s">
        <v>198</v>
      </c>
      <c r="K25" s="158"/>
      <c r="P25" s="158"/>
    </row>
    <row r="26" spans="1:17" x14ac:dyDescent="0.25">
      <c r="B26" s="148"/>
      <c r="C26" s="288">
        <f>C18</f>
        <v>143.98148860873994</v>
      </c>
      <c r="D26" s="230">
        <f>E26-E23</f>
        <v>2.2500000000000003E-2</v>
      </c>
      <c r="E26" s="230">
        <v>2.5000000000000001E-2</v>
      </c>
      <c r="F26" s="230">
        <f>E26+E23</f>
        <v>2.75E-2</v>
      </c>
      <c r="G26" s="228"/>
      <c r="H26" s="158">
        <f>G18</f>
        <v>214.06157654817366</v>
      </c>
      <c r="I26" s="292">
        <f>J26-J23</f>
        <v>13</v>
      </c>
      <c r="J26" s="292">
        <v>15</v>
      </c>
      <c r="K26" s="214">
        <f>J26+J23</f>
        <v>17</v>
      </c>
    </row>
    <row r="27" spans="1:17" x14ac:dyDescent="0.25">
      <c r="B27" s="148"/>
      <c r="C27" s="217">
        <f>C28+$E$22</f>
        <v>7.6765854789855953E-2</v>
      </c>
      <c r="D27" s="287">
        <f t="dataTable" ref="D27:F31" dt2D="1" dtr="1" r1="K18" r2="K17" ca="1"/>
        <v>96.581596157451742</v>
      </c>
      <c r="E27" s="289">
        <v>101.86669745024936</v>
      </c>
      <c r="F27" s="286">
        <v>107.68818457409995</v>
      </c>
      <c r="G27" s="230"/>
      <c r="H27" s="215">
        <f t="shared" ref="H27:H28" si="3">C27</f>
        <v>7.6765854789855953E-2</v>
      </c>
      <c r="I27" s="287">
        <f t="dataTable" ref="I27:K31" dt2D="1" dtr="1" r1="G10" r2="K17"/>
        <v>175.45558675973106</v>
      </c>
      <c r="J27" s="291">
        <v>203.57772442563763</v>
      </c>
      <c r="K27" s="287">
        <v>231.69986209154422</v>
      </c>
      <c r="N27" s="231"/>
      <c r="P27" s="158"/>
    </row>
    <row r="28" spans="1:17" x14ac:dyDescent="0.25">
      <c r="B28" s="148"/>
      <c r="C28" s="217">
        <f>C29+$E$22</f>
        <v>7.1765854789855948E-2</v>
      </c>
      <c r="D28" s="287">
        <v>112.39804543167477</v>
      </c>
      <c r="E28" s="289">
        <v>119.08640051256047</v>
      </c>
      <c r="F28" s="287">
        <v>126.53023124309055</v>
      </c>
      <c r="G28" s="158"/>
      <c r="H28" s="215">
        <f t="shared" si="3"/>
        <v>7.1765854789855948E-2</v>
      </c>
      <c r="I28" s="287">
        <v>179.69734317228458</v>
      </c>
      <c r="J28" s="291">
        <v>208.41469856168507</v>
      </c>
      <c r="K28" s="287">
        <v>237.1320539510856</v>
      </c>
      <c r="N28" s="232"/>
      <c r="O28" s="44"/>
      <c r="P28" s="44"/>
      <c r="Q28" s="44"/>
    </row>
    <row r="29" spans="1:17" x14ac:dyDescent="0.25">
      <c r="C29" s="217">
        <v>6.6765854789855944E-2</v>
      </c>
      <c r="D29" s="291">
        <v>131.9715605978212</v>
      </c>
      <c r="E29" s="290">
        <v>140.62423727504651</v>
      </c>
      <c r="F29" s="291">
        <v>150.3787206904077</v>
      </c>
      <c r="G29" s="233"/>
      <c r="H29" s="215">
        <f>C29</f>
        <v>6.6765854789855944E-2</v>
      </c>
      <c r="I29" s="291">
        <v>184.04761466446791</v>
      </c>
      <c r="J29" s="291">
        <v>213.37565805901212</v>
      </c>
      <c r="K29" s="291">
        <v>242.70370145355636</v>
      </c>
      <c r="N29" s="235"/>
      <c r="O29" s="154"/>
      <c r="P29" s="154"/>
      <c r="Q29" s="154"/>
    </row>
    <row r="30" spans="1:17" x14ac:dyDescent="0.25">
      <c r="C30" s="217">
        <f>C29-$E$22</f>
        <v>6.1765854789855947E-2</v>
      </c>
      <c r="D30" s="287">
        <v>156.75004966552035</v>
      </c>
      <c r="E30" s="291">
        <v>168.25550453106098</v>
      </c>
      <c r="F30" s="287">
        <v>181.43981068108013</v>
      </c>
      <c r="G30" s="234"/>
      <c r="H30" s="215">
        <f>C30</f>
        <v>6.1765854789855947E-2</v>
      </c>
      <c r="I30" s="287">
        <v>188.50972288985295</v>
      </c>
      <c r="J30" s="291">
        <v>218.46440201864024</v>
      </c>
      <c r="K30" s="286">
        <v>248.41908114742756</v>
      </c>
      <c r="M30" s="44"/>
      <c r="N30" s="154"/>
      <c r="O30" s="81"/>
      <c r="P30" s="81"/>
      <c r="Q30" s="81"/>
    </row>
    <row r="31" spans="1:17" x14ac:dyDescent="0.25">
      <c r="C31" s="217">
        <f>C30-$E$22</f>
        <v>5.6765854789855949E-2</v>
      </c>
      <c r="D31" s="287">
        <v>189.02742992213922</v>
      </c>
      <c r="E31" s="291">
        <v>204.87421837139726</v>
      </c>
      <c r="F31" s="287">
        <v>223.4283920248543</v>
      </c>
      <c r="G31" s="234"/>
      <c r="H31" s="215">
        <f>C31</f>
        <v>5.6765854789855949E-2</v>
      </c>
      <c r="I31" s="287">
        <v>193.08710774946405</v>
      </c>
      <c r="J31" s="291">
        <v>223.68486487207377</v>
      </c>
      <c r="K31" s="286">
        <v>254.28262199468352</v>
      </c>
      <c r="M31" s="44"/>
      <c r="N31" s="154"/>
      <c r="O31" s="81"/>
      <c r="P31" s="81"/>
      <c r="Q31" s="81"/>
    </row>
    <row r="32" spans="1:17" x14ac:dyDescent="0.25">
      <c r="D32" s="44"/>
      <c r="E32" s="136"/>
      <c r="F32" s="215"/>
      <c r="G32" s="234"/>
      <c r="H32" s="216"/>
      <c r="I32" s="216"/>
      <c r="J32" s="216"/>
      <c r="K32" s="236"/>
      <c r="L32" s="136"/>
      <c r="M32" s="44"/>
      <c r="N32" s="154"/>
      <c r="O32" s="81"/>
      <c r="P32" s="81"/>
      <c r="Q32" s="81"/>
    </row>
    <row r="33" spans="2:17" x14ac:dyDescent="0.25">
      <c r="D33" s="44"/>
      <c r="E33" s="211"/>
      <c r="F33" s="215"/>
      <c r="G33" s="234"/>
      <c r="H33" s="216"/>
      <c r="I33" s="216"/>
      <c r="J33" s="216"/>
      <c r="K33" s="231"/>
      <c r="M33" s="44"/>
      <c r="N33" s="154"/>
      <c r="O33" s="81"/>
      <c r="P33" s="81"/>
      <c r="Q33" s="81"/>
    </row>
    <row r="34" spans="2:17" x14ac:dyDescent="0.25">
      <c r="D34" s="44"/>
      <c r="E34" s="211"/>
      <c r="F34" s="215"/>
      <c r="G34" s="234"/>
      <c r="H34" s="216"/>
      <c r="I34" s="216"/>
      <c r="J34" s="216"/>
      <c r="K34" s="231"/>
      <c r="M34" s="44"/>
      <c r="N34" s="154"/>
      <c r="O34" s="81"/>
      <c r="P34" s="81"/>
      <c r="Q34" s="81"/>
    </row>
    <row r="35" spans="2:17" x14ac:dyDescent="0.25">
      <c r="B35" s="237"/>
      <c r="C35" s="237"/>
      <c r="D35" s="237"/>
      <c r="E35" s="238"/>
      <c r="F35" s="239"/>
      <c r="G35" s="238"/>
    </row>
    <row r="36" spans="2:17" x14ac:dyDescent="0.25">
      <c r="B36" s="110"/>
      <c r="C36" s="110"/>
      <c r="D36" s="110"/>
      <c r="E36" s="110"/>
      <c r="F36" s="229"/>
      <c r="G36" s="229"/>
      <c r="H36" s="229"/>
      <c r="I36" s="158"/>
      <c r="J36" s="158"/>
      <c r="P36" s="158"/>
    </row>
    <row r="37" spans="2:17" x14ac:dyDescent="0.25">
      <c r="F37" s="217"/>
      <c r="G37" s="217"/>
      <c r="H37" s="215"/>
      <c r="I37" s="215"/>
      <c r="J37" s="215"/>
      <c r="M37" s="158"/>
      <c r="O37" s="81"/>
      <c r="P37" s="81"/>
      <c r="Q37" s="81"/>
    </row>
    <row r="38" spans="2:17" x14ac:dyDescent="0.25">
      <c r="E38" s="44"/>
      <c r="F38" s="214"/>
      <c r="G38" s="240"/>
      <c r="H38" s="234"/>
      <c r="I38" s="234"/>
      <c r="J38" s="234"/>
      <c r="L38" s="81"/>
      <c r="M38" s="81"/>
      <c r="N38" s="241"/>
      <c r="O38" s="157"/>
      <c r="P38" s="157"/>
      <c r="Q38" s="157"/>
    </row>
    <row r="39" spans="2:17" x14ac:dyDescent="0.25">
      <c r="E39" s="44"/>
      <c r="F39" s="215"/>
      <c r="G39" s="234"/>
      <c r="H39" s="214"/>
      <c r="I39" s="214"/>
      <c r="J39" s="214"/>
      <c r="K39" s="44"/>
      <c r="M39" s="44"/>
      <c r="N39" s="154"/>
      <c r="O39" s="242"/>
      <c r="P39" s="242"/>
      <c r="Q39" s="242"/>
    </row>
    <row r="40" spans="2:17" x14ac:dyDescent="0.25">
      <c r="D40" s="8"/>
      <c r="E40" s="44"/>
      <c r="F40" s="215"/>
      <c r="G40" s="234"/>
      <c r="H40" s="214"/>
      <c r="I40" s="214"/>
      <c r="J40" s="214"/>
      <c r="K40" s="8"/>
      <c r="L40" s="44"/>
      <c r="M40" s="44"/>
      <c r="N40" s="154"/>
      <c r="O40" s="242"/>
      <c r="P40" s="242"/>
      <c r="Q40" s="242"/>
    </row>
    <row r="41" spans="2:17" x14ac:dyDescent="0.25">
      <c r="D41" s="8"/>
      <c r="E41" s="136"/>
      <c r="F41" s="215"/>
      <c r="G41" s="234"/>
      <c r="H41" s="214"/>
      <c r="I41" s="214"/>
      <c r="J41" s="214"/>
      <c r="K41" s="8"/>
      <c r="L41" s="136"/>
      <c r="M41" s="44"/>
      <c r="N41" s="154"/>
      <c r="O41" s="242"/>
      <c r="P41" s="242"/>
      <c r="Q41" s="242"/>
    </row>
    <row r="42" spans="2:17" x14ac:dyDescent="0.25">
      <c r="D42" s="8"/>
      <c r="E42" s="44"/>
      <c r="F42" s="215"/>
      <c r="G42" s="234"/>
      <c r="H42" s="214"/>
      <c r="I42" s="214"/>
      <c r="J42" s="214"/>
      <c r="K42" s="8"/>
      <c r="L42" s="44"/>
      <c r="M42" s="44"/>
      <c r="N42" s="154"/>
      <c r="O42" s="242"/>
      <c r="P42" s="242"/>
      <c r="Q42" s="242"/>
    </row>
    <row r="43" spans="2:17" x14ac:dyDescent="0.25">
      <c r="D43" s="8"/>
      <c r="E43" s="8"/>
      <c r="F43" s="215"/>
      <c r="G43" s="234"/>
      <c r="H43" s="214"/>
      <c r="I43" s="214"/>
      <c r="J43" s="214"/>
      <c r="K43" s="8"/>
      <c r="L43" s="44"/>
      <c r="M43" s="44"/>
      <c r="N43" s="154"/>
      <c r="O43" s="242"/>
      <c r="P43" s="242"/>
      <c r="Q43" s="242"/>
    </row>
    <row r="44" spans="2:17" x14ac:dyDescent="0.25">
      <c r="D44" s="8"/>
      <c r="E44" s="8"/>
      <c r="F44" s="81"/>
      <c r="G44" s="81"/>
      <c r="H44" s="81"/>
      <c r="J44" s="8"/>
      <c r="K44" s="8"/>
      <c r="L44" s="44"/>
      <c r="M44" s="44"/>
      <c r="N44" s="44"/>
    </row>
  </sheetData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8a26cf8-717e-46a4-ac0d-03f11284dc6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D67CCE9C46594A83EA9A0A36DAF059" ma:contentTypeVersion="5" ma:contentTypeDescription="Create a new document." ma:contentTypeScope="" ma:versionID="5fd8b8fd27f650b6dd5d0d1126d790d5">
  <xsd:schema xmlns:xsd="http://www.w3.org/2001/XMLSchema" xmlns:xs="http://www.w3.org/2001/XMLSchema" xmlns:p="http://schemas.microsoft.com/office/2006/metadata/properties" xmlns:ns3="88a26cf8-717e-46a4-ac0d-03f11284dc6b" targetNamespace="http://schemas.microsoft.com/office/2006/metadata/properties" ma:root="true" ma:fieldsID="dfdbcf1abf95335456703ce8a00489ec" ns3:_="">
    <xsd:import namespace="88a26cf8-717e-46a4-ac0d-03f11284dc6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a26cf8-717e-46a4-ac0d-03f11284dc6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2CEB71-5BFB-4E6E-B188-5D9054FB6C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9B163E-8FD9-4F0C-B1E1-F38F6A6548CE}">
  <ds:schemaRefs>
    <ds:schemaRef ds:uri="http://purl.org/dc/elements/1.1/"/>
    <ds:schemaRef ds:uri="http://schemas.openxmlformats.org/package/2006/metadata/core-properties"/>
    <ds:schemaRef ds:uri="http://www.w3.org/XML/1998/namespace"/>
    <ds:schemaRef ds:uri="88a26cf8-717e-46a4-ac0d-03f11284dc6b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E718D7-04AA-4DF9-97B6-37DAC0AD128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8a26cf8-717e-46a4-ac0d-03f11284dc6b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5</vt:i4>
      </vt:variant>
    </vt:vector>
  </HeadingPairs>
  <TitlesOfParts>
    <vt:vector size="16" baseType="lpstr">
      <vt:lpstr>MAIN</vt:lpstr>
      <vt:lpstr>Quarterly Projections</vt:lpstr>
      <vt:lpstr>Assumptions</vt:lpstr>
      <vt:lpstr>Calcs</vt:lpstr>
      <vt:lpstr>Debt</vt:lpstr>
      <vt:lpstr>IncState</vt:lpstr>
      <vt:lpstr>BalSheet</vt:lpstr>
      <vt:lpstr>CashFlow</vt:lpstr>
      <vt:lpstr>Free Cash Flow</vt:lpstr>
      <vt:lpstr>WACC</vt:lpstr>
      <vt:lpstr>DCF Model</vt:lpstr>
      <vt:lpstr>Ccy</vt:lpstr>
      <vt:lpstr>circ</vt:lpstr>
      <vt:lpstr>CoName</vt:lpstr>
      <vt:lpstr>ScenarioREV</vt:lpstr>
      <vt:lpstr>Units</vt:lpstr>
    </vt:vector>
  </TitlesOfParts>
  <Company>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Chen</dc:creator>
  <dc:description>AMTX-V1/2765</dc:description>
  <cp:lastModifiedBy>Alan Chen</cp:lastModifiedBy>
  <cp:lastPrinted>2017-12-06T12:46:42Z</cp:lastPrinted>
  <dcterms:created xsi:type="dcterms:W3CDTF">2008-02-13T09:24:48Z</dcterms:created>
  <dcterms:modified xsi:type="dcterms:W3CDTF">2025-12-08T02:33:33Z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0x01010001D67CCE9C46594A83EA9A0A36DAF059</vt:lpwstr>
  </property>
  <property fmtid="{D5CDD505-2E9C-101B-9397-08002B2CF9AE}" pid="3" name="MSIP_Label_a73fd474-4f3c-44ed-88fb-5cc4bd2471bf_Enabled">
    <vt:lpwstr>true</vt:lpwstr>
  </property>
  <property fmtid="{D5CDD505-2E9C-101B-9397-08002B2CF9AE}" pid="4" name="MSIP_Label_a73fd474-4f3c-44ed-88fb-5cc4bd2471bf_SetDate">
    <vt:lpwstr>2025-09-20T21:06:41Z</vt:lpwstr>
  </property>
  <property fmtid="{D5CDD505-2E9C-101B-9397-08002B2CF9AE}" pid="5" name="MSIP_Label_a73fd474-4f3c-44ed-88fb-5cc4bd2471bf_Method">
    <vt:lpwstr>Standard</vt:lpwstr>
  </property>
  <property fmtid="{D5CDD505-2E9C-101B-9397-08002B2CF9AE}" pid="6" name="MSIP_Label_a73fd474-4f3c-44ed-88fb-5cc4bd2471bf_Name">
    <vt:lpwstr>defa4170-0d19-0005-0004-bc88714345d2</vt:lpwstr>
  </property>
  <property fmtid="{D5CDD505-2E9C-101B-9397-08002B2CF9AE}" pid="7" name="MSIP_Label_a73fd474-4f3c-44ed-88fb-5cc4bd2471bf_SiteId">
    <vt:lpwstr>8d1a69ec-03b5-4345-ae21-dad112f5fb4f</vt:lpwstr>
  </property>
  <property fmtid="{D5CDD505-2E9C-101B-9397-08002B2CF9AE}" pid="8" name="MSIP_Label_a73fd474-4f3c-44ed-88fb-5cc4bd2471bf_ActionId">
    <vt:lpwstr>ea478097-4d4f-4597-be52-84b7b54bb9e8</vt:lpwstr>
  </property>
  <property fmtid="{D5CDD505-2E9C-101B-9397-08002B2CF9AE}" pid="9" name="MSIP_Label_a73fd474-4f3c-44ed-88fb-5cc4bd2471bf_ContentBits">
    <vt:lpwstr>0</vt:lpwstr>
  </property>
  <property fmtid="{D5CDD505-2E9C-101B-9397-08002B2CF9AE}" pid="10" name="MSIP_Label_a73fd474-4f3c-44ed-88fb-5cc4bd2471bf_Tag">
    <vt:lpwstr>10, 3, 0, 1</vt:lpwstr>
  </property>
</Properties>
</file>