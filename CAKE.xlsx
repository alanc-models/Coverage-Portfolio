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387" documentId="13_ncr:1_{B4439C40-EE35-42AD-A3EC-8897C3A11949}" xr6:coauthVersionLast="47" xr6:coauthVersionMax="47" xr10:uidLastSave="{647A00BA-3746-4DCF-85DC-2402C9C6824D}"/>
  <bookViews>
    <workbookView xWindow="-105" yWindow="0" windowWidth="19410" windowHeight="21705" tabRatio="808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2" l="1"/>
  <c r="K11" i="12" s="1"/>
  <c r="K5" i="3" s="1"/>
  <c r="K6" i="3" s="1"/>
  <c r="K7" i="12"/>
  <c r="K10" i="12"/>
  <c r="H30" i="12"/>
  <c r="H31" i="12"/>
  <c r="H28" i="12"/>
  <c r="H27" i="12"/>
  <c r="H29" i="12"/>
  <c r="K26" i="12"/>
  <c r="I26" i="12"/>
  <c r="C31" i="12"/>
  <c r="C30" i="12"/>
  <c r="C27" i="12"/>
  <c r="C28" i="12"/>
  <c r="F26" i="12"/>
  <c r="D26" i="12"/>
  <c r="G17" i="12"/>
  <c r="G14" i="12"/>
  <c r="G13" i="12"/>
  <c r="G12" i="12"/>
  <c r="C17" i="12"/>
  <c r="C13" i="12"/>
  <c r="C12" i="12"/>
  <c r="D3" i="12"/>
  <c r="D4" i="12" s="1"/>
  <c r="K17" i="12"/>
  <c r="E9" i="11"/>
  <c r="G3" i="10"/>
  <c r="G4" i="10"/>
  <c r="G5" i="10"/>
  <c r="H5" i="10"/>
  <c r="I5" i="10"/>
  <c r="J5" i="10"/>
  <c r="G7" i="10"/>
  <c r="G8" i="10"/>
  <c r="H8" i="10"/>
  <c r="G9" i="10"/>
  <c r="H9" i="10"/>
  <c r="I9" i="10"/>
  <c r="J9" i="10"/>
  <c r="G10" i="10"/>
  <c r="G11" i="10"/>
  <c r="G12" i="10"/>
  <c r="G13" i="10"/>
  <c r="G15" i="10"/>
  <c r="G4" i="9"/>
  <c r="H4" i="9"/>
  <c r="G5" i="9"/>
  <c r="H5" i="9"/>
  <c r="I5" i="9"/>
  <c r="J5" i="9"/>
  <c r="G6" i="9"/>
  <c r="G7" i="9"/>
  <c r="G8" i="9"/>
  <c r="G11" i="9"/>
  <c r="G12" i="9"/>
  <c r="G14" i="9"/>
  <c r="H14" i="9"/>
  <c r="I14" i="9"/>
  <c r="J14" i="9"/>
  <c r="G15" i="9"/>
  <c r="H15" i="9"/>
  <c r="I15" i="9"/>
  <c r="J15" i="9"/>
  <c r="G16" i="9"/>
  <c r="H16" i="9"/>
  <c r="I16" i="9"/>
  <c r="J16" i="9"/>
  <c r="G17" i="9"/>
  <c r="H17" i="9"/>
  <c r="I17" i="9"/>
  <c r="J17" i="9"/>
  <c r="G21" i="9"/>
  <c r="G16" i="8"/>
  <c r="G18" i="8"/>
  <c r="G19" i="8"/>
  <c r="G20" i="8"/>
  <c r="G23" i="8"/>
  <c r="G24" i="8"/>
  <c r="H24" i="8"/>
  <c r="I24" i="8"/>
  <c r="J24" i="8"/>
  <c r="G25" i="8"/>
  <c r="G26" i="8"/>
  <c r="G31" i="8"/>
  <c r="G32" i="8"/>
  <c r="G35" i="8"/>
  <c r="H35" i="8"/>
  <c r="I35" i="8"/>
  <c r="J35" i="8"/>
  <c r="G36" i="8"/>
  <c r="G37" i="8"/>
  <c r="G16" i="7"/>
  <c r="G17" i="7"/>
  <c r="G18" i="7"/>
  <c r="G19" i="7"/>
  <c r="G21" i="7"/>
  <c r="G22" i="7"/>
  <c r="H22" i="7"/>
  <c r="I22" i="7"/>
  <c r="J22" i="7"/>
  <c r="G23" i="7"/>
  <c r="G25" i="7"/>
  <c r="H25" i="7"/>
  <c r="I25" i="7"/>
  <c r="J25" i="7"/>
  <c r="G26" i="7"/>
  <c r="H26" i="7"/>
  <c r="I26" i="7"/>
  <c r="J26" i="7"/>
  <c r="G28" i="7"/>
  <c r="H28" i="7"/>
  <c r="I28" i="7"/>
  <c r="J28" i="7"/>
  <c r="G29" i="7"/>
  <c r="H29" i="7"/>
  <c r="I29" i="7"/>
  <c r="J29" i="7"/>
  <c r="G31" i="7"/>
  <c r="G33" i="7"/>
  <c r="G34" i="7"/>
  <c r="G35" i="7"/>
  <c r="H35" i="7"/>
  <c r="I35" i="7"/>
  <c r="J35" i="7"/>
  <c r="G38" i="7"/>
  <c r="G36" i="7" s="1"/>
  <c r="G15" i="5" s="1"/>
  <c r="H38" i="7"/>
  <c r="H36" i="7" s="1"/>
  <c r="H15" i="5" s="1"/>
  <c r="I38" i="7"/>
  <c r="I36" i="7" s="1"/>
  <c r="I15" i="5" s="1"/>
  <c r="J38" i="7"/>
  <c r="J36" i="7" s="1"/>
  <c r="J15" i="5" s="1"/>
  <c r="G39" i="7"/>
  <c r="H39" i="7"/>
  <c r="I39" i="7"/>
  <c r="J39" i="7"/>
  <c r="G40" i="7"/>
  <c r="G41" i="7"/>
  <c r="G16" i="6"/>
  <c r="H16" i="6"/>
  <c r="I16" i="6"/>
  <c r="J16" i="6"/>
  <c r="G17" i="6"/>
  <c r="G18" i="6"/>
  <c r="H18" i="6"/>
  <c r="I18" i="6"/>
  <c r="J18" i="6"/>
  <c r="G19" i="6"/>
  <c r="H19" i="6"/>
  <c r="I19" i="6"/>
  <c r="J19" i="6"/>
  <c r="G20" i="6"/>
  <c r="H17" i="6" s="1"/>
  <c r="H20" i="6" s="1"/>
  <c r="G21" i="6"/>
  <c r="G22" i="6" s="1"/>
  <c r="G28" i="6" s="1"/>
  <c r="H21" i="6"/>
  <c r="I21" i="6"/>
  <c r="J21" i="6"/>
  <c r="G24" i="6"/>
  <c r="H24" i="6"/>
  <c r="I24" i="6"/>
  <c r="J24" i="6"/>
  <c r="G25" i="6"/>
  <c r="H25" i="6"/>
  <c r="I25" i="6"/>
  <c r="J25" i="6"/>
  <c r="G26" i="6"/>
  <c r="G27" i="6"/>
  <c r="G30" i="6"/>
  <c r="H30" i="6"/>
  <c r="I30" i="6"/>
  <c r="J30" i="6"/>
  <c r="G32" i="6"/>
  <c r="H32" i="6"/>
  <c r="I32" i="6"/>
  <c r="J32" i="6"/>
  <c r="G6" i="5"/>
  <c r="G7" i="5"/>
  <c r="G10" i="5"/>
  <c r="H10" i="5"/>
  <c r="I10" i="5"/>
  <c r="J10" i="5"/>
  <c r="G11" i="5"/>
  <c r="H11" i="5"/>
  <c r="I11" i="5"/>
  <c r="J11" i="5"/>
  <c r="G13" i="5"/>
  <c r="G14" i="5"/>
  <c r="G16" i="5"/>
  <c r="H16" i="5"/>
  <c r="I16" i="5"/>
  <c r="J16" i="5"/>
  <c r="G18" i="5"/>
  <c r="H18" i="5"/>
  <c r="I18" i="5"/>
  <c r="J18" i="5"/>
  <c r="G19" i="5"/>
  <c r="G20" i="5"/>
  <c r="G21" i="5"/>
  <c r="G22" i="5"/>
  <c r="G23" i="5"/>
  <c r="G24" i="5"/>
  <c r="G25" i="5"/>
  <c r="G26" i="5"/>
  <c r="F13" i="10"/>
  <c r="F12" i="10"/>
  <c r="F11" i="10"/>
  <c r="F10" i="10"/>
  <c r="F9" i="10"/>
  <c r="F8" i="10"/>
  <c r="F29" i="7"/>
  <c r="F28" i="7"/>
  <c r="F21" i="9"/>
  <c r="B22" i="9"/>
  <c r="F17" i="9"/>
  <c r="F16" i="9"/>
  <c r="F15" i="9"/>
  <c r="F14" i="9"/>
  <c r="F12" i="9"/>
  <c r="F11" i="9"/>
  <c r="F8" i="9"/>
  <c r="F7" i="9"/>
  <c r="F6" i="9"/>
  <c r="F24" i="5"/>
  <c r="F23" i="5"/>
  <c r="F22" i="5"/>
  <c r="F21" i="5"/>
  <c r="F20" i="5"/>
  <c r="F19" i="5"/>
  <c r="F25" i="5"/>
  <c r="F26" i="5" s="1"/>
  <c r="E25" i="5"/>
  <c r="E24" i="5"/>
  <c r="E23" i="5"/>
  <c r="E21" i="5"/>
  <c r="E22" i="5"/>
  <c r="E20" i="5"/>
  <c r="E19" i="5"/>
  <c r="F5" i="9"/>
  <c r="F16" i="5"/>
  <c r="F15" i="5"/>
  <c r="F13" i="5"/>
  <c r="E17" i="5"/>
  <c r="F36" i="8"/>
  <c r="F35" i="8"/>
  <c r="F32" i="6"/>
  <c r="F28" i="6"/>
  <c r="F27" i="6"/>
  <c r="F26" i="6"/>
  <c r="F25" i="6"/>
  <c r="E2" i="6"/>
  <c r="F2" i="6"/>
  <c r="G2" i="6"/>
  <c r="H2" i="6"/>
  <c r="I2" i="6"/>
  <c r="J2" i="6"/>
  <c r="D2" i="6"/>
  <c r="F22" i="6"/>
  <c r="F21" i="6"/>
  <c r="F20" i="6"/>
  <c r="F19" i="6"/>
  <c r="F18" i="6"/>
  <c r="F17" i="6"/>
  <c r="E20" i="6"/>
  <c r="F32" i="8"/>
  <c r="F31" i="8"/>
  <c r="F25" i="8"/>
  <c r="F24" i="8"/>
  <c r="F23" i="8"/>
  <c r="F21" i="7"/>
  <c r="F9" i="5"/>
  <c r="F8" i="5"/>
  <c r="F7" i="5"/>
  <c r="F6" i="5"/>
  <c r="E9" i="5"/>
  <c r="F20" i="8"/>
  <c r="F19" i="8"/>
  <c r="F18" i="8"/>
  <c r="F16" i="8"/>
  <c r="F36" i="7"/>
  <c r="F39" i="7"/>
  <c r="F38" i="7"/>
  <c r="F35" i="7"/>
  <c r="G17" i="13"/>
  <c r="H17" i="13" s="1"/>
  <c r="I17" i="13" s="1"/>
  <c r="J17" i="13" s="1"/>
  <c r="F17" i="13"/>
  <c r="D36" i="13"/>
  <c r="E36" i="13"/>
  <c r="F36" i="13"/>
  <c r="G36" i="13"/>
  <c r="H36" i="13"/>
  <c r="I36" i="13"/>
  <c r="J36" i="13"/>
  <c r="C36" i="13"/>
  <c r="D35" i="7"/>
  <c r="C35" i="7"/>
  <c r="E35" i="7"/>
  <c r="E31" i="7"/>
  <c r="E32" i="13"/>
  <c r="D32" i="13"/>
  <c r="C32" i="13"/>
  <c r="C36" i="8"/>
  <c r="C32" i="8"/>
  <c r="C25" i="8"/>
  <c r="C23" i="8"/>
  <c r="C20" i="8"/>
  <c r="C17" i="8"/>
  <c r="D36" i="8"/>
  <c r="E36" i="8"/>
  <c r="D32" i="8"/>
  <c r="E32" i="8"/>
  <c r="D25" i="8"/>
  <c r="D24" i="8"/>
  <c r="D23" i="8"/>
  <c r="D20" i="8"/>
  <c r="D17" i="8"/>
  <c r="E25" i="8"/>
  <c r="E23" i="8"/>
  <c r="E24" i="8"/>
  <c r="E20" i="8"/>
  <c r="D16" i="8"/>
  <c r="C16" i="8"/>
  <c r="E16" i="8"/>
  <c r="E17" i="8" s="1"/>
  <c r="C26" i="7"/>
  <c r="C25" i="7"/>
  <c r="C18" i="7"/>
  <c r="C17" i="7"/>
  <c r="E26" i="7"/>
  <c r="D26" i="7"/>
  <c r="D25" i="7"/>
  <c r="D18" i="7"/>
  <c r="D17" i="7"/>
  <c r="E25" i="7"/>
  <c r="E18" i="7"/>
  <c r="E17" i="7"/>
  <c r="F8" i="3"/>
  <c r="F7" i="3"/>
  <c r="G17" i="5" l="1"/>
  <c r="I17" i="6"/>
  <c r="I20" i="6" s="1"/>
  <c r="H26" i="6"/>
  <c r="H27" i="6" s="1"/>
  <c r="H22" i="6"/>
  <c r="H28" i="6" s="1"/>
  <c r="G8" i="5"/>
  <c r="G9" i="5" s="1"/>
  <c r="H6" i="5" s="1"/>
  <c r="F4" i="9"/>
  <c r="F23" i="7"/>
  <c r="D17" i="13"/>
  <c r="C17" i="13"/>
  <c r="E14" i="13"/>
  <c r="D40" i="13"/>
  <c r="D14" i="13"/>
  <c r="E47" i="13"/>
  <c r="F47" i="13" s="1"/>
  <c r="F11" i="8" s="1"/>
  <c r="E12" i="13"/>
  <c r="D10" i="13"/>
  <c r="E10" i="13"/>
  <c r="D33" i="13"/>
  <c r="E33" i="13"/>
  <c r="F33" i="13" s="1"/>
  <c r="G33" i="13" s="1"/>
  <c r="H33" i="13" s="1"/>
  <c r="I33" i="13" s="1"/>
  <c r="J33" i="13" s="1"/>
  <c r="E49" i="13"/>
  <c r="D49" i="13"/>
  <c r="C49" i="13"/>
  <c r="E48" i="13"/>
  <c r="D48" i="13"/>
  <c r="C48" i="13"/>
  <c r="C47" i="13"/>
  <c r="E43" i="13"/>
  <c r="D43" i="13"/>
  <c r="C43" i="13"/>
  <c r="E41" i="13"/>
  <c r="F41" i="13" s="1"/>
  <c r="D41" i="13"/>
  <c r="C41" i="13"/>
  <c r="C40" i="13"/>
  <c r="E39" i="13"/>
  <c r="D39" i="13"/>
  <c r="C39" i="13"/>
  <c r="E38" i="13"/>
  <c r="D38" i="13"/>
  <c r="C38" i="13"/>
  <c r="E17" i="13"/>
  <c r="E15" i="13"/>
  <c r="D15" i="13"/>
  <c r="C15" i="13"/>
  <c r="C14" i="13"/>
  <c r="E13" i="13"/>
  <c r="F13" i="13" s="1"/>
  <c r="F7" i="7" s="1"/>
  <c r="F22" i="7" s="1"/>
  <c r="D13" i="13"/>
  <c r="C13" i="13"/>
  <c r="D12" i="13"/>
  <c r="C12" i="13"/>
  <c r="C11" i="13"/>
  <c r="E19" i="13"/>
  <c r="D19" i="13"/>
  <c r="C19" i="13"/>
  <c r="E18" i="13"/>
  <c r="D18" i="13"/>
  <c r="C18" i="13"/>
  <c r="F6" i="3"/>
  <c r="G8" i="13"/>
  <c r="H8" i="13"/>
  <c r="I8" i="13"/>
  <c r="J8" i="13"/>
  <c r="F8" i="13"/>
  <c r="G7" i="13"/>
  <c r="H7" i="13"/>
  <c r="I7" i="13"/>
  <c r="J7" i="13"/>
  <c r="F7" i="13"/>
  <c r="D2" i="8"/>
  <c r="E2" i="8" s="1"/>
  <c r="E15" i="8" s="1"/>
  <c r="D2" i="7"/>
  <c r="E2" i="7" s="1"/>
  <c r="F2" i="7" s="1"/>
  <c r="G2" i="7" s="1"/>
  <c r="H2" i="7" s="1"/>
  <c r="I2" i="7" s="1"/>
  <c r="J2" i="7" s="1"/>
  <c r="D11" i="6"/>
  <c r="D16" i="6" s="1"/>
  <c r="D24" i="6" s="1"/>
  <c r="C21" i="13"/>
  <c r="C30" i="13" s="1"/>
  <c r="C45" i="13" s="1"/>
  <c r="D2" i="13"/>
  <c r="E2" i="13" s="1"/>
  <c r="G8" i="7"/>
  <c r="H8" i="7"/>
  <c r="I8" i="7"/>
  <c r="J8" i="7"/>
  <c r="G9" i="7"/>
  <c r="H9" i="7"/>
  <c r="I9" i="7"/>
  <c r="J9" i="7"/>
  <c r="A1" i="10"/>
  <c r="C21" i="8"/>
  <c r="D21" i="8"/>
  <c r="E21" i="8"/>
  <c r="D26" i="8"/>
  <c r="C26" i="8"/>
  <c r="E26" i="8"/>
  <c r="E33" i="8"/>
  <c r="C33" i="8"/>
  <c r="D33" i="8"/>
  <c r="C37" i="8"/>
  <c r="C40" i="8" s="1"/>
  <c r="D37" i="8"/>
  <c r="D40" i="8" s="1"/>
  <c r="E37" i="8"/>
  <c r="C10" i="5"/>
  <c r="C18" i="5" s="1"/>
  <c r="D2" i="5"/>
  <c r="E2" i="5" s="1"/>
  <c r="G10" i="13"/>
  <c r="G4" i="7" s="1"/>
  <c r="H10" i="13"/>
  <c r="H4" i="7" s="1"/>
  <c r="H16" i="7" s="1"/>
  <c r="I10" i="13"/>
  <c r="I4" i="7" s="1"/>
  <c r="J10" i="13"/>
  <c r="J4" i="7" s="1"/>
  <c r="F32" i="13"/>
  <c r="F3" i="5" s="1"/>
  <c r="C11" i="6"/>
  <c r="C30" i="6" s="1"/>
  <c r="F24" i="13"/>
  <c r="F23" i="13"/>
  <c r="F4" i="6" s="1"/>
  <c r="F25" i="13"/>
  <c r="F6" i="6" s="1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/>
  <c r="I2" i="9"/>
  <c r="J2" i="9"/>
  <c r="D15" i="8"/>
  <c r="C15" i="8"/>
  <c r="F9" i="7"/>
  <c r="F26" i="7" s="1"/>
  <c r="J15" i="7"/>
  <c r="I15" i="7"/>
  <c r="H15" i="7"/>
  <c r="G15" i="7"/>
  <c r="F15" i="7"/>
  <c r="E15" i="7"/>
  <c r="D15" i="7"/>
  <c r="C15" i="7"/>
  <c r="A1" i="3"/>
  <c r="A1" i="13"/>
  <c r="A1" i="5"/>
  <c r="A1" i="6"/>
  <c r="A1" i="7"/>
  <c r="A1" i="8"/>
  <c r="A1" i="9"/>
  <c r="A1" i="11"/>
  <c r="A1" i="12"/>
  <c r="C19" i="7"/>
  <c r="C31" i="7" s="1"/>
  <c r="C16" i="13" s="1"/>
  <c r="F8" i="6"/>
  <c r="F11" i="5"/>
  <c r="B20" i="5"/>
  <c r="B21" i="5"/>
  <c r="F9" i="6"/>
  <c r="G9" i="6"/>
  <c r="H9" i="6"/>
  <c r="I9" i="6"/>
  <c r="J9" i="6"/>
  <c r="J8" i="6"/>
  <c r="I8" i="6"/>
  <c r="H8" i="6"/>
  <c r="G8" i="6"/>
  <c r="E2" i="12"/>
  <c r="F8" i="7"/>
  <c r="F25" i="7" s="1"/>
  <c r="I16" i="7" l="1"/>
  <c r="H3" i="10"/>
  <c r="H19" i="7"/>
  <c r="H18" i="7"/>
  <c r="H17" i="7"/>
  <c r="H36" i="8"/>
  <c r="H32" i="8"/>
  <c r="H24" i="5" s="1"/>
  <c r="H25" i="8"/>
  <c r="H7" i="9" s="1"/>
  <c r="H11" i="10" s="1"/>
  <c r="H20" i="8"/>
  <c r="H22" i="5" s="1"/>
  <c r="H18" i="8"/>
  <c r="H20" i="5" s="1"/>
  <c r="H16" i="8"/>
  <c r="H19" i="5" s="1"/>
  <c r="H7" i="5"/>
  <c r="H11" i="9" s="1"/>
  <c r="H12" i="9" s="1"/>
  <c r="H13" i="10" s="1"/>
  <c r="I16" i="8"/>
  <c r="I19" i="5" s="1"/>
  <c r="J16" i="7"/>
  <c r="I36" i="8"/>
  <c r="I20" i="8"/>
  <c r="I22" i="5" s="1"/>
  <c r="I17" i="7"/>
  <c r="I32" i="8"/>
  <c r="I24" i="5" s="1"/>
  <c r="I25" i="8"/>
  <c r="I18" i="8"/>
  <c r="I20" i="5" s="1"/>
  <c r="I3" i="10"/>
  <c r="I7" i="5"/>
  <c r="I11" i="9" s="1"/>
  <c r="I12" i="9" s="1"/>
  <c r="I13" i="10" s="1"/>
  <c r="I18" i="7"/>
  <c r="I19" i="7" s="1"/>
  <c r="F2" i="12"/>
  <c r="E3" i="12"/>
  <c r="E4" i="12" s="1"/>
  <c r="G39" i="8"/>
  <c r="H13" i="5"/>
  <c r="J17" i="6"/>
  <c r="J20" i="6" s="1"/>
  <c r="I26" i="6"/>
  <c r="I27" i="6" s="1"/>
  <c r="I22" i="6"/>
  <c r="I28" i="6" s="1"/>
  <c r="H8" i="5"/>
  <c r="G24" i="13"/>
  <c r="E11" i="11"/>
  <c r="C23" i="7"/>
  <c r="C34" i="7"/>
  <c r="F11" i="7"/>
  <c r="D11" i="13"/>
  <c r="D47" i="13"/>
  <c r="D19" i="7"/>
  <c r="D23" i="7" s="1"/>
  <c r="E40" i="13"/>
  <c r="F40" i="13" s="1"/>
  <c r="F6" i="8" s="1"/>
  <c r="E11" i="13"/>
  <c r="F11" i="13" s="1"/>
  <c r="G11" i="13" s="1"/>
  <c r="H11" i="13" s="1"/>
  <c r="I11" i="13" s="1"/>
  <c r="J11" i="13" s="1"/>
  <c r="E10" i="11"/>
  <c r="F9" i="3"/>
  <c r="D21" i="13"/>
  <c r="D30" i="13" s="1"/>
  <c r="D45" i="13" s="1"/>
  <c r="F2" i="13"/>
  <c r="E21" i="13"/>
  <c r="E30" i="13" s="1"/>
  <c r="E45" i="13" s="1"/>
  <c r="F2" i="8"/>
  <c r="F11" i="6"/>
  <c r="F30" i="6" s="1"/>
  <c r="E11" i="6"/>
  <c r="F5" i="6"/>
  <c r="G25" i="13"/>
  <c r="G6" i="6" s="1"/>
  <c r="G47" i="13"/>
  <c r="G13" i="13"/>
  <c r="G23" i="13"/>
  <c r="G4" i="6" s="1"/>
  <c r="D10" i="5"/>
  <c r="D18" i="5" s="1"/>
  <c r="E10" i="5"/>
  <c r="E18" i="5" s="1"/>
  <c r="F2" i="5"/>
  <c r="D30" i="6"/>
  <c r="D28" i="8"/>
  <c r="D42" i="8" s="1"/>
  <c r="C16" i="6"/>
  <c r="C24" i="6" s="1"/>
  <c r="E40" i="8"/>
  <c r="E28" i="8"/>
  <c r="C28" i="8"/>
  <c r="C42" i="8" s="1"/>
  <c r="G32" i="13"/>
  <c r="F4" i="5"/>
  <c r="G4" i="5" s="1"/>
  <c r="H4" i="5" s="1"/>
  <c r="I4" i="5" s="1"/>
  <c r="J4" i="5" s="1"/>
  <c r="F7" i="8"/>
  <c r="G41" i="13"/>
  <c r="F38" i="13"/>
  <c r="F48" i="13"/>
  <c r="F39" i="13"/>
  <c r="E19" i="7"/>
  <c r="E23" i="7" s="1"/>
  <c r="F43" i="13"/>
  <c r="F49" i="13"/>
  <c r="H4" i="10" l="1"/>
  <c r="H7" i="10" s="1"/>
  <c r="H31" i="7"/>
  <c r="H31" i="8"/>
  <c r="H23" i="5" s="1"/>
  <c r="H19" i="8"/>
  <c r="H21" i="5" s="1"/>
  <c r="H25" i="5" s="1"/>
  <c r="H26" i="5" s="1"/>
  <c r="H6" i="9" s="1"/>
  <c r="H10" i="10" s="1"/>
  <c r="H8" i="9"/>
  <c r="H12" i="10" s="1"/>
  <c r="H37" i="8"/>
  <c r="J32" i="8"/>
  <c r="J24" i="5" s="1"/>
  <c r="J25" i="8"/>
  <c r="J16" i="8"/>
  <c r="J19" i="5" s="1"/>
  <c r="J36" i="8"/>
  <c r="J20" i="8"/>
  <c r="J22" i="5" s="1"/>
  <c r="J18" i="8"/>
  <c r="J20" i="5" s="1"/>
  <c r="J3" i="10"/>
  <c r="J7" i="5"/>
  <c r="J11" i="9" s="1"/>
  <c r="J12" i="9" s="1"/>
  <c r="J13" i="10" s="1"/>
  <c r="J17" i="7"/>
  <c r="J18" i="7"/>
  <c r="I8" i="9"/>
  <c r="I12" i="10" s="1"/>
  <c r="I37" i="8"/>
  <c r="I31" i="8"/>
  <c r="I23" i="5" s="1"/>
  <c r="I19" i="8"/>
  <c r="I21" i="5" s="1"/>
  <c r="I7" i="9"/>
  <c r="I11" i="10" s="1"/>
  <c r="J7" i="9"/>
  <c r="J11" i="10" s="1"/>
  <c r="I31" i="7"/>
  <c r="I33" i="7" s="1"/>
  <c r="I34" i="7" s="1"/>
  <c r="I4" i="10"/>
  <c r="I7" i="10" s="1"/>
  <c r="I25" i="5"/>
  <c r="F3" i="12"/>
  <c r="G2" i="12"/>
  <c r="H9" i="5"/>
  <c r="H21" i="7"/>
  <c r="H23" i="7" s="1"/>
  <c r="J26" i="6"/>
  <c r="J27" i="6" s="1"/>
  <c r="J22" i="6"/>
  <c r="J28" i="6" s="1"/>
  <c r="I8" i="5"/>
  <c r="E16" i="6"/>
  <c r="E24" i="6" s="1"/>
  <c r="E30" i="6"/>
  <c r="G5" i="6"/>
  <c r="H24" i="13"/>
  <c r="C40" i="7"/>
  <c r="C41" i="7"/>
  <c r="D31" i="7"/>
  <c r="G40" i="13"/>
  <c r="H40" i="13" s="1"/>
  <c r="H6" i="8" s="1"/>
  <c r="G2" i="13"/>
  <c r="F21" i="13"/>
  <c r="F30" i="13" s="1"/>
  <c r="F45" i="13" s="1"/>
  <c r="F15" i="8"/>
  <c r="G2" i="8"/>
  <c r="G11" i="6"/>
  <c r="F16" i="6"/>
  <c r="F24" i="6" s="1"/>
  <c r="E42" i="8"/>
  <c r="H25" i="13"/>
  <c r="I25" i="13" s="1"/>
  <c r="H23" i="13"/>
  <c r="H13" i="13"/>
  <c r="G7" i="7"/>
  <c r="G11" i="8"/>
  <c r="H47" i="13"/>
  <c r="G2" i="5"/>
  <c r="F10" i="5"/>
  <c r="F18" i="5" s="1"/>
  <c r="H32" i="13"/>
  <c r="G3" i="5"/>
  <c r="F5" i="8"/>
  <c r="G39" i="13"/>
  <c r="G38" i="13"/>
  <c r="H38" i="13" s="1"/>
  <c r="I38" i="13" s="1"/>
  <c r="J38" i="13" s="1"/>
  <c r="F4" i="8"/>
  <c r="F12" i="13"/>
  <c r="G12" i="13" s="1"/>
  <c r="F13" i="8"/>
  <c r="G49" i="13"/>
  <c r="G43" i="13"/>
  <c r="F9" i="8"/>
  <c r="F12" i="8"/>
  <c r="G48" i="13"/>
  <c r="G7" i="8"/>
  <c r="H41" i="13"/>
  <c r="J19" i="7" l="1"/>
  <c r="J4" i="10" s="1"/>
  <c r="J7" i="10" s="1"/>
  <c r="H33" i="7"/>
  <c r="H34" i="7" s="1"/>
  <c r="H15" i="10"/>
  <c r="F4" i="12" s="1"/>
  <c r="I14" i="5"/>
  <c r="I41" i="7"/>
  <c r="I40" i="7"/>
  <c r="I6" i="5"/>
  <c r="H23" i="8"/>
  <c r="H26" i="8" s="1"/>
  <c r="J8" i="9"/>
  <c r="J12" i="10" s="1"/>
  <c r="J37" i="8"/>
  <c r="J31" i="8"/>
  <c r="J23" i="5" s="1"/>
  <c r="J19" i="8"/>
  <c r="J21" i="5" s="1"/>
  <c r="J31" i="7"/>
  <c r="J33" i="7" s="1"/>
  <c r="J34" i="7" s="1"/>
  <c r="I26" i="5"/>
  <c r="I6" i="9" s="1"/>
  <c r="I10" i="10" s="1"/>
  <c r="G3" i="12"/>
  <c r="H2" i="12"/>
  <c r="H3" i="12" s="1"/>
  <c r="I9" i="5"/>
  <c r="I21" i="7"/>
  <c r="H4" i="6"/>
  <c r="I23" i="13"/>
  <c r="H5" i="6"/>
  <c r="I24" i="13"/>
  <c r="G11" i="7"/>
  <c r="I40" i="13"/>
  <c r="G6" i="8"/>
  <c r="D34" i="7"/>
  <c r="D16" i="13"/>
  <c r="E34" i="7"/>
  <c r="E16" i="13"/>
  <c r="H2" i="13"/>
  <c r="G21" i="13"/>
  <c r="G30" i="13" s="1"/>
  <c r="G45" i="13" s="1"/>
  <c r="G15" i="8"/>
  <c r="H2" i="8"/>
  <c r="H11" i="6"/>
  <c r="H6" i="6"/>
  <c r="H11" i="8"/>
  <c r="I47" i="13"/>
  <c r="G5" i="7"/>
  <c r="I13" i="13"/>
  <c r="H7" i="7"/>
  <c r="H12" i="13"/>
  <c r="G6" i="7"/>
  <c r="H2" i="5"/>
  <c r="I32" i="13"/>
  <c r="H3" i="5"/>
  <c r="J25" i="13"/>
  <c r="I6" i="6"/>
  <c r="F26" i="8"/>
  <c r="H48" i="13"/>
  <c r="G12" i="8"/>
  <c r="F5" i="7"/>
  <c r="H43" i="13"/>
  <c r="G9" i="8"/>
  <c r="H49" i="13"/>
  <c r="G13" i="8"/>
  <c r="F37" i="8"/>
  <c r="I41" i="13"/>
  <c r="H7" i="8"/>
  <c r="F6" i="7"/>
  <c r="G4" i="8"/>
  <c r="H39" i="13"/>
  <c r="G5" i="8"/>
  <c r="H14" i="5" l="1"/>
  <c r="H17" i="5" s="1"/>
  <c r="H41" i="7"/>
  <c r="H40" i="7"/>
  <c r="J25" i="5"/>
  <c r="J26" i="5" s="1"/>
  <c r="J6" i="9" s="1"/>
  <c r="J10" i="10" s="1"/>
  <c r="I23" i="7"/>
  <c r="I4" i="9"/>
  <c r="I8" i="10" s="1"/>
  <c r="I15" i="10" s="1"/>
  <c r="G4" i="12" s="1"/>
  <c r="J14" i="5"/>
  <c r="J41" i="7"/>
  <c r="J40" i="7"/>
  <c r="J6" i="5"/>
  <c r="J8" i="5" s="1"/>
  <c r="I23" i="8"/>
  <c r="I26" i="8" s="1"/>
  <c r="J9" i="5"/>
  <c r="J23" i="8" s="1"/>
  <c r="J26" i="8" s="1"/>
  <c r="J21" i="7"/>
  <c r="I4" i="6"/>
  <c r="J23" i="13"/>
  <c r="J4" i="6" s="1"/>
  <c r="J24" i="13"/>
  <c r="J5" i="6" s="1"/>
  <c r="I5" i="6"/>
  <c r="H11" i="7"/>
  <c r="J40" i="13"/>
  <c r="J6" i="8" s="1"/>
  <c r="I6" i="8"/>
  <c r="D40" i="7"/>
  <c r="D41" i="7"/>
  <c r="E40" i="7"/>
  <c r="E41" i="7"/>
  <c r="G16" i="13"/>
  <c r="F5" i="10"/>
  <c r="E4" i="11"/>
  <c r="L4" i="11" s="1"/>
  <c r="L5" i="11" s="1"/>
  <c r="L6" i="11" s="1"/>
  <c r="L7" i="11" s="1"/>
  <c r="I2" i="13"/>
  <c r="H21" i="13"/>
  <c r="H30" i="13" s="1"/>
  <c r="H45" i="13" s="1"/>
  <c r="I2" i="8"/>
  <c r="H15" i="8"/>
  <c r="J11" i="6"/>
  <c r="I11" i="6"/>
  <c r="I12" i="13"/>
  <c r="H6" i="7"/>
  <c r="J13" i="13"/>
  <c r="I7" i="7"/>
  <c r="H5" i="7"/>
  <c r="J47" i="13"/>
  <c r="I11" i="8"/>
  <c r="I2" i="5"/>
  <c r="I3" i="5"/>
  <c r="J32" i="13"/>
  <c r="J6" i="6"/>
  <c r="F18" i="13"/>
  <c r="J41" i="13"/>
  <c r="I7" i="8"/>
  <c r="H13" i="8"/>
  <c r="I49" i="13"/>
  <c r="I43" i="13"/>
  <c r="H9" i="8"/>
  <c r="I39" i="13"/>
  <c r="H5" i="8"/>
  <c r="H4" i="8"/>
  <c r="I48" i="13"/>
  <c r="H12" i="8"/>
  <c r="I13" i="5" l="1"/>
  <c r="I17" i="5" s="1"/>
  <c r="H39" i="8"/>
  <c r="J23" i="7"/>
  <c r="G8" i="12" s="1"/>
  <c r="J4" i="9"/>
  <c r="J8" i="10" s="1"/>
  <c r="J15" i="10" s="1"/>
  <c r="H4" i="12" s="1"/>
  <c r="I11" i="7"/>
  <c r="G10" i="7"/>
  <c r="H16" i="13"/>
  <c r="J2" i="13"/>
  <c r="J21" i="13" s="1"/>
  <c r="J30" i="13" s="1"/>
  <c r="J45" i="13" s="1"/>
  <c r="I21" i="13"/>
  <c r="I30" i="13" s="1"/>
  <c r="I45" i="13" s="1"/>
  <c r="G18" i="13"/>
  <c r="I15" i="8"/>
  <c r="J2" i="8"/>
  <c r="J15" i="8" s="1"/>
  <c r="J11" i="8"/>
  <c r="I5" i="7"/>
  <c r="J7" i="7"/>
  <c r="I6" i="7"/>
  <c r="J12" i="13"/>
  <c r="J2" i="5"/>
  <c r="J3" i="5"/>
  <c r="I4" i="8"/>
  <c r="F19" i="13"/>
  <c r="I5" i="8"/>
  <c r="J39" i="13"/>
  <c r="J43" i="13"/>
  <c r="I9" i="8"/>
  <c r="I13" i="8"/>
  <c r="J49" i="13"/>
  <c r="J7" i="8"/>
  <c r="J48" i="13"/>
  <c r="I12" i="8"/>
  <c r="F10" i="7"/>
  <c r="E12" i="11"/>
  <c r="F12" i="7"/>
  <c r="J13" i="5" l="1"/>
  <c r="J17" i="5" s="1"/>
  <c r="J39" i="8" s="1"/>
  <c r="I39" i="8"/>
  <c r="C7" i="12"/>
  <c r="G7" i="12" s="1"/>
  <c r="G9" i="12" s="1"/>
  <c r="G15" i="12" s="1"/>
  <c r="G18" i="12" s="1"/>
  <c r="I4" i="12"/>
  <c r="C8" i="12" s="1"/>
  <c r="J11" i="7"/>
  <c r="H10" i="7"/>
  <c r="I16" i="13"/>
  <c r="G12" i="7"/>
  <c r="G19" i="13"/>
  <c r="H18" i="13"/>
  <c r="J6" i="7"/>
  <c r="J5" i="7"/>
  <c r="J9" i="8"/>
  <c r="M4" i="11"/>
  <c r="J13" i="8"/>
  <c r="J12" i="8"/>
  <c r="J5" i="8"/>
  <c r="F13" i="7"/>
  <c r="J4" i="8"/>
  <c r="C9" i="12" l="1"/>
  <c r="C15" i="12" s="1"/>
  <c r="C18" i="12" s="1"/>
  <c r="H26" i="12"/>
  <c r="I5" i="3"/>
  <c r="G13" i="7"/>
  <c r="I18" i="13"/>
  <c r="H19" i="13"/>
  <c r="H12" i="7"/>
  <c r="J16" i="13"/>
  <c r="J10" i="7" s="1"/>
  <c r="I10" i="7"/>
  <c r="M5" i="11"/>
  <c r="I6" i="3" l="1"/>
  <c r="L5" i="3"/>
  <c r="L6" i="3" s="1"/>
  <c r="C26" i="12"/>
  <c r="J5" i="3"/>
  <c r="J6" i="3" s="1"/>
  <c r="I19" i="13"/>
  <c r="H13" i="7"/>
  <c r="J18" i="13"/>
  <c r="I12" i="7"/>
  <c r="G3" i="9"/>
  <c r="G9" i="9" s="1"/>
  <c r="G19" i="9" s="1"/>
  <c r="G22" i="9" s="1"/>
  <c r="G23" i="9" s="1"/>
  <c r="M6" i="11"/>
  <c r="M7" i="11"/>
  <c r="G30" i="8" l="1"/>
  <c r="G33" i="8" s="1"/>
  <c r="G40" i="8" s="1"/>
  <c r="G17" i="8"/>
  <c r="J12" i="7"/>
  <c r="J19" i="13"/>
  <c r="J13" i="7" s="1"/>
  <c r="I13" i="7"/>
  <c r="M9" i="11"/>
  <c r="M11" i="11" s="1"/>
  <c r="E8" i="11" s="1"/>
  <c r="E13" i="11" s="1"/>
  <c r="H3" i="9"/>
  <c r="H9" i="9" s="1"/>
  <c r="H19" i="9" s="1"/>
  <c r="H22" i="9" s="1"/>
  <c r="H21" i="9" l="1"/>
  <c r="H23" i="9" s="1"/>
  <c r="G31" i="6"/>
  <c r="G33" i="6" s="1"/>
  <c r="G21" i="8"/>
  <c r="G28" i="8" s="1"/>
  <c r="G42" i="8" s="1"/>
  <c r="J3" i="9"/>
  <c r="J9" i="9" s="1"/>
  <c r="J19" i="9" s="1"/>
  <c r="J22" i="9" s="1"/>
  <c r="I3" i="9"/>
  <c r="I9" i="9" s="1"/>
  <c r="I19" i="9" s="1"/>
  <c r="I22" i="9" s="1"/>
  <c r="H30" i="8" l="1"/>
  <c r="H33" i="8" s="1"/>
  <c r="H40" i="8" s="1"/>
  <c r="H17" i="8"/>
  <c r="I21" i="9" l="1"/>
  <c r="I23" i="9" s="1"/>
  <c r="H31" i="6"/>
  <c r="H33" i="6" s="1"/>
  <c r="H21" i="8"/>
  <c r="H28" i="8" s="1"/>
  <c r="H42" i="8" s="1"/>
  <c r="I30" i="8" l="1"/>
  <c r="I33" i="8" s="1"/>
  <c r="I40" i="8" s="1"/>
  <c r="I17" i="8"/>
  <c r="J21" i="9" l="1"/>
  <c r="J23" i="9" s="1"/>
  <c r="I31" i="6"/>
  <c r="I33" i="6" s="1"/>
  <c r="I21" i="8"/>
  <c r="I28" i="8" s="1"/>
  <c r="I42" i="8" s="1"/>
  <c r="J30" i="8" l="1"/>
  <c r="J33" i="8" s="1"/>
  <c r="J40" i="8" s="1"/>
  <c r="J17" i="8"/>
  <c r="J31" i="6" l="1"/>
  <c r="J33" i="6" s="1"/>
  <c r="J21" i="8"/>
  <c r="J28" i="8" s="1"/>
  <c r="J42" i="8" s="1"/>
  <c r="F10" i="13"/>
  <c r="F4" i="7" l="1"/>
  <c r="F16" i="7" s="1"/>
  <c r="F17" i="7" l="1"/>
  <c r="F19" i="7" s="1"/>
  <c r="F3" i="10"/>
  <c r="F18" i="7"/>
  <c r="F31" i="7" l="1"/>
  <c r="F33" i="7" s="1"/>
  <c r="F34" i="7" s="1"/>
  <c r="F4" i="10"/>
  <c r="F7" i="10" s="1"/>
  <c r="F15" i="10" s="1"/>
  <c r="F3" i="9" l="1"/>
  <c r="F9" i="9" s="1"/>
  <c r="F19" i="9" s="1"/>
  <c r="F22" i="9" s="1"/>
  <c r="F23" i="9" s="1"/>
  <c r="F14" i="5"/>
  <c r="F17" i="5" s="1"/>
  <c r="F39" i="8" s="1"/>
  <c r="F41" i="7"/>
  <c r="F40" i="7"/>
  <c r="F17" i="8" l="1"/>
  <c r="F30" i="8"/>
  <c r="F33" i="8" s="1"/>
  <c r="F40" i="8" s="1"/>
  <c r="F21" i="8" l="1"/>
  <c r="F28" i="8" s="1"/>
  <c r="F42" i="8" s="1"/>
  <c r="F31" i="6"/>
  <c r="F3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<sst xmlns="http://schemas.openxmlformats.org/spreadsheetml/2006/main" count="341" uniqueCount="201">
  <si>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</si>
  <si>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</si>
  <si>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</si>
  <si>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</si>
  <si>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</si>
  <si>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</si>
  <si>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</si>
  <si>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</si>
  <si>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</si>
  <si>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</si>
  <si>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</si>
  <si>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</si>
  <si>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</si>
  <si>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</si>
  <si>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</si>
  <si>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</si>
  <si>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</si>
  <si>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</si>
  <si>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</si>
  <si>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</si>
  <si>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</si>
  <si>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Dividends paid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</si>
  <si>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</si>
  <si>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</si>
  <si>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</si>
  <si>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</si>
  <si>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</si>
  <si>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</si>
  <si>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</si>
  <si>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</si>
  <si>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</si>
  <si>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</si>
  <si>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</si>
  <si>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</si>
  <si>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</si>
  <si>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</si>
  <si>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</si>
  <si>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</si>
  <si>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</si>
  <si>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</si>
  <si>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</si>
  <si>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</si>
  <si>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</si>
  <si>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</si>
  <si>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</si>
  <si>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</si>
  <si>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</si>
  <si>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</si>
  <si>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</si>
  <si>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</si>
  <si>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</si>
  <si>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</si>
  <si>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</si>
  <si>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</si>
  <si>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</si>
  <si>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</si>
  <si>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</si>
  <si>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</si>
  <si>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</si>
  <si>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</si>
  <si>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Dividends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</si>
  <si>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</si>
  <si>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</si>
  <si>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</si>
  <si>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</si>
  <si>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</si>
  <si>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</si>
  <si>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</si>
  <si>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</si>
  <si>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</si>
  <si>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</si>
  <si>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</si>
  <si>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</si>
  <si>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</si>
  <si>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</si>
  <si>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</si>
  <si>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</si>
  <si>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</si>
  <si>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</si>
  <si>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</si>
  <si>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</si>
  <si>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</si>
  <si>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</si>
  <si>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</si>
  <si>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</si>
  <si>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</si>
  <si>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</si>
  <si>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</si>
  <si>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</si>
  <si>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</si>
  <si>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</si>
  <si>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</si>
  <si>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</si>
  <si>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</si>
  <si>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</si>
  <si>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</si>
  <si>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</si>
  <si>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</si>
  <si>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</si>
  <si>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</si>
  <si>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</si>
  <si>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</si>
  <si>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</si>
  <si>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</si>
  <si>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</si>
  <si>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</si>
  <si>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</si>
  <si>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</si>
  <si>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</si>
  <si>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</si>
  <si>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</si>
  <si>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</si>
  <si>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</si>
  <si>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</si>
  <si>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</si>
  <si>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</si>
  <si>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</si>
  <si>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</si>
  <si>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</si>
  <si>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</si>
  <si>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</si>
  <si>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</si>
  <si>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</si>
  <si>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</si>
  <si>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</si>
  <si>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</si>
  <si>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</si>
  <si>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</si>
  <si>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</si>
  <si>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</si>
  <si>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</si>
  <si>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</si>
  <si>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</si>
  <si>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</si>
  <si>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</si>
  <si>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</si>
  <si>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</si>
  <si>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</si>
  <si>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</si>
  <si>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</si>
  <si>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</si>
  <si>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Dividend Payout Rate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</si>
  <si>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</si>
  <si>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</si>
  <si>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</si>
  <si>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</si>
  <si>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</si>
  <si>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</si>
  <si>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</si>
  <si>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</si>
  <si>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</si>
  <si>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</si>
  <si>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</si>
  <si>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</si>
  <si>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</si>
  <si>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</si>
  <si>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</si>
  <si>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</si>
  <si>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</si>
  <si>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</si>
  <si>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</si>
  <si>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</si>
  <si>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</si>
  <si>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</si>
  <si>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</si>
  <si>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</si>
  <si>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</si>
  <si>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</si>
  <si>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</si>
  <si>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</si>
  <si>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</si>
  <si>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</si>
  <si>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</si>
  <si>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</si>
  <si>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Diluted s/o</t>
  </si>
  <si>
    <t>Cash</t>
  </si>
  <si>
    <t>Implied Price</t>
  </si>
  <si>
    <t>Difference</t>
  </si>
  <si>
    <t>Dividend payout rate</t>
  </si>
  <si>
    <t>Cost of debt</t>
  </si>
  <si>
    <t>Perpetuity</t>
  </si>
  <si>
    <t>Terminal Mult</t>
  </si>
  <si>
    <t>Model Details</t>
  </si>
  <si>
    <t>Operating Case One</t>
  </si>
  <si>
    <t>Discount Factor</t>
  </si>
  <si>
    <t>PV FCF</t>
  </si>
  <si>
    <t>Cheesecake Factory inc.</t>
  </si>
  <si>
    <t>(inc) / dec in LT assets</t>
  </si>
  <si>
    <t>inc / (dec) in LT liabilities</t>
  </si>
  <si>
    <t>CFFO</t>
  </si>
  <si>
    <t>CFFI</t>
  </si>
  <si>
    <t>Shares</t>
  </si>
  <si>
    <t>CFFF</t>
  </si>
  <si>
    <t>Net changes in cash</t>
  </si>
  <si>
    <t>Beginning cash</t>
  </si>
  <si>
    <t>Ending Cash</t>
  </si>
  <si>
    <t>LTGR</t>
  </si>
  <si>
    <t>Exit mult.</t>
  </si>
  <si>
    <t>DDM</t>
  </si>
  <si>
    <t>Average</t>
  </si>
  <si>
    <t>FY dividend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</si>
</sst>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  <numFmt numFmtId="187" formatCode="&quot;$&quot;#,##0"/>
  </numFmts>
  <fonts count="7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b/>
      <i/>
      <sz val="11"/>
      <color rgb="FF34A853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286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69" fontId="39" fillId="0" borderId="18" xfId="4" applyFont="1" applyFill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75" fontId="33" fillId="34" borderId="0" xfId="0" applyNumberFormat="1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4" applyNumberFormat="1" applyFont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75" fontId="33" fillId="34" borderId="0" xfId="52" applyNumberFormat="1" applyFont="1" applyFill="1" applyBorder="1" applyAlignment="1">
      <alignment horizontal="right" vertical="center"/>
    </xf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9" fontId="39" fillId="0" borderId="0" xfId="4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166" fontId="38" fillId="0" borderId="0" xfId="57" applyFont="1" applyFill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67" fontId="56" fillId="0" borderId="0" xfId="3" applyNumberFormat="1" applyFont="1" applyFill="1" applyBorder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7" fontId="56" fillId="0" borderId="0" xfId="3" applyNumberFormat="1" applyFont="1" applyFill="1" applyBorder="1"/>
    <xf numFmtId="173" fontId="56" fillId="0" borderId="0" xfId="0" applyNumberFormat="1" applyFont="1"/>
    <xf numFmtId="167" fontId="57" fillId="0" borderId="0" xfId="0" applyFont="1"/>
    <xf numFmtId="173" fontId="56" fillId="40" borderId="1" xfId="0" applyNumberFormat="1" applyFont="1" applyFill="1" applyBorder="1"/>
    <xf numFmtId="0" fontId="33" fillId="0" borderId="0" xfId="0" applyNumberFormat="1" applyFont="1"/>
    <xf numFmtId="167" fontId="50" fillId="0" borderId="0" xfId="0" applyFont="1"/>
    <xf numFmtId="167" fontId="30" fillId="0" borderId="0" xfId="0" applyFont="1"/>
    <xf numFmtId="0" fontId="33" fillId="0" borderId="0" xfId="52" applyNumberFormat="1" applyFont="1" applyFill="1" applyBorder="1" applyAlignment="1">
      <alignment horizontal="right" vertical="center"/>
    </xf>
    <xf numFmtId="166" fontId="1" fillId="0" borderId="0" xfId="57" applyFont="1" applyFill="1" applyBorder="1"/>
    <xf numFmtId="169" fontId="67" fillId="0" borderId="0" xfId="3" applyNumberFormat="1" applyFont="1" applyFill="1" applyBorder="1"/>
    <xf numFmtId="177" fontId="67" fillId="0" borderId="0" xfId="3" applyNumberFormat="1" applyFont="1" applyFill="1" applyBorder="1"/>
    <xf numFmtId="167" fontId="67" fillId="0" borderId="0" xfId="3" applyNumberFormat="1" applyFont="1" applyFill="1" applyBorder="1"/>
    <xf numFmtId="174" fontId="45" fillId="0" borderId="0" xfId="0" applyNumberFormat="1" applyFont="1"/>
    <xf numFmtId="0" fontId="33" fillId="0" borderId="0" xfId="0" applyNumberFormat="1" applyFont="1" applyAlignment="1">
      <alignment horizontal="right"/>
    </xf>
    <xf numFmtId="179" fontId="39" fillId="0" borderId="0" xfId="4" applyNumberFormat="1" applyFont="1" applyFill="1" applyBorder="1"/>
    <xf numFmtId="167" fontId="39" fillId="0" borderId="0" xfId="4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Continuous"/>
    </xf>
    <xf numFmtId="166" fontId="39" fillId="0" borderId="0" xfId="59" applyFont="1" applyAlignment="1" applyProtection="1">
      <alignment horizontal="center"/>
    </xf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0" fontId="39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2" fontId="39" fillId="0" borderId="0" xfId="0" applyNumberFormat="1" applyFont="1"/>
    <xf numFmtId="2" fontId="56" fillId="33" borderId="1" xfId="3" applyNumberFormat="1" applyFont="1"/>
    <xf numFmtId="2" fontId="56" fillId="0" borderId="0" xfId="3" applyNumberFormat="1" applyFont="1" applyFill="1" applyBorder="1"/>
    <xf numFmtId="2" fontId="45" fillId="0" borderId="0" xfId="0" applyNumberFormat="1" applyFont="1"/>
    <xf numFmtId="2" fontId="39" fillId="0" borderId="18" xfId="0" applyNumberFormat="1" applyFont="1" applyBorder="1"/>
    <xf numFmtId="2" fontId="67" fillId="33" borderId="1" xfId="3" applyNumberFormat="1" applyFont="1"/>
    <xf numFmtId="2" fontId="67" fillId="0" borderId="0" xfId="3" applyNumberFormat="1" applyFont="1" applyFill="1" applyBorder="1"/>
    <xf numFmtId="2" fontId="38" fillId="0" borderId="0" xfId="57" applyNumberFormat="1" applyFont="1" applyBorder="1"/>
    <xf numFmtId="2" fontId="38" fillId="0" borderId="18" xfId="57" applyNumberFormat="1" applyFont="1" applyBorder="1"/>
    <xf numFmtId="9" fontId="30" fillId="0" borderId="0" xfId="0" applyNumberFormat="1" applyFont="1"/>
    <xf numFmtId="2" fontId="38" fillId="0" borderId="15" xfId="57" applyNumberFormat="1" applyFont="1" applyBorder="1"/>
    <xf numFmtId="166" fontId="39" fillId="0" borderId="0" xfId="57" applyFont="1" applyFill="1"/>
    <xf numFmtId="187" fontId="39" fillId="0" borderId="0" xfId="59" applyNumberFormat="1" applyFont="1" applyAlignment="1" applyProtection="1">
      <alignment horizontal="center"/>
    </xf>
    <xf numFmtId="187" fontId="39" fillId="0" borderId="0" xfId="0" applyNumberFormat="1" applyFont="1" applyAlignment="1">
      <alignment horizontal="center"/>
    </xf>
    <xf numFmtId="187" fontId="45" fillId="0" borderId="0" xfId="0" applyNumberFormat="1" applyFont="1" applyAlignment="1">
      <alignment horizontal="center"/>
    </xf>
    <xf numFmtId="180" fontId="45" fillId="0" borderId="0" xfId="0" applyNumberFormat="1" applyFont="1" applyAlignment="1">
      <alignment horizontal="center"/>
    </xf>
    <xf numFmtId="187" fontId="45" fillId="0" borderId="0" xfId="59" applyNumberFormat="1" applyFont="1" applyAlignment="1" applyProtection="1">
      <alignment horizontal="center"/>
    </xf>
    <xf numFmtId="187" fontId="45" fillId="0" borderId="0" xfId="4" applyNumberFormat="1" applyFont="1" applyFill="1" applyBorder="1" applyAlignment="1" applyProtection="1">
      <alignment horizontal="center"/>
    </xf>
    <xf numFmtId="176" fontId="39" fillId="0" borderId="0" xfId="59" applyNumberFormat="1" applyFont="1" applyAlignment="1" applyProtection="1">
      <alignment horizontal="center"/>
    </xf>
    <xf numFmtId="10" fontId="70" fillId="33" borderId="1" xfId="3" applyNumberFormat="1" applyFont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4A853"/>
      <color rgb="FF44546A"/>
      <color rgb="FFEA4335"/>
      <color rgb="FF5F6368"/>
      <color rgb="FF4472C4"/>
      <color rgb="FFFBBC05"/>
      <color rgb="FF0000FF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topLeftCell="B1" zoomScaleNormal="100" workbookViewId="0">
      <selection activeCell="B6" sqref="B6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22.42578125" style="4" bestFit="1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2" width="15.7109375" style="4" customWidth="1"/>
    <col min="13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9" customFormat="1" ht="19.5" x14ac:dyDescent="0.3">
      <c r="A1" s="255" t="str">
        <f>CoName</f>
        <v>Cheesecake Factory inc.</v>
      </c>
      <c r="B1" s="2"/>
      <c r="C1" s="2"/>
      <c r="D1" s="154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s="15" customFormat="1" x14ac:dyDescent="0.25">
      <c r="A2" s="65" t="s">
        <v>182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4" spans="1:15" x14ac:dyDescent="0.25">
      <c r="B4" s="4" t="s">
        <v>3</v>
      </c>
      <c r="C4" s="51" t="s">
        <v>186</v>
      </c>
      <c r="E4" s="4" t="s">
        <v>169</v>
      </c>
      <c r="F4" s="223">
        <v>47</v>
      </c>
      <c r="H4" s="170" t="s">
        <v>183</v>
      </c>
      <c r="I4" s="169" t="s">
        <v>181</v>
      </c>
      <c r="J4" s="169" t="s">
        <v>180</v>
      </c>
      <c r="K4" s="169" t="s">
        <v>198</v>
      </c>
      <c r="L4" s="169" t="s">
        <v>199</v>
      </c>
    </row>
    <row r="5" spans="1:15" x14ac:dyDescent="0.25">
      <c r="B5" s="4" t="s">
        <v>4</v>
      </c>
      <c r="C5" s="52">
        <v>247.43</v>
      </c>
      <c r="E5" s="4" t="s">
        <v>174</v>
      </c>
      <c r="F5" s="160">
        <v>49.841700000000003</v>
      </c>
      <c r="H5" s="169" t="s">
        <v>176</v>
      </c>
      <c r="I5" s="230">
        <f>'DCF Model'!G18</f>
        <v>107.85872806908803</v>
      </c>
      <c r="J5" s="229">
        <f>'DCF Model'!C18</f>
        <v>59.266135757407078</v>
      </c>
      <c r="K5" s="229">
        <f>'DCF Model'!K11</f>
        <v>39.715901400988265</v>
      </c>
      <c r="L5" s="229">
        <f>AVERAGE(I5:K5)</f>
        <v>68.946921742494453</v>
      </c>
    </row>
    <row r="6" spans="1:15" x14ac:dyDescent="0.25">
      <c r="B6" s="4" t="s">
        <v>5</v>
      </c>
      <c r="C6" s="51" t="s">
        <v>9</v>
      </c>
      <c r="E6" s="4" t="s">
        <v>104</v>
      </c>
      <c r="F6" s="160">
        <f>F5*F4</f>
        <v>2342.5599000000002</v>
      </c>
      <c r="H6" s="169" t="s">
        <v>177</v>
      </c>
      <c r="I6" s="285">
        <f>I5/$F$4-1</f>
        <v>1.2948665546614473</v>
      </c>
      <c r="J6" s="285">
        <f>J5/$F$4-1</f>
        <v>0.26098161185972502</v>
      </c>
      <c r="K6" s="224">
        <f t="shared" ref="K6:L6" si="0">K5/$F$4-1</f>
        <v>-0.15498082125556878</v>
      </c>
      <c r="L6" s="285">
        <f t="shared" si="0"/>
        <v>0.46695578175520103</v>
      </c>
    </row>
    <row r="7" spans="1:15" x14ac:dyDescent="0.25">
      <c r="B7" s="4" t="s">
        <v>6</v>
      </c>
      <c r="C7" s="51" t="s">
        <v>8</v>
      </c>
      <c r="E7" s="4" t="s">
        <v>175</v>
      </c>
      <c r="F7" s="51">
        <f>189.978</f>
        <v>189.97800000000001</v>
      </c>
    </row>
    <row r="8" spans="1:15" x14ac:dyDescent="0.25">
      <c r="B8" s="4" t="s">
        <v>2</v>
      </c>
      <c r="C8" s="51" t="s">
        <v>87</v>
      </c>
      <c r="E8" s="4" t="s">
        <v>146</v>
      </c>
      <c r="F8" s="51">
        <f>560.441+68.715</f>
        <v>629.15600000000006</v>
      </c>
    </row>
    <row r="9" spans="1:15" x14ac:dyDescent="0.25">
      <c r="B9" s="4" t="s">
        <v>7</v>
      </c>
      <c r="C9" s="51">
        <v>0</v>
      </c>
      <c r="E9" s="4" t="s">
        <v>118</v>
      </c>
      <c r="F9" s="51">
        <f>F6-F7+F8</f>
        <v>2781.7379000000001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M2"/>
  <sheetViews>
    <sheetView showGridLines="0" workbookViewId="0">
      <selection activeCell="G52" sqref="G52"/>
    </sheetView>
  </sheetViews>
  <sheetFormatPr defaultColWidth="11.7109375" defaultRowHeight="15" x14ac:dyDescent="0.25"/>
  <cols>
    <col min="1" max="2" width="11.7109375" style="4" customWidth="1"/>
    <col min="3" max="16384" width="11.7109375" style="4"/>
  </cols>
  <sheetData>
    <row r="1" spans="1:13" ht="19.5" x14ac:dyDescent="0.3">
      <c r="A1" s="255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x14ac:dyDescent="0.25">
      <c r="A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2"/>
  <sheetViews>
    <sheetView showGridLines="0" zoomScaleNormal="100" workbookViewId="0">
      <selection activeCell="J7" sqref="J7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255" t="str">
        <f>CoName</f>
        <v>Cheesecake Factory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20" x14ac:dyDescent="0.25">
      <c r="A2" s="64" t="s">
        <v>126</v>
      </c>
      <c r="B2" s="263" t="s">
        <v>127</v>
      </c>
      <c r="C2" s="263">
        <v>2022</v>
      </c>
      <c r="D2" s="263">
        <f>C2+1</f>
        <v>2023</v>
      </c>
      <c r="E2" s="263">
        <f t="shared" ref="E2:J2" si="0">D2+1</f>
        <v>2024</v>
      </c>
      <c r="F2" s="263">
        <f t="shared" si="0"/>
        <v>2025</v>
      </c>
      <c r="G2" s="263">
        <f t="shared" si="0"/>
        <v>2026</v>
      </c>
      <c r="H2" s="263">
        <f t="shared" si="0"/>
        <v>2027</v>
      </c>
      <c r="I2" s="263">
        <f t="shared" si="0"/>
        <v>2028</v>
      </c>
      <c r="J2" s="263">
        <f t="shared" si="0"/>
        <v>2029</v>
      </c>
      <c r="K2" s="196"/>
      <c r="L2" s="196"/>
    </row>
    <row r="3" spans="1:20" x14ac:dyDescent="0.25">
      <c r="A3" s="86"/>
      <c r="B3" s="159"/>
      <c r="C3" s="196"/>
      <c r="D3" s="196"/>
      <c r="E3" s="196"/>
      <c r="F3" s="196"/>
      <c r="G3" s="196"/>
      <c r="H3" s="196"/>
      <c r="I3" s="196"/>
      <c r="J3" s="196"/>
      <c r="K3" s="196"/>
      <c r="L3" s="196"/>
    </row>
    <row r="4" spans="1:20" x14ac:dyDescent="0.25">
      <c r="B4" s="94" t="s">
        <v>133</v>
      </c>
      <c r="C4"/>
      <c r="D4" s="260">
        <v>1</v>
      </c>
      <c r="E4"/>
      <c r="F4"/>
      <c r="G4" s="89"/>
      <c r="H4" s="89"/>
      <c r="I4" s="89"/>
      <c r="J4" s="89"/>
      <c r="K4" s="89"/>
      <c r="M4" s="231"/>
      <c r="N4" s="232"/>
      <c r="O4" s="232"/>
    </row>
    <row r="5" spans="1:20" x14ac:dyDescent="0.25">
      <c r="B5" s="88"/>
      <c r="C5" s="90"/>
      <c r="D5" s="113" t="s">
        <v>128</v>
      </c>
      <c r="E5" s="91"/>
      <c r="K5" s="89"/>
      <c r="M5" s="233"/>
      <c r="N5" s="234"/>
      <c r="O5" s="234"/>
    </row>
    <row r="6" spans="1:20" x14ac:dyDescent="0.25">
      <c r="B6" s="92" t="s">
        <v>134</v>
      </c>
      <c r="D6" s="101">
        <v>0</v>
      </c>
      <c r="E6" s="93"/>
      <c r="F6" s="101">
        <v>4.3999999999999997E-2</v>
      </c>
      <c r="G6" s="101">
        <v>4.5999999999999999E-2</v>
      </c>
      <c r="H6" s="101">
        <v>0.05</v>
      </c>
      <c r="I6" s="101">
        <v>0.04</v>
      </c>
      <c r="J6" s="101">
        <v>0.03</v>
      </c>
      <c r="K6" s="171"/>
      <c r="M6" s="171"/>
      <c r="N6" s="235"/>
      <c r="O6" s="235"/>
      <c r="P6" s="235"/>
      <c r="Q6" s="235"/>
      <c r="R6" s="235"/>
      <c r="S6" s="235"/>
      <c r="T6" s="235"/>
    </row>
    <row r="7" spans="1:20" x14ac:dyDescent="0.25">
      <c r="B7" s="4" t="s">
        <v>130</v>
      </c>
      <c r="D7" s="101">
        <v>2.5000000000000001E-2</v>
      </c>
      <c r="E7" s="93"/>
      <c r="F7" s="101">
        <f>F6+$D$7</f>
        <v>6.9000000000000006E-2</v>
      </c>
      <c r="G7" s="101">
        <f t="shared" ref="G7:J7" si="1">G6+$D$7</f>
        <v>7.1000000000000008E-2</v>
      </c>
      <c r="H7" s="101">
        <f t="shared" si="1"/>
        <v>7.5000000000000011E-2</v>
      </c>
      <c r="I7" s="101">
        <f t="shared" si="1"/>
        <v>6.5000000000000002E-2</v>
      </c>
      <c r="J7" s="101">
        <f t="shared" si="1"/>
        <v>5.5E-2</v>
      </c>
      <c r="K7" s="171"/>
      <c r="M7" s="171"/>
      <c r="N7" s="171"/>
      <c r="O7" s="171"/>
      <c r="P7" s="171"/>
      <c r="Q7" s="171"/>
      <c r="R7" s="171"/>
      <c r="S7" s="171"/>
      <c r="T7" s="171"/>
    </row>
    <row r="8" spans="1:20" x14ac:dyDescent="0.25">
      <c r="B8" s="4" t="s">
        <v>129</v>
      </c>
      <c r="D8" s="101">
        <v>-2.5000000000000001E-2</v>
      </c>
      <c r="E8" s="93"/>
      <c r="F8" s="101">
        <f>F6+$D$8</f>
        <v>1.8999999999999996E-2</v>
      </c>
      <c r="G8" s="101">
        <f t="shared" ref="G8:J8" si="2">G6+$D$8</f>
        <v>2.0999999999999998E-2</v>
      </c>
      <c r="H8" s="101">
        <f t="shared" si="2"/>
        <v>2.5000000000000001E-2</v>
      </c>
      <c r="I8" s="101">
        <f t="shared" si="2"/>
        <v>1.4999999999999999E-2</v>
      </c>
      <c r="J8" s="101">
        <f t="shared" si="2"/>
        <v>4.9999999999999975E-3</v>
      </c>
      <c r="K8" s="171"/>
    </row>
    <row r="9" spans="1:20" x14ac:dyDescent="0.25">
      <c r="K9" s="30"/>
      <c r="L9" s="30"/>
      <c r="M9" s="171"/>
      <c r="N9" s="171"/>
    </row>
    <row r="10" spans="1:20" x14ac:dyDescent="0.25">
      <c r="B10" s="118" t="s">
        <v>151</v>
      </c>
      <c r="C10" s="191"/>
      <c r="D10" s="275">
        <f>IncState!D16/IncState!C16-1</f>
        <v>4.1263017679825653E-2</v>
      </c>
      <c r="E10" s="192">
        <f>IncState!E16/IncState!D16-1</f>
        <v>4.1343218491059597E-2</v>
      </c>
      <c r="F10" s="105">
        <f t="shared" ref="F10" si="3">CHOOSE(ScenarioREV,F6,F7,F8)</f>
        <v>4.3999999999999997E-2</v>
      </c>
      <c r="G10" s="105">
        <f t="shared" ref="G10:J10" si="4">CHOOSE(ScenarioREV,G6,G7,G8)</f>
        <v>4.5999999999999999E-2</v>
      </c>
      <c r="H10" s="105">
        <f t="shared" si="4"/>
        <v>0.05</v>
      </c>
      <c r="I10" s="105">
        <f t="shared" si="4"/>
        <v>0.04</v>
      </c>
      <c r="J10" s="105">
        <f t="shared" si="4"/>
        <v>0.03</v>
      </c>
      <c r="K10" s="29"/>
      <c r="L10" s="29"/>
      <c r="M10" s="171"/>
      <c r="N10" s="171"/>
    </row>
    <row r="11" spans="1:20" x14ac:dyDescent="0.25">
      <c r="B11" s="4" t="s">
        <v>135</v>
      </c>
      <c r="C11" s="8">
        <f>IncState!C17/IncState!C16</f>
        <v>0.87928402760959079</v>
      </c>
      <c r="D11" s="8">
        <f>IncState!D17/IncState!D16</f>
        <v>0.85878761447884877</v>
      </c>
      <c r="E11" s="8">
        <f>IncState!E17/IncState!E16</f>
        <v>0.84568780188178805</v>
      </c>
      <c r="F11" s="101">
        <f>E11-0.005</f>
        <v>0.84068780188178804</v>
      </c>
      <c r="G11" s="101">
        <f t="shared" ref="G11:J11" si="5">F11-0.005</f>
        <v>0.83568780188178804</v>
      </c>
      <c r="H11" s="101">
        <f t="shared" si="5"/>
        <v>0.83068780188178803</v>
      </c>
      <c r="I11" s="101">
        <f t="shared" si="5"/>
        <v>0.82568780188178803</v>
      </c>
      <c r="J11" s="101">
        <f t="shared" si="5"/>
        <v>0.82068780188178803</v>
      </c>
      <c r="K11" s="171"/>
      <c r="L11" s="171"/>
      <c r="M11" s="171"/>
      <c r="N11" s="171"/>
    </row>
    <row r="12" spans="1:20" x14ac:dyDescent="0.25">
      <c r="B12" s="4" t="s">
        <v>45</v>
      </c>
      <c r="C12" s="8">
        <f>IncState!C18/IncState!C16</f>
        <v>9.5372063453620717E-2</v>
      </c>
      <c r="D12" s="8">
        <f>IncState!D18/IncState!D16</f>
        <v>9.8259921500218061E-2</v>
      </c>
      <c r="E12" s="8">
        <f>IncState!E18/IncState!E16</f>
        <v>9.9877711701147495E-2</v>
      </c>
      <c r="F12" s="101">
        <f>E12</f>
        <v>9.9877711701147495E-2</v>
      </c>
      <c r="G12" s="101">
        <f t="shared" ref="G12:J12" si="6">F12</f>
        <v>9.9877711701147495E-2</v>
      </c>
      <c r="H12" s="101">
        <f t="shared" si="6"/>
        <v>9.9877711701147495E-2</v>
      </c>
      <c r="I12" s="101">
        <f t="shared" si="6"/>
        <v>9.9877711701147495E-2</v>
      </c>
      <c r="J12" s="101">
        <f t="shared" si="6"/>
        <v>9.9877711701147495E-2</v>
      </c>
      <c r="K12" s="171"/>
      <c r="L12" s="171"/>
    </row>
    <row r="13" spans="1:20" x14ac:dyDescent="0.25">
      <c r="B13" s="4" t="s">
        <v>137</v>
      </c>
      <c r="C13" s="4">
        <f>IncState!C22</f>
        <v>0</v>
      </c>
      <c r="D13" s="4">
        <f>IncState!D22</f>
        <v>0</v>
      </c>
      <c r="E13" s="4">
        <f>IncState!E22</f>
        <v>0</v>
      </c>
      <c r="F13" s="102">
        <f>E13</f>
        <v>0</v>
      </c>
      <c r="G13" s="102">
        <f t="shared" ref="G13:J13" si="7">F13</f>
        <v>0</v>
      </c>
      <c r="H13" s="102">
        <f t="shared" si="7"/>
        <v>0</v>
      </c>
      <c r="I13" s="102">
        <f t="shared" si="7"/>
        <v>0</v>
      </c>
      <c r="J13" s="102">
        <f t="shared" si="7"/>
        <v>0</v>
      </c>
      <c r="K13" s="197"/>
      <c r="L13" s="197"/>
    </row>
    <row r="14" spans="1:20" x14ac:dyDescent="0.25">
      <c r="B14" s="4" t="s">
        <v>138</v>
      </c>
      <c r="C14" s="4">
        <f>IncState!C25</f>
        <v>-44.739999999999995</v>
      </c>
      <c r="D14" s="4">
        <f>IncState!D25</f>
        <v>-41.15</v>
      </c>
      <c r="E14" s="4">
        <f>IncState!E25</f>
        <v>-16.076000000000001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97"/>
      <c r="L14" s="197"/>
    </row>
    <row r="15" spans="1:20" x14ac:dyDescent="0.25">
      <c r="B15" s="4" t="s">
        <v>140</v>
      </c>
      <c r="C15" s="4">
        <f>IncState!C26</f>
        <v>-6.088000000000001</v>
      </c>
      <c r="D15" s="4">
        <f>IncState!D26</f>
        <v>-8.5519999999999996</v>
      </c>
      <c r="E15" s="4">
        <f>IncState!E26</f>
        <v>-7.27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97"/>
      <c r="L15" s="197"/>
    </row>
    <row r="16" spans="1:20" x14ac:dyDescent="0.25">
      <c r="B16" s="4" t="s">
        <v>48</v>
      </c>
      <c r="C16" s="8">
        <f>IncState!C33/IncState!C31</f>
        <v>-0.1458654120330769</v>
      </c>
      <c r="D16" s="8">
        <f>IncState!D33/IncState!D31</f>
        <v>-1.0363216395119937E-2</v>
      </c>
      <c r="E16" s="8">
        <f>IncState!E33/IncState!E31</f>
        <v>8.8313778905984047E-2</v>
      </c>
      <c r="F16" s="101">
        <v>0.22</v>
      </c>
      <c r="G16" s="101">
        <f t="shared" ref="G16:J17" si="8">F16</f>
        <v>0.22</v>
      </c>
      <c r="H16" s="101">
        <f t="shared" si="8"/>
        <v>0.22</v>
      </c>
      <c r="I16" s="101">
        <f t="shared" si="8"/>
        <v>0.22</v>
      </c>
      <c r="J16" s="101">
        <f t="shared" si="8"/>
        <v>0.22</v>
      </c>
      <c r="K16" s="171"/>
      <c r="L16" s="171"/>
    </row>
    <row r="17" spans="1:12" s="266" customFormat="1" x14ac:dyDescent="0.25">
      <c r="B17" s="266" t="s">
        <v>141</v>
      </c>
      <c r="C17" s="266">
        <f>IncState!C35</f>
        <v>0.84857974505670986</v>
      </c>
      <c r="D17" s="266">
        <f>IncState!D35</f>
        <v>1.1010470987501035</v>
      </c>
      <c r="E17" s="266">
        <f>IncState!E35</f>
        <v>1.1098997677289753</v>
      </c>
      <c r="F17" s="267">
        <f>E17+0.2</f>
        <v>1.3098997677289752</v>
      </c>
      <c r="G17" s="267">
        <f t="shared" ref="G17:J17" si="9">F17+0.2</f>
        <v>1.5098997677289752</v>
      </c>
      <c r="H17" s="267">
        <f t="shared" si="9"/>
        <v>1.7098997677289751</v>
      </c>
      <c r="I17" s="267">
        <f t="shared" si="9"/>
        <v>1.9098997677289751</v>
      </c>
      <c r="J17" s="267">
        <f t="shared" si="9"/>
        <v>2.109899767728975</v>
      </c>
      <c r="K17" s="268"/>
      <c r="L17" s="268"/>
    </row>
    <row r="18" spans="1:12" x14ac:dyDescent="0.25">
      <c r="B18" s="4" t="s">
        <v>49</v>
      </c>
      <c r="C18" s="4">
        <f>IncState!C38</f>
        <v>49.814999999999998</v>
      </c>
      <c r="D18" s="4">
        <f>IncState!D38</f>
        <v>48.323999999999998</v>
      </c>
      <c r="E18" s="4">
        <f>IncState!E38</f>
        <v>47.789000000000001</v>
      </c>
      <c r="F18" s="102">
        <f>E18</f>
        <v>47.789000000000001</v>
      </c>
      <c r="G18" s="102">
        <f t="shared" ref="G18:J18" si="10">F18</f>
        <v>47.789000000000001</v>
      </c>
      <c r="H18" s="102">
        <f t="shared" si="10"/>
        <v>47.789000000000001</v>
      </c>
      <c r="I18" s="102">
        <f t="shared" si="10"/>
        <v>47.789000000000001</v>
      </c>
      <c r="J18" s="102">
        <f t="shared" si="10"/>
        <v>47.789000000000001</v>
      </c>
      <c r="K18" s="197"/>
      <c r="L18" s="197"/>
    </row>
    <row r="19" spans="1:12" x14ac:dyDescent="0.25">
      <c r="B19" s="4" t="s">
        <v>50</v>
      </c>
      <c r="C19" s="4">
        <f>IncState!C39</f>
        <v>50.414000000000001</v>
      </c>
      <c r="D19" s="4">
        <f>IncState!D39</f>
        <v>49.05</v>
      </c>
      <c r="E19" s="4">
        <f>IncState!E39</f>
        <v>48.973999999999997</v>
      </c>
      <c r="F19" s="102">
        <f>E19</f>
        <v>48.973999999999997</v>
      </c>
      <c r="G19" s="102">
        <f t="shared" ref="G19:J19" si="11">F19</f>
        <v>48.973999999999997</v>
      </c>
      <c r="H19" s="102">
        <f t="shared" si="11"/>
        <v>48.973999999999997</v>
      </c>
      <c r="I19" s="102">
        <f t="shared" si="11"/>
        <v>48.973999999999997</v>
      </c>
      <c r="J19" s="102">
        <f t="shared" si="11"/>
        <v>48.973999999999997</v>
      </c>
      <c r="K19" s="197"/>
      <c r="L19" s="197"/>
    </row>
    <row r="20" spans="1:12" x14ac:dyDescent="0.25">
      <c r="F20" s="104"/>
      <c r="G20" s="104"/>
      <c r="H20" s="104"/>
      <c r="I20" s="104"/>
      <c r="J20" s="104"/>
      <c r="K20" s="171"/>
      <c r="L20" s="171"/>
    </row>
    <row r="21" spans="1:12" x14ac:dyDescent="0.25">
      <c r="A21" s="64" t="s">
        <v>126</v>
      </c>
      <c r="B21" s="107" t="s">
        <v>146</v>
      </c>
      <c r="C21" s="263">
        <f>C2</f>
        <v>2022</v>
      </c>
      <c r="D21" s="263">
        <f>D2</f>
        <v>2023</v>
      </c>
      <c r="E21" s="263">
        <f>E2</f>
        <v>2024</v>
      </c>
      <c r="F21" s="263">
        <f>F2</f>
        <v>2025</v>
      </c>
      <c r="G21" s="263">
        <f>G2</f>
        <v>2026</v>
      </c>
      <c r="H21" s="263">
        <f>H2</f>
        <v>2027</v>
      </c>
      <c r="I21" s="263">
        <f>I2</f>
        <v>2028</v>
      </c>
      <c r="J21" s="263">
        <f>J2</f>
        <v>2029</v>
      </c>
      <c r="K21" s="198"/>
      <c r="L21" s="198"/>
    </row>
    <row r="22" spans="1:12" x14ac:dyDescent="0.25">
      <c r="A22" s="86"/>
      <c r="B22" s="159"/>
      <c r="C22" s="196"/>
      <c r="D22" s="196"/>
      <c r="E22" s="196"/>
      <c r="F22" s="198"/>
      <c r="G22" s="198"/>
      <c r="H22" s="198"/>
      <c r="I22" s="198"/>
      <c r="J22" s="198"/>
      <c r="K22" s="198"/>
      <c r="L22" s="198"/>
    </row>
    <row r="23" spans="1:12" x14ac:dyDescent="0.25">
      <c r="B23" s="4" t="s">
        <v>139</v>
      </c>
      <c r="E23" s="8">
        <v>0.05</v>
      </c>
      <c r="F23" s="101">
        <f>E23</f>
        <v>0.05</v>
      </c>
      <c r="G23" s="101">
        <f t="shared" ref="G23:J23" si="12">F23</f>
        <v>0.05</v>
      </c>
      <c r="H23" s="101">
        <f t="shared" si="12"/>
        <v>0.05</v>
      </c>
      <c r="I23" s="101">
        <f t="shared" si="12"/>
        <v>0.05</v>
      </c>
      <c r="J23" s="101">
        <f t="shared" si="12"/>
        <v>0.05</v>
      </c>
      <c r="K23" s="171"/>
      <c r="L23" s="171"/>
    </row>
    <row r="24" spans="1:12" x14ac:dyDescent="0.25">
      <c r="B24" s="4" t="s">
        <v>26</v>
      </c>
      <c r="E24" s="8">
        <v>0.05</v>
      </c>
      <c r="F24" s="101">
        <f>E24</f>
        <v>0.05</v>
      </c>
      <c r="G24" s="101">
        <f t="shared" ref="G24:J24" si="13">F24</f>
        <v>0.05</v>
      </c>
      <c r="H24" s="101">
        <f t="shared" si="13"/>
        <v>0.05</v>
      </c>
      <c r="I24" s="101">
        <f t="shared" si="13"/>
        <v>0.05</v>
      </c>
      <c r="J24" s="101">
        <f t="shared" si="13"/>
        <v>0.05</v>
      </c>
      <c r="K24" s="171"/>
      <c r="L24" s="171"/>
    </row>
    <row r="25" spans="1:12" x14ac:dyDescent="0.25">
      <c r="B25" s="4" t="s">
        <v>27</v>
      </c>
      <c r="C25" s="8"/>
      <c r="D25" s="8"/>
      <c r="E25" s="8">
        <v>0.04</v>
      </c>
      <c r="F25" s="127">
        <f>E25</f>
        <v>0.04</v>
      </c>
      <c r="G25" s="127">
        <f t="shared" ref="G25:J25" si="14">F25</f>
        <v>0.04</v>
      </c>
      <c r="H25" s="127">
        <f t="shared" si="14"/>
        <v>0.04</v>
      </c>
      <c r="I25" s="127">
        <f t="shared" si="14"/>
        <v>0.04</v>
      </c>
      <c r="J25" s="127">
        <f t="shared" si="14"/>
        <v>0.04</v>
      </c>
      <c r="K25" s="171"/>
      <c r="L25" s="171"/>
    </row>
    <row r="26" spans="1:12" x14ac:dyDescent="0.25">
      <c r="F26" s="104"/>
      <c r="G26" s="104"/>
      <c r="H26" s="104"/>
      <c r="I26" s="104"/>
      <c r="J26" s="104"/>
      <c r="K26" s="171"/>
      <c r="L26" s="171"/>
    </row>
    <row r="27" spans="1:12" x14ac:dyDescent="0.25">
      <c r="B27" s="4" t="s">
        <v>28</v>
      </c>
      <c r="E27" s="4">
        <v>0</v>
      </c>
      <c r="F27" s="102">
        <v>0</v>
      </c>
      <c r="G27" s="102">
        <v>0</v>
      </c>
      <c r="H27" s="102">
        <v>0</v>
      </c>
      <c r="I27" s="102">
        <v>0</v>
      </c>
      <c r="J27" s="102">
        <v>0</v>
      </c>
      <c r="K27" s="197"/>
      <c r="L27" s="197"/>
    </row>
    <row r="28" spans="1:12" x14ac:dyDescent="0.25">
      <c r="B28" s="4" t="s">
        <v>29</v>
      </c>
      <c r="E28" s="4">
        <v>0</v>
      </c>
      <c r="F28" s="102">
        <v>0</v>
      </c>
      <c r="G28" s="102">
        <v>0</v>
      </c>
      <c r="H28" s="102">
        <v>0</v>
      </c>
      <c r="I28" s="102">
        <v>0</v>
      </c>
      <c r="J28" s="102">
        <v>0</v>
      </c>
      <c r="K28" s="197"/>
      <c r="L28" s="197"/>
    </row>
    <row r="29" spans="1:12" x14ac:dyDescent="0.25">
      <c r="F29" s="104"/>
      <c r="G29" s="104"/>
      <c r="H29" s="104"/>
      <c r="I29" s="104"/>
      <c r="J29" s="104"/>
      <c r="K29" s="171"/>
      <c r="L29" s="171"/>
    </row>
    <row r="30" spans="1:12" x14ac:dyDescent="0.25">
      <c r="A30" s="64" t="s">
        <v>126</v>
      </c>
      <c r="B30" s="107" t="s">
        <v>143</v>
      </c>
      <c r="C30" s="263">
        <f>C21</f>
        <v>2022</v>
      </c>
      <c r="D30" s="263">
        <f t="shared" ref="D30:J30" si="15">D21</f>
        <v>2023</v>
      </c>
      <c r="E30" s="263">
        <f t="shared" si="15"/>
        <v>2024</v>
      </c>
      <c r="F30" s="263">
        <f t="shared" si="15"/>
        <v>2025</v>
      </c>
      <c r="G30" s="263">
        <f t="shared" si="15"/>
        <v>2026</v>
      </c>
      <c r="H30" s="263">
        <f t="shared" si="15"/>
        <v>2027</v>
      </c>
      <c r="I30" s="263">
        <f t="shared" si="15"/>
        <v>2028</v>
      </c>
      <c r="J30" s="263">
        <f t="shared" si="15"/>
        <v>2029</v>
      </c>
      <c r="K30" s="199"/>
      <c r="L30" s="199"/>
    </row>
    <row r="31" spans="1:12" x14ac:dyDescent="0.25">
      <c r="A31" s="86"/>
      <c r="B31" s="159"/>
      <c r="C31" s="196"/>
      <c r="D31" s="196"/>
      <c r="E31" s="196"/>
      <c r="F31" s="198"/>
      <c r="G31" s="198"/>
      <c r="H31" s="198"/>
      <c r="I31" s="198"/>
      <c r="J31" s="198"/>
      <c r="K31" s="199"/>
      <c r="L31" s="199"/>
    </row>
    <row r="32" spans="1:12" x14ac:dyDescent="0.25">
      <c r="B32" s="4" t="s">
        <v>144</v>
      </c>
      <c r="C32" s="8">
        <f>112.646/IncState!C16</f>
        <v>3.4102082828772105E-2</v>
      </c>
      <c r="D32" s="8">
        <f>151.565/IncState!D16</f>
        <v>4.4065997964820469E-2</v>
      </c>
      <c r="E32" s="8">
        <f>160.4/IncState!E16</f>
        <v>4.4783203506714692E-2</v>
      </c>
      <c r="F32" s="221">
        <f>E32</f>
        <v>4.4783203506714692E-2</v>
      </c>
      <c r="G32" s="221">
        <f t="shared" ref="G32:J32" si="16">F32</f>
        <v>4.4783203506714692E-2</v>
      </c>
      <c r="H32" s="221">
        <f t="shared" si="16"/>
        <v>4.4783203506714692E-2</v>
      </c>
      <c r="I32" s="221">
        <f t="shared" si="16"/>
        <v>4.4783203506714692E-2</v>
      </c>
      <c r="J32" s="221">
        <f t="shared" si="16"/>
        <v>4.4783203506714692E-2</v>
      </c>
      <c r="K32" s="171"/>
      <c r="L32" s="171"/>
    </row>
    <row r="33" spans="1:12" x14ac:dyDescent="0.25">
      <c r="B33" s="4" t="s">
        <v>157</v>
      </c>
      <c r="D33" s="8">
        <f>IncState!D21/BalSheet!C23</f>
        <v>4.6220491236637337E-2</v>
      </c>
      <c r="E33" s="8">
        <f>IncState!E21/BalSheet!D23</f>
        <v>4.8465467220002646E-2</v>
      </c>
      <c r="F33" s="101">
        <f>E33</f>
        <v>4.8465467220002646E-2</v>
      </c>
      <c r="G33" s="101">
        <f t="shared" ref="G33:J33" si="17">F33</f>
        <v>4.8465467220002646E-2</v>
      </c>
      <c r="H33" s="101">
        <f t="shared" si="17"/>
        <v>4.8465467220002646E-2</v>
      </c>
      <c r="I33" s="101">
        <f t="shared" si="17"/>
        <v>4.8465467220002646E-2</v>
      </c>
      <c r="J33" s="101">
        <f t="shared" si="17"/>
        <v>4.8465467220002646E-2</v>
      </c>
      <c r="K33" s="171"/>
      <c r="L33" s="171"/>
    </row>
    <row r="34" spans="1:12" x14ac:dyDescent="0.25">
      <c r="B34" s="4" t="s">
        <v>145</v>
      </c>
      <c r="F34" s="106">
        <v>0</v>
      </c>
      <c r="G34" s="106">
        <v>0</v>
      </c>
      <c r="H34" s="106">
        <v>0</v>
      </c>
      <c r="I34" s="106">
        <v>0</v>
      </c>
      <c r="J34" s="106">
        <v>0</v>
      </c>
      <c r="K34" s="200"/>
      <c r="L34" s="200"/>
    </row>
    <row r="35" spans="1:12" x14ac:dyDescent="0.25">
      <c r="F35" s="30"/>
      <c r="G35" s="30"/>
      <c r="H35" s="30"/>
      <c r="I35" s="30"/>
      <c r="J35" s="30"/>
      <c r="K35" s="30"/>
      <c r="L35" s="30"/>
    </row>
    <row r="36" spans="1:12" x14ac:dyDescent="0.25">
      <c r="A36" s="64" t="s">
        <v>126</v>
      </c>
      <c r="B36" s="107" t="s">
        <v>131</v>
      </c>
      <c r="C36" s="263">
        <f>C30</f>
        <v>2022</v>
      </c>
      <c r="D36" s="263">
        <f t="shared" ref="D36:J36" si="18">D30</f>
        <v>2023</v>
      </c>
      <c r="E36" s="263">
        <f t="shared" si="18"/>
        <v>2024</v>
      </c>
      <c r="F36" s="263">
        <f t="shared" si="18"/>
        <v>2025</v>
      </c>
      <c r="G36" s="263">
        <f t="shared" si="18"/>
        <v>2026</v>
      </c>
      <c r="H36" s="263">
        <f t="shared" si="18"/>
        <v>2027</v>
      </c>
      <c r="I36" s="263">
        <f t="shared" si="18"/>
        <v>2028</v>
      </c>
      <c r="J36" s="263">
        <f t="shared" si="18"/>
        <v>2029</v>
      </c>
      <c r="K36" s="199"/>
      <c r="L36" s="199"/>
    </row>
    <row r="37" spans="1:12" x14ac:dyDescent="0.25">
      <c r="A37" s="86"/>
      <c r="B37" s="159"/>
      <c r="C37" s="196"/>
      <c r="D37" s="196"/>
      <c r="E37" s="196"/>
      <c r="F37" s="261"/>
      <c r="G37" s="261"/>
      <c r="H37" s="261"/>
      <c r="I37" s="261"/>
      <c r="J37" s="261"/>
      <c r="K37" s="199"/>
      <c r="L37" s="199"/>
    </row>
    <row r="38" spans="1:12" x14ac:dyDescent="0.25">
      <c r="B38" s="4" t="s">
        <v>142</v>
      </c>
      <c r="C38" s="8">
        <f>BalSheet!C16/IncState!C16</f>
        <v>0.01</v>
      </c>
      <c r="D38" s="8">
        <f>BalSheet!D16/IncState!D16</f>
        <v>0.01</v>
      </c>
      <c r="E38" s="8">
        <f>BalSheet!E16/IncState!E16</f>
        <v>0.01</v>
      </c>
      <c r="F38" s="101">
        <f>E38</f>
        <v>0.01</v>
      </c>
      <c r="G38" s="101">
        <f t="shared" ref="G38:J38" si="19">F38</f>
        <v>0.01</v>
      </c>
      <c r="H38" s="101">
        <f t="shared" si="19"/>
        <v>0.01</v>
      </c>
      <c r="I38" s="101">
        <f t="shared" si="19"/>
        <v>0.01</v>
      </c>
      <c r="J38" s="101">
        <f t="shared" si="19"/>
        <v>0.01</v>
      </c>
      <c r="K38" s="171"/>
      <c r="L38" s="171"/>
    </row>
    <row r="39" spans="1:12" x14ac:dyDescent="0.25">
      <c r="B39" s="4" t="s">
        <v>155</v>
      </c>
      <c r="C39" s="8">
        <f>BalSheet!C18/IncState!C16</f>
        <v>3.1942056187938966E-2</v>
      </c>
      <c r="D39" s="8">
        <f>BalSheet!D18/IncState!D16</f>
        <v>2.9973542666085186E-2</v>
      </c>
      <c r="E39" s="8">
        <f>BalSheet!E18/IncState!E16</f>
        <v>3.141050339224391E-2</v>
      </c>
      <c r="F39" s="101">
        <f>E39</f>
        <v>3.141050339224391E-2</v>
      </c>
      <c r="G39" s="101">
        <f t="shared" ref="G39:J39" si="20">F39</f>
        <v>3.141050339224391E-2</v>
      </c>
      <c r="H39" s="101">
        <f t="shared" si="20"/>
        <v>3.141050339224391E-2</v>
      </c>
      <c r="I39" s="101">
        <f t="shared" si="20"/>
        <v>3.141050339224391E-2</v>
      </c>
      <c r="J39" s="101">
        <f t="shared" si="20"/>
        <v>3.141050339224391E-2</v>
      </c>
      <c r="K39" s="171"/>
      <c r="L39" s="171"/>
    </row>
    <row r="40" spans="1:12" x14ac:dyDescent="0.25">
      <c r="B40" s="4" t="s">
        <v>65</v>
      </c>
      <c r="C40" s="8">
        <f>BalSheet!C19/IncState!C17</f>
        <v>1.9128916273677882E-2</v>
      </c>
      <c r="D40" s="8">
        <f>BalSheet!D19/IncState!D17</f>
        <v>1.951858622790981E-2</v>
      </c>
      <c r="E40" s="8">
        <f>BalSheet!E19/IncState!E17</f>
        <v>2.1302740178276658E-2</v>
      </c>
      <c r="F40" s="101">
        <f t="shared" ref="F40:J40" si="21">E40</f>
        <v>2.1302740178276658E-2</v>
      </c>
      <c r="G40" s="101">
        <f t="shared" si="21"/>
        <v>2.1302740178276658E-2</v>
      </c>
      <c r="H40" s="101">
        <f t="shared" si="21"/>
        <v>2.1302740178276658E-2</v>
      </c>
      <c r="I40" s="101">
        <f t="shared" si="21"/>
        <v>2.1302740178276658E-2</v>
      </c>
      <c r="J40" s="101">
        <f t="shared" si="21"/>
        <v>2.1302740178276658E-2</v>
      </c>
      <c r="K40" s="171"/>
      <c r="L40" s="171"/>
    </row>
    <row r="41" spans="1:12" x14ac:dyDescent="0.25">
      <c r="B41" s="4" t="s">
        <v>66</v>
      </c>
      <c r="C41" s="8">
        <f>BalSheet!C20/IncState!C16</f>
        <v>2.1167655606684425E-2</v>
      </c>
      <c r="D41" s="8">
        <f>BalSheet!D20/IncState!D16</f>
        <v>2.4352376798953336E-2</v>
      </c>
      <c r="E41" s="8">
        <f>BalSheet!E20/IncState!E16</f>
        <v>2.0132339391908873E-2</v>
      </c>
      <c r="F41" s="101">
        <f t="shared" ref="F41:J41" si="22">E41</f>
        <v>2.0132339391908873E-2</v>
      </c>
      <c r="G41" s="101">
        <f t="shared" si="22"/>
        <v>2.0132339391908873E-2</v>
      </c>
      <c r="H41" s="101">
        <f t="shared" si="22"/>
        <v>2.0132339391908873E-2</v>
      </c>
      <c r="I41" s="101">
        <f t="shared" si="22"/>
        <v>2.0132339391908873E-2</v>
      </c>
      <c r="J41" s="101">
        <f t="shared" si="22"/>
        <v>2.0132339391908873E-2</v>
      </c>
      <c r="K41" s="171"/>
      <c r="L41" s="171"/>
    </row>
    <row r="42" spans="1:12" x14ac:dyDescent="0.25">
      <c r="E42" s="8"/>
      <c r="F42" s="104"/>
      <c r="G42" s="104"/>
      <c r="H42" s="104"/>
      <c r="I42" s="104"/>
      <c r="J42" s="104"/>
      <c r="K42" s="171"/>
      <c r="L42" s="171"/>
    </row>
    <row r="43" spans="1:12" x14ac:dyDescent="0.25">
      <c r="B43" s="4" t="s">
        <v>67</v>
      </c>
      <c r="C43" s="8">
        <f>BalSheet!C25/IncState!C16</f>
        <v>4.9313090336643252E-2</v>
      </c>
      <c r="D43" s="8">
        <f>BalSheet!D25/IncState!D16</f>
        <v>5.6582352086059023E-2</v>
      </c>
      <c r="E43" s="8">
        <f>BalSheet!E25/IncState!E16</f>
        <v>6.0176452522545158E-2</v>
      </c>
      <c r="F43" s="101">
        <f>E43</f>
        <v>6.0176452522545158E-2</v>
      </c>
      <c r="G43" s="101">
        <f t="shared" ref="G43:J43" si="23">F43</f>
        <v>6.0176452522545158E-2</v>
      </c>
      <c r="H43" s="101">
        <f t="shared" si="23"/>
        <v>6.0176452522545158E-2</v>
      </c>
      <c r="I43" s="101">
        <f t="shared" si="23"/>
        <v>6.0176452522545158E-2</v>
      </c>
      <c r="J43" s="101">
        <f t="shared" si="23"/>
        <v>6.0176452522545158E-2</v>
      </c>
      <c r="K43" s="171"/>
      <c r="L43" s="171"/>
    </row>
    <row r="44" spans="1:12" x14ac:dyDescent="0.25">
      <c r="F44" s="30"/>
      <c r="G44" s="30"/>
      <c r="H44" s="30"/>
      <c r="I44" s="30"/>
      <c r="J44" s="30"/>
      <c r="K44" s="30"/>
      <c r="L44" s="30"/>
    </row>
    <row r="45" spans="1:12" x14ac:dyDescent="0.25">
      <c r="A45" s="64" t="s">
        <v>126</v>
      </c>
      <c r="B45" s="107" t="s">
        <v>132</v>
      </c>
      <c r="C45" s="263">
        <f>C36</f>
        <v>2022</v>
      </c>
      <c r="D45" s="263">
        <f>D36</f>
        <v>2023</v>
      </c>
      <c r="E45" s="263">
        <f>E36</f>
        <v>2024</v>
      </c>
      <c r="F45" s="263">
        <f>F36</f>
        <v>2025</v>
      </c>
      <c r="G45" s="263">
        <f>G36</f>
        <v>2026</v>
      </c>
      <c r="H45" s="263">
        <f>H36</f>
        <v>2027</v>
      </c>
      <c r="I45" s="263">
        <f>I36</f>
        <v>2028</v>
      </c>
      <c r="J45" s="263">
        <f>J36</f>
        <v>2029</v>
      </c>
      <c r="K45" s="199"/>
      <c r="L45" s="199"/>
    </row>
    <row r="46" spans="1:12" x14ac:dyDescent="0.25">
      <c r="A46" s="86"/>
      <c r="B46" s="159"/>
      <c r="C46" s="196"/>
      <c r="D46" s="196"/>
      <c r="E46" s="196"/>
      <c r="F46" s="261"/>
      <c r="G46" s="261"/>
      <c r="H46" s="261"/>
      <c r="I46" s="261"/>
      <c r="J46" s="261"/>
      <c r="K46" s="199"/>
      <c r="L46" s="199"/>
    </row>
    <row r="47" spans="1:12" x14ac:dyDescent="0.25">
      <c r="B47" s="4" t="s">
        <v>156</v>
      </c>
      <c r="C47" s="8">
        <f>BalSheet!C31/IncState!C17</f>
        <v>2.2943406516412225E-2</v>
      </c>
      <c r="D47" s="8">
        <f>BalSheet!D31/IncState!D17</f>
        <v>2.1379917394542623E-2</v>
      </c>
      <c r="E47" s="8">
        <f>BalSheet!E31/IncState!E17</f>
        <v>2.0499174645097391E-2</v>
      </c>
      <c r="F47" s="101">
        <f t="shared" ref="F47:J47" si="24">E47</f>
        <v>2.0499174645097391E-2</v>
      </c>
      <c r="G47" s="101">
        <f t="shared" si="24"/>
        <v>2.0499174645097391E-2</v>
      </c>
      <c r="H47" s="101">
        <f t="shared" si="24"/>
        <v>2.0499174645097391E-2</v>
      </c>
      <c r="I47" s="101">
        <f t="shared" si="24"/>
        <v>2.0499174645097391E-2</v>
      </c>
      <c r="J47" s="101">
        <f t="shared" si="24"/>
        <v>2.0499174645097391E-2</v>
      </c>
      <c r="K47" s="171"/>
      <c r="L47" s="171"/>
    </row>
    <row r="48" spans="1:12" x14ac:dyDescent="0.25">
      <c r="B48" s="4" t="s">
        <v>68</v>
      </c>
      <c r="C48" s="8">
        <f>BalSheet!C32/IncState!C16</f>
        <v>0.17862678614676678</v>
      </c>
      <c r="D48" s="8">
        <f>BalSheet!D32/IncState!D16</f>
        <v>0.17372263410379415</v>
      </c>
      <c r="E48" s="8">
        <f>BalSheet!E32/IncState!E16</f>
        <v>0.18129044866962615</v>
      </c>
      <c r="F48" s="101">
        <f t="shared" ref="F48:J48" si="25">E48</f>
        <v>0.18129044866962615</v>
      </c>
      <c r="G48" s="101">
        <f t="shared" si="25"/>
        <v>0.18129044866962615</v>
      </c>
      <c r="H48" s="101">
        <f t="shared" si="25"/>
        <v>0.18129044866962615</v>
      </c>
      <c r="I48" s="101">
        <f t="shared" si="25"/>
        <v>0.18129044866962615</v>
      </c>
      <c r="J48" s="101">
        <f t="shared" si="25"/>
        <v>0.18129044866962615</v>
      </c>
      <c r="K48" s="171"/>
      <c r="L48" s="171"/>
    </row>
    <row r="49" spans="2:12" x14ac:dyDescent="0.25">
      <c r="B49" s="4" t="s">
        <v>69</v>
      </c>
      <c r="C49" s="8">
        <f>BalSheet!C36/IncState!C16</f>
        <v>0.41126998062484865</v>
      </c>
      <c r="D49" s="8">
        <f>BalSheet!D36/IncState!D16</f>
        <v>0.40459456316325043</v>
      </c>
      <c r="E49" s="8">
        <f>BalSheet!E36/IncState!E16</f>
        <v>0.40059831923388334</v>
      </c>
      <c r="F49" s="101">
        <f t="shared" ref="F49:J49" si="26">E49</f>
        <v>0.40059831923388334</v>
      </c>
      <c r="G49" s="101">
        <f t="shared" si="26"/>
        <v>0.40059831923388334</v>
      </c>
      <c r="H49" s="101">
        <f t="shared" si="26"/>
        <v>0.40059831923388334</v>
      </c>
      <c r="I49" s="101">
        <f t="shared" si="26"/>
        <v>0.40059831923388334</v>
      </c>
      <c r="J49" s="101">
        <f t="shared" si="26"/>
        <v>0.40059831923388334</v>
      </c>
      <c r="K49" s="171"/>
      <c r="L49" s="171"/>
    </row>
    <row r="50" spans="2:12" x14ac:dyDescent="0.25">
      <c r="F50" s="122"/>
      <c r="G50" s="30"/>
      <c r="H50" s="30"/>
      <c r="I50" s="30"/>
      <c r="J50" s="30"/>
    </row>
    <row r="51" spans="2:12" x14ac:dyDescent="0.25">
      <c r="F51" s="123"/>
      <c r="G51" s="95"/>
      <c r="H51" s="95"/>
      <c r="I51" s="95"/>
      <c r="J51" s="95"/>
    </row>
    <row r="52" spans="2:12" x14ac:dyDescent="0.25">
      <c r="F52" s="95"/>
      <c r="G52" s="95"/>
      <c r="H52" s="95"/>
      <c r="I52" s="95"/>
      <c r="J52" s="95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F6:K8 N7:T7 D7:D8 M9:N11 K21:L21 F22:L29 K30:L30 F31:L34 K45:L49 F47:J49 F51:J52 K36:L43 F38:J43 F11:L20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40"/>
  <sheetViews>
    <sheetView showGridLines="0" zoomScaleNormal="100" workbookViewId="0">
      <selection activeCell="F26" sqref="F6:J26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55" t="str">
        <f>CoName</f>
        <v>Cheesecake Factory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x14ac:dyDescent="0.25">
      <c r="A2" s="20" t="s">
        <v>11</v>
      </c>
      <c r="B2" s="19"/>
      <c r="C2" s="193">
        <v>2022</v>
      </c>
      <c r="D2" s="254">
        <f>C2+1</f>
        <v>2023</v>
      </c>
      <c r="E2" s="254">
        <f t="shared" ref="E2:J2" si="0">D2+1</f>
        <v>2024</v>
      </c>
      <c r="F2" s="254">
        <f t="shared" si="0"/>
        <v>2025</v>
      </c>
      <c r="G2" s="254">
        <f t="shared" si="0"/>
        <v>2026</v>
      </c>
      <c r="H2" s="254">
        <f t="shared" si="0"/>
        <v>2027</v>
      </c>
      <c r="I2" s="254">
        <f t="shared" si="0"/>
        <v>2028</v>
      </c>
      <c r="J2" s="254">
        <f t="shared" si="0"/>
        <v>2029</v>
      </c>
      <c r="K2" s="194"/>
      <c r="L2" s="194"/>
      <c r="M2" s="194"/>
    </row>
    <row r="3" spans="1:13" x14ac:dyDescent="0.25">
      <c r="B3" s="4" t="s">
        <v>12</v>
      </c>
      <c r="C3" s="29"/>
      <c r="D3" s="29"/>
      <c r="E3" s="40"/>
      <c r="F3" s="203">
        <f>Assumptions!F32</f>
        <v>4.4783203506714692E-2</v>
      </c>
      <c r="G3" s="203">
        <f>Assumptions!G32</f>
        <v>4.4783203506714692E-2</v>
      </c>
      <c r="H3" s="203">
        <f>Assumptions!H32</f>
        <v>4.4783203506714692E-2</v>
      </c>
      <c r="I3" s="203">
        <f>Assumptions!I32</f>
        <v>4.4783203506714692E-2</v>
      </c>
      <c r="J3" s="203">
        <f>Assumptions!J32</f>
        <v>4.4783203506714692E-2</v>
      </c>
      <c r="K3" s="201"/>
      <c r="L3" s="201"/>
    </row>
    <row r="4" spans="1:13" x14ac:dyDescent="0.25">
      <c r="B4" s="4" t="s">
        <v>136</v>
      </c>
      <c r="C4" s="29"/>
      <c r="D4" s="29"/>
      <c r="E4" s="40"/>
      <c r="F4" s="203">
        <f>Assumptions!F33</f>
        <v>4.8465467220002646E-2</v>
      </c>
      <c r="G4" s="203">
        <f>F4</f>
        <v>4.8465467220002646E-2</v>
      </c>
      <c r="H4" s="203">
        <f t="shared" ref="H4:J4" si="1">G4</f>
        <v>4.8465467220002646E-2</v>
      </c>
      <c r="I4" s="203">
        <f t="shared" si="1"/>
        <v>4.8465467220002646E-2</v>
      </c>
      <c r="J4" s="203">
        <f t="shared" si="1"/>
        <v>4.8465467220002646E-2</v>
      </c>
      <c r="K4" s="201"/>
      <c r="L4" s="201"/>
    </row>
    <row r="5" spans="1:13" x14ac:dyDescent="0.25">
      <c r="E5" s="27"/>
      <c r="F5" s="78"/>
      <c r="G5" s="66"/>
      <c r="H5" s="84"/>
      <c r="I5" s="66"/>
      <c r="J5" s="66"/>
    </row>
    <row r="6" spans="1:13" x14ac:dyDescent="0.25">
      <c r="B6" s="4" t="s">
        <v>13</v>
      </c>
      <c r="E6" s="27"/>
      <c r="F6" s="4">
        <f>E9</f>
        <v>2241.1240000000003</v>
      </c>
      <c r="G6" s="4">
        <f t="shared" ref="G6:J6" si="2">F9</f>
        <v>2299.9644782420391</v>
      </c>
      <c r="H6" s="4">
        <f t="shared" si="2"/>
        <v>2363.6562748146289</v>
      </c>
      <c r="I6" s="4">
        <f t="shared" si="2"/>
        <v>2433.0192511882469</v>
      </c>
      <c r="J6" s="4">
        <f t="shared" si="2"/>
        <v>2506.3772657873478</v>
      </c>
    </row>
    <row r="7" spans="1:13" x14ac:dyDescent="0.25">
      <c r="B7" s="4" t="s">
        <v>14</v>
      </c>
      <c r="C7" s="12"/>
      <c r="D7" s="12"/>
      <c r="E7" s="128"/>
      <c r="F7" s="4">
        <f>F3*IncState!F16</f>
        <v>167.45760000000001</v>
      </c>
      <c r="G7" s="4">
        <f>G3*IncState!G16</f>
        <v>175.16064960000003</v>
      </c>
      <c r="H7" s="4">
        <f>H3*IncState!H16</f>
        <v>183.91868208000002</v>
      </c>
      <c r="I7" s="4">
        <f>I3*IncState!I16</f>
        <v>191.27542936320006</v>
      </c>
      <c r="J7" s="4">
        <f>J3*IncState!J16</f>
        <v>197.01369224409603</v>
      </c>
    </row>
    <row r="8" spans="1:13" x14ac:dyDescent="0.25">
      <c r="B8" s="4" t="s">
        <v>15</v>
      </c>
      <c r="E8" s="27"/>
      <c r="F8" s="4">
        <f>F6*F4</f>
        <v>108.61712175796123</v>
      </c>
      <c r="G8" s="4">
        <f t="shared" ref="G8:J8" si="3">G6*G4</f>
        <v>111.46885302741003</v>
      </c>
      <c r="H8" s="4">
        <f t="shared" si="3"/>
        <v>114.55570570638196</v>
      </c>
      <c r="I8" s="4">
        <f t="shared" si="3"/>
        <v>117.91741476409936</v>
      </c>
      <c r="J8" s="4">
        <f t="shared" si="3"/>
        <v>121.47274521597656</v>
      </c>
    </row>
    <row r="9" spans="1:13" x14ac:dyDescent="0.25">
      <c r="B9" s="4" t="s">
        <v>16</v>
      </c>
      <c r="E9" s="27">
        <f>BalSheet!E23</f>
        <v>2241.1240000000003</v>
      </c>
      <c r="F9" s="4">
        <f>F6+F7-F8</f>
        <v>2299.9644782420391</v>
      </c>
      <c r="G9" s="4">
        <f t="shared" ref="G9:J9" si="4">G6+G7-G8</f>
        <v>2363.6562748146289</v>
      </c>
      <c r="H9" s="4">
        <f t="shared" si="4"/>
        <v>2433.0192511882469</v>
      </c>
      <c r="I9" s="4">
        <f t="shared" si="4"/>
        <v>2506.3772657873478</v>
      </c>
      <c r="J9" s="4">
        <f t="shared" si="4"/>
        <v>2581.9182128154675</v>
      </c>
    </row>
    <row r="10" spans="1:13" x14ac:dyDescent="0.25">
      <c r="A10" s="20" t="s">
        <v>17</v>
      </c>
      <c r="B10" s="42"/>
      <c r="C10" s="236">
        <f t="shared" ref="C10:J10" si="5">C2</f>
        <v>2022</v>
      </c>
      <c r="D10" s="236">
        <f t="shared" si="5"/>
        <v>2023</v>
      </c>
      <c r="E10" s="236">
        <f t="shared" si="5"/>
        <v>2024</v>
      </c>
      <c r="F10" s="236">
        <f t="shared" si="5"/>
        <v>2025</v>
      </c>
      <c r="G10" s="236">
        <f t="shared" ref="G10:J10" si="6">G2</f>
        <v>2026</v>
      </c>
      <c r="H10" s="236">
        <f t="shared" si="6"/>
        <v>2027</v>
      </c>
      <c r="I10" s="236">
        <f t="shared" si="6"/>
        <v>2028</v>
      </c>
      <c r="J10" s="236">
        <f t="shared" si="6"/>
        <v>2029</v>
      </c>
      <c r="K10" s="196"/>
      <c r="L10" s="196"/>
    </row>
    <row r="11" spans="1:13" x14ac:dyDescent="0.25">
      <c r="B11" s="4" t="s">
        <v>18</v>
      </c>
      <c r="E11" s="27"/>
      <c r="F11" s="256">
        <f>Assumptions!F34</f>
        <v>0</v>
      </c>
      <c r="G11" s="256">
        <f>Assumptions!G34</f>
        <v>0</v>
      </c>
      <c r="H11" s="256">
        <f>Assumptions!H34</f>
        <v>0</v>
      </c>
      <c r="I11" s="256">
        <f>Assumptions!I34</f>
        <v>0</v>
      </c>
      <c r="J11" s="256">
        <f>Assumptions!J34</f>
        <v>0</v>
      </c>
      <c r="K11" s="202"/>
      <c r="L11" s="202"/>
    </row>
    <row r="12" spans="1:13" x14ac:dyDescent="0.25">
      <c r="E12" s="27"/>
      <c r="F12" s="78"/>
      <c r="G12" s="78"/>
      <c r="H12" s="78"/>
      <c r="I12" s="78"/>
      <c r="J12" s="78"/>
    </row>
    <row r="13" spans="1:13" x14ac:dyDescent="0.25">
      <c r="B13" s="4" t="s">
        <v>19</v>
      </c>
      <c r="E13" s="27"/>
      <c r="F13" s="4">
        <f>E17</f>
        <v>443.45499999999998</v>
      </c>
      <c r="G13" s="4">
        <f t="shared" ref="G13:J13" si="7">F17</f>
        <v>554.20579147999968</v>
      </c>
      <c r="H13" s="4">
        <f t="shared" si="7"/>
        <v>678.62694337519952</v>
      </c>
      <c r="I13" s="4">
        <f t="shared" si="7"/>
        <v>819.33596603263527</v>
      </c>
      <c r="J13" s="4">
        <f t="shared" si="7"/>
        <v>976.04158009054379</v>
      </c>
    </row>
    <row r="14" spans="1:13" x14ac:dyDescent="0.25">
      <c r="B14" s="4" t="s">
        <v>20</v>
      </c>
      <c r="E14" s="27"/>
      <c r="F14" s="4">
        <f>IncState!F34</f>
        <v>173.34959147999965</v>
      </c>
      <c r="G14" s="4">
        <f>IncState!G34</f>
        <v>196.57775189519987</v>
      </c>
      <c r="H14" s="4">
        <f>IncState!H34</f>
        <v>222.42342265743568</v>
      </c>
      <c r="I14" s="4">
        <f>IncState!I34</f>
        <v>247.97781405790852</v>
      </c>
      <c r="J14" s="4">
        <f>IncState!J34</f>
        <v>272.57432660864578</v>
      </c>
    </row>
    <row r="15" spans="1:13" x14ac:dyDescent="0.25">
      <c r="B15" s="4" t="s">
        <v>21</v>
      </c>
      <c r="E15" s="27"/>
      <c r="F15" s="4">
        <f>-IncState!F36</f>
        <v>-62.598799999999997</v>
      </c>
      <c r="G15" s="4">
        <f>-IncState!G36</f>
        <v>-72.156599999999997</v>
      </c>
      <c r="H15" s="4">
        <f>-IncState!H36</f>
        <v>-81.714399999999998</v>
      </c>
      <c r="I15" s="4">
        <f>-IncState!I36</f>
        <v>-91.272199999999998</v>
      </c>
      <c r="J15" s="4">
        <f>-IncState!J36</f>
        <v>-100.82999999999998</v>
      </c>
    </row>
    <row r="16" spans="1:13" x14ac:dyDescent="0.25">
      <c r="B16" s="4" t="s">
        <v>22</v>
      </c>
      <c r="E16" s="27"/>
      <c r="F16" s="4">
        <f>F11</f>
        <v>0</v>
      </c>
      <c r="G16" s="4">
        <f t="shared" ref="G16:J16" si="8">G11</f>
        <v>0</v>
      </c>
      <c r="H16" s="4">
        <f t="shared" si="8"/>
        <v>0</v>
      </c>
      <c r="I16" s="4">
        <f t="shared" si="8"/>
        <v>0</v>
      </c>
      <c r="J16" s="4">
        <f t="shared" si="8"/>
        <v>0</v>
      </c>
    </row>
    <row r="17" spans="1:12" x14ac:dyDescent="0.25">
      <c r="B17" s="4" t="s">
        <v>23</v>
      </c>
      <c r="E17" s="27">
        <f>BalSheet!E39</f>
        <v>443.45499999999998</v>
      </c>
      <c r="F17" s="4">
        <f>SUM(F13:F16)</f>
        <v>554.20579147999968</v>
      </c>
      <c r="G17" s="4">
        <f t="shared" ref="G17:J17" si="9">SUM(G13:G16)</f>
        <v>678.62694337519952</v>
      </c>
      <c r="H17" s="4">
        <f t="shared" si="9"/>
        <v>819.33596603263527</v>
      </c>
      <c r="I17" s="4">
        <f t="shared" si="9"/>
        <v>976.04158009054379</v>
      </c>
      <c r="J17" s="4">
        <f t="shared" si="9"/>
        <v>1147.7859066991896</v>
      </c>
    </row>
    <row r="18" spans="1:12" x14ac:dyDescent="0.25">
      <c r="A18" s="20" t="s">
        <v>24</v>
      </c>
      <c r="B18" s="42"/>
      <c r="C18" s="236">
        <f>C10</f>
        <v>2022</v>
      </c>
      <c r="D18" s="236">
        <f t="shared" ref="D18:J18" si="10">D10</f>
        <v>2023</v>
      </c>
      <c r="E18" s="236">
        <f t="shared" si="10"/>
        <v>2024</v>
      </c>
      <c r="F18" s="236">
        <f t="shared" si="10"/>
        <v>2025</v>
      </c>
      <c r="G18" s="236">
        <f t="shared" ref="G18:J18" si="11">G10</f>
        <v>2026</v>
      </c>
      <c r="H18" s="236">
        <f t="shared" si="11"/>
        <v>2027</v>
      </c>
      <c r="I18" s="236">
        <f t="shared" si="11"/>
        <v>2028</v>
      </c>
      <c r="J18" s="236">
        <f t="shared" si="11"/>
        <v>2029</v>
      </c>
      <c r="K18" s="196"/>
      <c r="L18" s="196"/>
    </row>
    <row r="19" spans="1:12" x14ac:dyDescent="0.25">
      <c r="A19" s="87"/>
      <c r="B19" s="173" t="s">
        <v>160</v>
      </c>
      <c r="C19" s="196"/>
      <c r="D19" s="196"/>
      <c r="E19" s="217">
        <f>BalSheet!E16</f>
        <v>35.817</v>
      </c>
      <c r="F19" s="132">
        <f>BalSheet!F16</f>
        <v>37.392948000000004</v>
      </c>
      <c r="G19" s="132">
        <f>BalSheet!G16</f>
        <v>39.113023608000006</v>
      </c>
      <c r="H19" s="132">
        <f>BalSheet!H16</f>
        <v>41.068674788400003</v>
      </c>
      <c r="I19" s="132">
        <f>BalSheet!I16</f>
        <v>42.711421779936011</v>
      </c>
      <c r="J19" s="132">
        <f>BalSheet!J16</f>
        <v>43.992764433334088</v>
      </c>
      <c r="K19" s="196"/>
      <c r="L19" s="196"/>
    </row>
    <row r="20" spans="1:12" x14ac:dyDescent="0.25">
      <c r="B20" s="4" t="str">
        <f>BalSheet!B18</f>
        <v>Accounts receivable</v>
      </c>
      <c r="D20" s="98"/>
      <c r="E20" s="99">
        <f>BalSheet!E18</f>
        <v>112.503</v>
      </c>
      <c r="F20" s="4">
        <f>BalSheet!F18</f>
        <v>117.45313200000002</v>
      </c>
      <c r="G20" s="4">
        <f>BalSheet!G18</f>
        <v>122.85597607200002</v>
      </c>
      <c r="H20" s="4">
        <f>BalSheet!H18</f>
        <v>128.99877487560002</v>
      </c>
      <c r="I20" s="4">
        <f>BalSheet!I18</f>
        <v>134.15872587062404</v>
      </c>
      <c r="J20" s="4">
        <f>BalSheet!J18</f>
        <v>138.18348764674275</v>
      </c>
      <c r="K20" s="98"/>
      <c r="L20" s="98"/>
    </row>
    <row r="21" spans="1:12" x14ac:dyDescent="0.25">
      <c r="B21" s="4" t="str">
        <f>BalSheet!B19</f>
        <v>Inventories</v>
      </c>
      <c r="C21" s="98"/>
      <c r="D21" s="98"/>
      <c r="E21" s="99">
        <f>BalSheet!E19</f>
        <v>64.525999999999996</v>
      </c>
      <c r="F21" s="4">
        <f>BalSheet!F19</f>
        <v>66.966857872128102</v>
      </c>
      <c r="G21" s="4">
        <f>BalSheet!G19</f>
        <v>69.630726044491979</v>
      </c>
      <c r="H21" s="4">
        <f>BalSheet!H19</f>
        <v>72.674824692474871</v>
      </c>
      <c r="I21" s="4">
        <f>BalSheet!I19</f>
        <v>75.126882519762489</v>
      </c>
      <c r="J21" s="4">
        <f>BalSheet!J19</f>
        <v>76.91210578013164</v>
      </c>
      <c r="K21" s="98"/>
      <c r="L21" s="98"/>
    </row>
    <row r="22" spans="1:12" x14ac:dyDescent="0.25">
      <c r="B22" s="4" t="s">
        <v>72</v>
      </c>
      <c r="C22" s="98"/>
      <c r="D22" s="98"/>
      <c r="E22" s="99">
        <f>BalSheet!E20</f>
        <v>72.108000000000004</v>
      </c>
      <c r="F22" s="4">
        <f>BalSheet!F20</f>
        <v>75.280752000000007</v>
      </c>
      <c r="G22" s="4">
        <f>BalSheet!G20</f>
        <v>78.743666592000011</v>
      </c>
      <c r="H22" s="4">
        <f>BalSheet!H20</f>
        <v>82.680849921600014</v>
      </c>
      <c r="I22" s="4">
        <f>BalSheet!I20</f>
        <v>85.988083918464028</v>
      </c>
      <c r="J22" s="4">
        <f>BalSheet!J20</f>
        <v>88.567726436017949</v>
      </c>
      <c r="K22" s="98"/>
      <c r="L22" s="98"/>
    </row>
    <row r="23" spans="1:12" x14ac:dyDescent="0.25">
      <c r="B23" s="4" t="s">
        <v>164</v>
      </c>
      <c r="C23" s="98"/>
      <c r="D23" s="98"/>
      <c r="E23" s="99">
        <f>BalSheet!E31</f>
        <v>62.091999999999999</v>
      </c>
      <c r="F23" s="4">
        <f>BalSheet!F31</f>
        <v>64.440785714226479</v>
      </c>
      <c r="G23" s="4">
        <f>BalSheet!G31</f>
        <v>67.004169506161801</v>
      </c>
      <c r="H23" s="4">
        <f>BalSheet!H31</f>
        <v>69.933441013004824</v>
      </c>
      <c r="I23" s="4">
        <f>BalSheet!I31</f>
        <v>72.29300420632137</v>
      </c>
      <c r="J23" s="4">
        <f>BalSheet!J31</f>
        <v>74.010886651891227</v>
      </c>
      <c r="K23" s="98"/>
      <c r="L23" s="98"/>
    </row>
    <row r="24" spans="1:12" x14ac:dyDescent="0.25">
      <c r="B24" s="4" t="s">
        <v>78</v>
      </c>
      <c r="C24" s="98"/>
      <c r="D24" s="98"/>
      <c r="E24" s="99">
        <f>BalSheet!E32</f>
        <v>649.32799999999997</v>
      </c>
      <c r="F24" s="4">
        <f>BalSheet!F32</f>
        <v>677.89843200000007</v>
      </c>
      <c r="G24" s="4">
        <f>BalSheet!G32</f>
        <v>709.08175987200002</v>
      </c>
      <c r="H24" s="4">
        <f>BalSheet!H32</f>
        <v>744.53584786560009</v>
      </c>
      <c r="I24" s="4">
        <f>BalSheet!I32</f>
        <v>774.31728178022411</v>
      </c>
      <c r="J24" s="4">
        <f>BalSheet!J32</f>
        <v>797.54680023363085</v>
      </c>
      <c r="K24" s="98"/>
      <c r="L24" s="98"/>
    </row>
    <row r="25" spans="1:12" x14ac:dyDescent="0.25">
      <c r="A25" s="11" t="s">
        <v>126</v>
      </c>
      <c r="B25" s="17" t="s">
        <v>24</v>
      </c>
      <c r="C25" s="18"/>
      <c r="D25" s="18"/>
      <c r="E25" s="18">
        <f>SUM(E19:E22)-SUM(E23:E24)</f>
        <v>-426.46599999999995</v>
      </c>
      <c r="F25" s="18">
        <f>SUM(F19:F22)-SUM(F23:F24)</f>
        <v>-445.24552784209845</v>
      </c>
      <c r="G25" s="18">
        <f t="shared" ref="G25:J25" si="12">SUM(G19:G22)-SUM(G23:G24)</f>
        <v>-465.74253706166985</v>
      </c>
      <c r="H25" s="18">
        <f t="shared" si="12"/>
        <v>-489.04616460052989</v>
      </c>
      <c r="I25" s="18">
        <f t="shared" si="12"/>
        <v>-508.62517189775889</v>
      </c>
      <c r="J25" s="18">
        <f t="shared" si="12"/>
        <v>-523.90160258929563</v>
      </c>
      <c r="K25" s="11"/>
      <c r="L25" s="11"/>
    </row>
    <row r="26" spans="1:12" s="11" customFormat="1" x14ac:dyDescent="0.25">
      <c r="A26" s="24"/>
      <c r="B26" s="11" t="s">
        <v>152</v>
      </c>
      <c r="F26" s="11">
        <f>E25-F25</f>
        <v>18.779527842098503</v>
      </c>
      <c r="G26" s="11">
        <f t="shared" ref="G26:J26" si="13">F25-G25</f>
        <v>20.497009219571396</v>
      </c>
      <c r="H26" s="11">
        <f t="shared" si="13"/>
        <v>23.303627538860042</v>
      </c>
      <c r="I26" s="11">
        <f t="shared" si="13"/>
        <v>19.579007297228998</v>
      </c>
      <c r="J26" s="11">
        <f t="shared" si="13"/>
        <v>15.276430691536746</v>
      </c>
    </row>
    <row r="27" spans="1:12" x14ac:dyDescent="0.25">
      <c r="B27" s="66"/>
      <c r="C27" s="66"/>
      <c r="D27" s="66"/>
      <c r="E27" s="66"/>
      <c r="F27" s="66"/>
      <c r="G27" s="66"/>
      <c r="H27" s="84"/>
      <c r="I27" s="66"/>
      <c r="J27" s="66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  <row r="40" spans="8:10" x14ac:dyDescent="0.25">
      <c r="H40" s="6"/>
      <c r="I40" s="4"/>
      <c r="J40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F33" sqref="F12:J3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55" t="str">
        <f>CoName</f>
        <v>Cheesecake Factory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s="2" customFormat="1" x14ac:dyDescent="0.25">
      <c r="A2" s="16" t="s">
        <v>10</v>
      </c>
      <c r="B2" s="195"/>
      <c r="C2" s="263">
        <v>2022</v>
      </c>
      <c r="D2" s="263">
        <f>C2+1</f>
        <v>2023</v>
      </c>
      <c r="E2" s="263">
        <f t="shared" ref="E2:J2" si="0">D2+1</f>
        <v>2024</v>
      </c>
      <c r="F2" s="263">
        <f t="shared" si="0"/>
        <v>2025</v>
      </c>
      <c r="G2" s="263">
        <f t="shared" si="0"/>
        <v>2026</v>
      </c>
      <c r="H2" s="263">
        <f t="shared" si="0"/>
        <v>2027</v>
      </c>
      <c r="I2" s="263">
        <f t="shared" si="0"/>
        <v>2028</v>
      </c>
      <c r="J2" s="263">
        <f t="shared" si="0"/>
        <v>2029</v>
      </c>
      <c r="K2" s="204"/>
      <c r="L2" s="204"/>
    </row>
    <row r="3" spans="1:13" s="2" customFormat="1" x14ac:dyDescent="0.25">
      <c r="A3" s="87"/>
      <c r="B3" s="11"/>
      <c r="C3" s="196"/>
      <c r="D3" s="196"/>
      <c r="E3" s="196"/>
      <c r="F3" s="196"/>
      <c r="G3" s="196"/>
      <c r="H3" s="196"/>
      <c r="I3" s="196"/>
      <c r="J3" s="196"/>
      <c r="K3" s="204"/>
      <c r="L3" s="204"/>
    </row>
    <row r="4" spans="1:13" s="2" customFormat="1" x14ac:dyDescent="0.25">
      <c r="A4" s="11"/>
      <c r="B4" s="4" t="s">
        <v>25</v>
      </c>
      <c r="C4" s="30"/>
      <c r="D4" s="56"/>
      <c r="E4" s="60"/>
      <c r="F4" s="111">
        <f>Assumptions!F23</f>
        <v>0.05</v>
      </c>
      <c r="G4" s="111">
        <f>Assumptions!G23</f>
        <v>0.05</v>
      </c>
      <c r="H4" s="111">
        <f>Assumptions!H23</f>
        <v>0.05</v>
      </c>
      <c r="I4" s="111">
        <f>Assumptions!I23</f>
        <v>0.05</v>
      </c>
      <c r="J4" s="111">
        <f>Assumptions!J23</f>
        <v>0.05</v>
      </c>
      <c r="K4" s="29"/>
      <c r="L4" s="29"/>
    </row>
    <row r="5" spans="1:13" s="2" customFormat="1" x14ac:dyDescent="0.25">
      <c r="A5" s="11"/>
      <c r="B5" s="4" t="s">
        <v>26</v>
      </c>
      <c r="C5" s="30"/>
      <c r="D5" s="57"/>
      <c r="E5" s="61"/>
      <c r="F5" s="111">
        <f>Assumptions!F24</f>
        <v>0.05</v>
      </c>
      <c r="G5" s="111">
        <f>Assumptions!G24</f>
        <v>0.05</v>
      </c>
      <c r="H5" s="111">
        <f>Assumptions!H24</f>
        <v>0.05</v>
      </c>
      <c r="I5" s="111">
        <f>Assumptions!I24</f>
        <v>0.05</v>
      </c>
      <c r="J5" s="111">
        <f>Assumptions!J24</f>
        <v>0.05</v>
      </c>
      <c r="K5" s="29"/>
      <c r="L5" s="29"/>
    </row>
    <row r="6" spans="1:13" s="2" customFormat="1" x14ac:dyDescent="0.25">
      <c r="A6" s="11"/>
      <c r="B6" s="4" t="s">
        <v>27</v>
      </c>
      <c r="C6" s="30"/>
      <c r="D6" s="56"/>
      <c r="E6" s="60"/>
      <c r="F6" s="111">
        <f>Assumptions!F25</f>
        <v>0.04</v>
      </c>
      <c r="G6" s="111">
        <f>Assumptions!G25</f>
        <v>0.04</v>
      </c>
      <c r="H6" s="111">
        <f>Assumptions!H25</f>
        <v>0.04</v>
      </c>
      <c r="I6" s="111">
        <f>Assumptions!I25</f>
        <v>0.04</v>
      </c>
      <c r="J6" s="111">
        <f>Assumptions!J25</f>
        <v>0.04</v>
      </c>
      <c r="K6" s="29"/>
      <c r="L6" s="29"/>
    </row>
    <row r="7" spans="1:13" s="2" customFormat="1" x14ac:dyDescent="0.25">
      <c r="A7" s="11"/>
      <c r="B7" s="4"/>
      <c r="C7" s="30"/>
      <c r="D7" s="30"/>
      <c r="E7" s="30"/>
      <c r="F7" s="109"/>
      <c r="G7" s="109"/>
      <c r="H7" s="109"/>
      <c r="I7" s="110"/>
      <c r="J7" s="110"/>
      <c r="K7" s="205"/>
      <c r="L7" s="205"/>
    </row>
    <row r="8" spans="1:13" s="2" customFormat="1" x14ac:dyDescent="0.25">
      <c r="A8" s="11"/>
      <c r="B8" s="4" t="s">
        <v>28</v>
      </c>
      <c r="C8" s="30"/>
      <c r="D8" s="58"/>
      <c r="E8" s="62"/>
      <c r="F8" s="112">
        <f>Assumptions!F27</f>
        <v>0</v>
      </c>
      <c r="G8" s="112">
        <f>Assumptions!G27</f>
        <v>0</v>
      </c>
      <c r="H8" s="112">
        <f>Assumptions!H27</f>
        <v>0</v>
      </c>
      <c r="I8" s="112">
        <f>Assumptions!I27</f>
        <v>0</v>
      </c>
      <c r="J8" s="112">
        <f>Assumptions!J27</f>
        <v>0</v>
      </c>
      <c r="K8" s="206"/>
      <c r="L8" s="206"/>
    </row>
    <row r="9" spans="1:13" s="2" customFormat="1" x14ac:dyDescent="0.25">
      <c r="A9" s="11"/>
      <c r="B9" s="4" t="s">
        <v>29</v>
      </c>
      <c r="C9" s="30"/>
      <c r="D9" s="58"/>
      <c r="E9" s="62"/>
      <c r="F9" s="112">
        <f>Assumptions!F28</f>
        <v>0</v>
      </c>
      <c r="G9" s="112">
        <f>Assumptions!G28</f>
        <v>0</v>
      </c>
      <c r="H9" s="112">
        <f>Assumptions!H28</f>
        <v>0</v>
      </c>
      <c r="I9" s="112">
        <f>Assumptions!I28</f>
        <v>0</v>
      </c>
      <c r="J9" s="112">
        <f>Assumptions!J28</f>
        <v>0</v>
      </c>
      <c r="K9" s="206"/>
      <c r="L9" s="206"/>
    </row>
    <row r="10" spans="1:13" s="2" customFormat="1" ht="18.75" x14ac:dyDescent="0.3">
      <c r="A10" s="33"/>
      <c r="B10" s="3"/>
      <c r="C10" s="53"/>
      <c r="D10" s="53"/>
      <c r="E10" s="53"/>
      <c r="F10" s="108"/>
      <c r="G10" s="108"/>
      <c r="H10" s="108"/>
      <c r="I10" s="108"/>
      <c r="J10" s="108"/>
      <c r="K10" s="53"/>
      <c r="L10" s="53"/>
    </row>
    <row r="11" spans="1:13" x14ac:dyDescent="0.25">
      <c r="A11" s="20" t="s">
        <v>30</v>
      </c>
      <c r="B11" s="54"/>
      <c r="C11" s="254">
        <f>C2</f>
        <v>2022</v>
      </c>
      <c r="D11" s="254">
        <f t="shared" ref="D11:J11" si="1">D2</f>
        <v>2023</v>
      </c>
      <c r="E11" s="254">
        <f t="shared" si="1"/>
        <v>2024</v>
      </c>
      <c r="F11" s="254">
        <f t="shared" si="1"/>
        <v>2025</v>
      </c>
      <c r="G11" s="254">
        <f t="shared" si="1"/>
        <v>2026</v>
      </c>
      <c r="H11" s="254">
        <f t="shared" si="1"/>
        <v>2027</v>
      </c>
      <c r="I11" s="254">
        <f t="shared" si="1"/>
        <v>2028</v>
      </c>
      <c r="J11" s="254">
        <f t="shared" si="1"/>
        <v>2029</v>
      </c>
      <c r="K11" s="207"/>
      <c r="L11" s="207"/>
      <c r="M11" s="47"/>
    </row>
    <row r="12" spans="1:13" x14ac:dyDescent="0.25">
      <c r="B12" s="4" t="s">
        <v>31</v>
      </c>
      <c r="E12" s="27"/>
      <c r="F12" s="4">
        <v>0</v>
      </c>
      <c r="G12" s="4">
        <v>0</v>
      </c>
      <c r="H12" s="4">
        <v>0</v>
      </c>
      <c r="I12" s="4">
        <v>0</v>
      </c>
      <c r="J12" s="4">
        <v>0</v>
      </c>
      <c r="M12" s="47"/>
    </row>
    <row r="13" spans="1:13" x14ac:dyDescent="0.25">
      <c r="B13" s="4" t="s">
        <v>32</v>
      </c>
      <c r="E13" s="28"/>
      <c r="I13" s="4"/>
      <c r="J13" s="4"/>
      <c r="M13" s="47"/>
    </row>
    <row r="14" spans="1:13" x14ac:dyDescent="0.25">
      <c r="B14" s="4" t="s">
        <v>33</v>
      </c>
      <c r="E14" s="27"/>
      <c r="I14" s="4"/>
      <c r="J14" s="4"/>
      <c r="M14" s="47"/>
    </row>
    <row r="15" spans="1:13" x14ac:dyDescent="0.25">
      <c r="E15" s="27"/>
      <c r="I15" s="4"/>
      <c r="J15" s="4"/>
      <c r="M15" s="47"/>
    </row>
    <row r="16" spans="1:13" x14ac:dyDescent="0.25">
      <c r="A16" s="262" t="s">
        <v>34</v>
      </c>
      <c r="B16" s="19"/>
      <c r="C16" s="254">
        <f t="shared" ref="C16:J16" si="2">C11</f>
        <v>2022</v>
      </c>
      <c r="D16" s="254">
        <f t="shared" si="2"/>
        <v>2023</v>
      </c>
      <c r="E16" s="254">
        <f t="shared" si="2"/>
        <v>2024</v>
      </c>
      <c r="F16" s="254">
        <f t="shared" si="2"/>
        <v>2025</v>
      </c>
      <c r="G16" s="254">
        <f t="shared" ref="G16:J16" si="3">G11</f>
        <v>2026</v>
      </c>
      <c r="H16" s="254">
        <f t="shared" si="3"/>
        <v>2027</v>
      </c>
      <c r="I16" s="254">
        <f t="shared" si="3"/>
        <v>2028</v>
      </c>
      <c r="J16" s="254">
        <f t="shared" si="3"/>
        <v>2029</v>
      </c>
      <c r="K16" s="204"/>
      <c r="L16" s="204"/>
      <c r="M16" s="47"/>
    </row>
    <row r="17" spans="1:13" x14ac:dyDescent="0.25">
      <c r="B17" s="4" t="s">
        <v>19</v>
      </c>
      <c r="E17" s="27"/>
      <c r="F17" s="4">
        <f>E20</f>
        <v>452.06200000000001</v>
      </c>
      <c r="G17" s="4">
        <f t="shared" ref="G17:J17" si="4">F20</f>
        <v>452.06200000000001</v>
      </c>
      <c r="H17" s="4">
        <f t="shared" si="4"/>
        <v>452.06200000000001</v>
      </c>
      <c r="I17" s="4">
        <f t="shared" si="4"/>
        <v>452.06200000000001</v>
      </c>
      <c r="J17" s="4">
        <f t="shared" si="4"/>
        <v>452.06200000000001</v>
      </c>
      <c r="M17" s="47"/>
    </row>
    <row r="18" spans="1:13" x14ac:dyDescent="0.25">
      <c r="B18" s="4" t="s">
        <v>35</v>
      </c>
      <c r="E18" s="27"/>
      <c r="F18" s="4">
        <f>F8</f>
        <v>0</v>
      </c>
      <c r="G18" s="4">
        <f t="shared" ref="G18:J18" si="5">G8</f>
        <v>0</v>
      </c>
      <c r="H18" s="4">
        <f t="shared" si="5"/>
        <v>0</v>
      </c>
      <c r="I18" s="4">
        <f t="shared" si="5"/>
        <v>0</v>
      </c>
      <c r="J18" s="4">
        <f t="shared" si="5"/>
        <v>0</v>
      </c>
      <c r="M18" s="47"/>
    </row>
    <row r="19" spans="1:13" x14ac:dyDescent="0.25">
      <c r="B19" s="4" t="s">
        <v>36</v>
      </c>
      <c r="E19" s="27"/>
      <c r="F19" s="4">
        <f>F9</f>
        <v>0</v>
      </c>
      <c r="G19" s="4">
        <f t="shared" ref="G19:J19" si="6">G9</f>
        <v>0</v>
      </c>
      <c r="H19" s="4">
        <f t="shared" si="6"/>
        <v>0</v>
      </c>
      <c r="I19" s="4">
        <f t="shared" si="6"/>
        <v>0</v>
      </c>
      <c r="J19" s="4">
        <f t="shared" si="6"/>
        <v>0</v>
      </c>
    </row>
    <row r="20" spans="1:13" x14ac:dyDescent="0.25">
      <c r="B20" s="4" t="s">
        <v>23</v>
      </c>
      <c r="C20" s="10"/>
      <c r="E20" s="27">
        <f>BalSheet!E35</f>
        <v>452.06200000000001</v>
      </c>
      <c r="F20" s="4">
        <f>SUM(F17:F19)</f>
        <v>452.06200000000001</v>
      </c>
      <c r="G20" s="4">
        <f t="shared" ref="G20:J20" si="7">SUM(G17:G19)</f>
        <v>452.06200000000001</v>
      </c>
      <c r="H20" s="4">
        <f t="shared" si="7"/>
        <v>452.06200000000001</v>
      </c>
      <c r="I20" s="4">
        <f t="shared" si="7"/>
        <v>452.06200000000001</v>
      </c>
      <c r="J20" s="4">
        <f t="shared" si="7"/>
        <v>452.06200000000001</v>
      </c>
    </row>
    <row r="21" spans="1:13" x14ac:dyDescent="0.25">
      <c r="B21" s="4" t="s">
        <v>32</v>
      </c>
      <c r="D21" s="48"/>
      <c r="E21" s="27"/>
      <c r="F21" s="8">
        <f>F5</f>
        <v>0.05</v>
      </c>
      <c r="G21" s="8">
        <f t="shared" ref="G21:J21" si="8">G5</f>
        <v>0.05</v>
      </c>
      <c r="H21" s="8">
        <f t="shared" si="8"/>
        <v>0.05</v>
      </c>
      <c r="I21" s="8">
        <f t="shared" si="8"/>
        <v>0.05</v>
      </c>
      <c r="J21" s="8">
        <f t="shared" si="8"/>
        <v>0.05</v>
      </c>
    </row>
    <row r="22" spans="1:13" x14ac:dyDescent="0.25">
      <c r="B22" s="4" t="s">
        <v>33</v>
      </c>
      <c r="E22" s="27"/>
      <c r="F22" s="4">
        <f>-F21*F20</f>
        <v>-22.603100000000001</v>
      </c>
      <c r="G22" s="4">
        <f t="shared" ref="G22:J22" si="9">-G21*G20</f>
        <v>-22.603100000000001</v>
      </c>
      <c r="H22" s="4">
        <f t="shared" si="9"/>
        <v>-22.603100000000001</v>
      </c>
      <c r="I22" s="4">
        <f t="shared" si="9"/>
        <v>-22.603100000000001</v>
      </c>
      <c r="J22" s="4">
        <f t="shared" si="9"/>
        <v>-22.603100000000001</v>
      </c>
    </row>
    <row r="23" spans="1:13" x14ac:dyDescent="0.25">
      <c r="E23" s="27"/>
      <c r="I23" s="4"/>
      <c r="J23" s="4"/>
    </row>
    <row r="24" spans="1:13" x14ac:dyDescent="0.25">
      <c r="A24" s="20" t="s">
        <v>37</v>
      </c>
      <c r="B24" s="42"/>
      <c r="C24" s="254">
        <f>C16</f>
        <v>2022</v>
      </c>
      <c r="D24" s="254">
        <f t="shared" ref="D24:J24" si="10">D16</f>
        <v>2023</v>
      </c>
      <c r="E24" s="254">
        <f t="shared" si="10"/>
        <v>2024</v>
      </c>
      <c r="F24" s="254">
        <f t="shared" si="10"/>
        <v>2025</v>
      </c>
      <c r="G24" s="254">
        <f t="shared" ref="G24:J24" si="11">G16</f>
        <v>2026</v>
      </c>
      <c r="H24" s="254">
        <f t="shared" si="11"/>
        <v>2027</v>
      </c>
      <c r="I24" s="254">
        <f t="shared" si="11"/>
        <v>2028</v>
      </c>
      <c r="J24" s="254">
        <f t="shared" si="11"/>
        <v>2029</v>
      </c>
      <c r="K24" s="204"/>
      <c r="L24" s="204"/>
    </row>
    <row r="25" spans="1:13" x14ac:dyDescent="0.25">
      <c r="A25" s="7"/>
      <c r="B25" s="4" t="s">
        <v>30</v>
      </c>
      <c r="E25" s="27"/>
      <c r="F25" s="4">
        <f>F12</f>
        <v>0</v>
      </c>
      <c r="G25" s="4">
        <f t="shared" ref="G25:J25" si="12">G12</f>
        <v>0</v>
      </c>
      <c r="H25" s="4">
        <f t="shared" si="12"/>
        <v>0</v>
      </c>
      <c r="I25" s="4">
        <f t="shared" si="12"/>
        <v>0</v>
      </c>
      <c r="J25" s="4">
        <f t="shared" si="12"/>
        <v>0</v>
      </c>
    </row>
    <row r="26" spans="1:13" x14ac:dyDescent="0.25">
      <c r="A26" s="7"/>
      <c r="B26" s="4" t="s">
        <v>38</v>
      </c>
      <c r="E26" s="27"/>
      <c r="F26" s="4">
        <f>F20</f>
        <v>452.06200000000001</v>
      </c>
      <c r="G26" s="4">
        <f t="shared" ref="G26:J26" si="13">G20</f>
        <v>452.06200000000001</v>
      </c>
      <c r="H26" s="4">
        <f t="shared" si="13"/>
        <v>452.06200000000001</v>
      </c>
      <c r="I26" s="4">
        <f t="shared" si="13"/>
        <v>452.06200000000001</v>
      </c>
      <c r="J26" s="4">
        <f t="shared" si="13"/>
        <v>452.06200000000001</v>
      </c>
    </row>
    <row r="27" spans="1:13" x14ac:dyDescent="0.25">
      <c r="A27" s="7"/>
      <c r="B27" s="11" t="s">
        <v>39</v>
      </c>
      <c r="D27" s="11"/>
      <c r="E27" s="24"/>
      <c r="F27" s="11">
        <f>SUM(F25:F26)</f>
        <v>452.06200000000001</v>
      </c>
      <c r="G27" s="11">
        <f t="shared" ref="G27:J27" si="14">SUM(G25:G26)</f>
        <v>452.06200000000001</v>
      </c>
      <c r="H27" s="11">
        <f t="shared" si="14"/>
        <v>452.06200000000001</v>
      </c>
      <c r="I27" s="11">
        <f t="shared" si="14"/>
        <v>452.06200000000001</v>
      </c>
      <c r="J27" s="11">
        <f t="shared" si="14"/>
        <v>452.06200000000001</v>
      </c>
      <c r="K27" s="11"/>
      <c r="L27" s="11"/>
    </row>
    <row r="28" spans="1:13" x14ac:dyDescent="0.25">
      <c r="A28" s="7"/>
      <c r="B28" s="4" t="s">
        <v>40</v>
      </c>
      <c r="E28" s="27"/>
      <c r="F28" s="4">
        <f>F22</f>
        <v>-22.603100000000001</v>
      </c>
      <c r="G28" s="4">
        <f t="shared" ref="G28:J28" si="15">G22</f>
        <v>-22.603100000000001</v>
      </c>
      <c r="H28" s="4">
        <f t="shared" si="15"/>
        <v>-22.603100000000001</v>
      </c>
      <c r="I28" s="4">
        <f t="shared" si="15"/>
        <v>-22.603100000000001</v>
      </c>
      <c r="J28" s="4">
        <f t="shared" si="15"/>
        <v>-22.603100000000001</v>
      </c>
    </row>
    <row r="29" spans="1:13" x14ac:dyDescent="0.25">
      <c r="A29" s="7"/>
      <c r="E29" s="27"/>
      <c r="I29" s="4"/>
      <c r="J29" s="4"/>
    </row>
    <row r="30" spans="1:13" x14ac:dyDescent="0.25">
      <c r="A30" s="20" t="s">
        <v>41</v>
      </c>
      <c r="B30" s="42"/>
      <c r="C30" s="254">
        <f>C11</f>
        <v>2022</v>
      </c>
      <c r="D30" s="254">
        <f t="shared" ref="D30:J30" si="16">D11</f>
        <v>2023</v>
      </c>
      <c r="E30" s="254">
        <f t="shared" si="16"/>
        <v>2024</v>
      </c>
      <c r="F30" s="254">
        <f t="shared" si="16"/>
        <v>2025</v>
      </c>
      <c r="G30" s="254">
        <f t="shared" ref="G30:J30" si="17">G11</f>
        <v>2026</v>
      </c>
      <c r="H30" s="254">
        <f t="shared" si="17"/>
        <v>2027</v>
      </c>
      <c r="I30" s="254">
        <f t="shared" si="17"/>
        <v>2028</v>
      </c>
      <c r="J30" s="254">
        <f t="shared" si="17"/>
        <v>2029</v>
      </c>
      <c r="K30" s="204"/>
      <c r="L30" s="204"/>
    </row>
    <row r="31" spans="1:13" x14ac:dyDescent="0.25">
      <c r="A31" s="7"/>
      <c r="B31" s="4" t="s">
        <v>170</v>
      </c>
      <c r="E31" s="27"/>
      <c r="F31" s="4">
        <f>BalSheet!F17</f>
        <v>172.69755708005962</v>
      </c>
      <c r="G31" s="4">
        <f>BalSheet!G17</f>
        <v>312.47905655824093</v>
      </c>
      <c r="H31" s="4">
        <f>BalSheet!H17</f>
        <v>473.70337292771859</v>
      </c>
      <c r="I31" s="4">
        <f>BalSheet!I17</f>
        <v>632.55267942306773</v>
      </c>
      <c r="J31" s="4">
        <f>BalSheet!J17</f>
        <v>787.65219549179392</v>
      </c>
    </row>
    <row r="32" spans="1:13" x14ac:dyDescent="0.25">
      <c r="B32" s="4" t="s">
        <v>32</v>
      </c>
      <c r="D32" s="48"/>
      <c r="E32" s="23"/>
      <c r="F32" s="5">
        <f>F6</f>
        <v>0.04</v>
      </c>
      <c r="G32" s="5">
        <f t="shared" ref="G32:J32" si="18">G6</f>
        <v>0.04</v>
      </c>
      <c r="H32" s="5">
        <f t="shared" si="18"/>
        <v>0.04</v>
      </c>
      <c r="I32" s="5">
        <f t="shared" si="18"/>
        <v>0.04</v>
      </c>
      <c r="J32" s="5">
        <f t="shared" si="18"/>
        <v>0.04</v>
      </c>
      <c r="K32" s="172"/>
      <c r="L32" s="172"/>
    </row>
    <row r="33" spans="2:10" x14ac:dyDescent="0.25">
      <c r="B33" s="4" t="s">
        <v>41</v>
      </c>
      <c r="E33" s="27"/>
      <c r="F33" s="4">
        <f>F31*F32</f>
        <v>6.9079022832023851</v>
      </c>
      <c r="G33" s="4">
        <f t="shared" ref="G33:J33" si="19">G31*G32</f>
        <v>12.499162262329637</v>
      </c>
      <c r="H33" s="4">
        <f t="shared" si="19"/>
        <v>18.948134917108742</v>
      </c>
      <c r="I33" s="4">
        <f t="shared" si="19"/>
        <v>25.302107176922711</v>
      </c>
      <c r="J33" s="4">
        <f t="shared" si="19"/>
        <v>31.506087819671759</v>
      </c>
    </row>
    <row r="34" spans="2:10" x14ac:dyDescent="0.25">
      <c r="E34" s="27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3"/>
  <sheetViews>
    <sheetView showGridLines="0" topLeftCell="A4" zoomScaleNormal="100" workbookViewId="0">
      <selection activeCell="F41" sqref="F16:J41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0" width="11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55" t="str">
        <f>CoName</f>
        <v>Cheesecake Factory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6" t="s">
        <v>10</v>
      </c>
      <c r="B2" s="15"/>
      <c r="C2" s="264">
        <v>2022</v>
      </c>
      <c r="D2" s="264">
        <f>C2+1</f>
        <v>2023</v>
      </c>
      <c r="E2" s="264">
        <f t="shared" ref="E2:J2" si="0">D2+1</f>
        <v>2024</v>
      </c>
      <c r="F2" s="264">
        <f t="shared" si="0"/>
        <v>2025</v>
      </c>
      <c r="G2" s="264">
        <f t="shared" si="0"/>
        <v>2026</v>
      </c>
      <c r="H2" s="264">
        <f t="shared" si="0"/>
        <v>2027</v>
      </c>
      <c r="I2" s="264">
        <f t="shared" si="0"/>
        <v>2028</v>
      </c>
      <c r="J2" s="264">
        <f t="shared" si="0"/>
        <v>2029</v>
      </c>
    </row>
    <row r="3" spans="1:12" x14ac:dyDescent="0.25">
      <c r="A3" s="87"/>
      <c r="C3" s="100"/>
      <c r="D3" s="100"/>
      <c r="E3" s="100"/>
    </row>
    <row r="4" spans="1:12" x14ac:dyDescent="0.25">
      <c r="B4" s="30" t="s">
        <v>43</v>
      </c>
      <c r="C4" s="31"/>
      <c r="D4" s="31"/>
      <c r="E4" s="32"/>
      <c r="F4" s="176">
        <f>Assumptions!F10</f>
        <v>4.3999999999999997E-2</v>
      </c>
      <c r="G4" s="176">
        <f>Assumptions!G10</f>
        <v>4.5999999999999999E-2</v>
      </c>
      <c r="H4" s="176">
        <f>Assumptions!H10</f>
        <v>0.05</v>
      </c>
      <c r="I4" s="176">
        <f>Assumptions!I10</f>
        <v>0.04</v>
      </c>
      <c r="J4" s="176">
        <f>Assumptions!J10</f>
        <v>0.03</v>
      </c>
      <c r="K4" s="209"/>
      <c r="L4" s="209"/>
    </row>
    <row r="5" spans="1:12" x14ac:dyDescent="0.25">
      <c r="B5" s="30" t="s">
        <v>44</v>
      </c>
      <c r="C5" s="31"/>
      <c r="D5" s="31"/>
      <c r="E5" s="31"/>
      <c r="F5" s="176">
        <f>Assumptions!F11</f>
        <v>0.84068780188178804</v>
      </c>
      <c r="G5" s="176">
        <f>Assumptions!G11</f>
        <v>0.83568780188178804</v>
      </c>
      <c r="H5" s="176">
        <f>Assumptions!H11</f>
        <v>0.83068780188178803</v>
      </c>
      <c r="I5" s="176">
        <f>Assumptions!I11</f>
        <v>0.82568780188178803</v>
      </c>
      <c r="J5" s="176">
        <f>Assumptions!J11</f>
        <v>0.82068780188178803</v>
      </c>
      <c r="K5" s="209"/>
      <c r="L5" s="209"/>
    </row>
    <row r="6" spans="1:12" x14ac:dyDescent="0.25">
      <c r="B6" s="30" t="s">
        <v>45</v>
      </c>
      <c r="C6" s="31"/>
      <c r="D6" s="31"/>
      <c r="E6" s="31"/>
      <c r="F6" s="176">
        <f>Assumptions!F12</f>
        <v>9.9877711701147495E-2</v>
      </c>
      <c r="G6" s="176">
        <f>Assumptions!G12</f>
        <v>9.9877711701147495E-2</v>
      </c>
      <c r="H6" s="176">
        <f>Assumptions!H12</f>
        <v>9.9877711701147495E-2</v>
      </c>
      <c r="I6" s="176">
        <f>Assumptions!I12</f>
        <v>9.9877711701147495E-2</v>
      </c>
      <c r="J6" s="176">
        <f>Assumptions!J12</f>
        <v>9.9877711701147495E-2</v>
      </c>
      <c r="K6" s="209"/>
      <c r="L6" s="209"/>
    </row>
    <row r="7" spans="1:12" x14ac:dyDescent="0.25">
      <c r="A7" s="87"/>
      <c r="B7" s="4" t="s">
        <v>46</v>
      </c>
      <c r="C7" s="30"/>
      <c r="D7" s="30"/>
      <c r="E7" s="30"/>
      <c r="F7" s="177">
        <f>Assumptions!F13</f>
        <v>0</v>
      </c>
      <c r="G7" s="177">
        <f>Assumptions!G13</f>
        <v>0</v>
      </c>
      <c r="H7" s="177">
        <f>Assumptions!H13</f>
        <v>0</v>
      </c>
      <c r="I7" s="177">
        <f>Assumptions!I13</f>
        <v>0</v>
      </c>
      <c r="J7" s="177">
        <f>Assumptions!J13</f>
        <v>0</v>
      </c>
      <c r="K7" s="210"/>
      <c r="L7" s="210"/>
    </row>
    <row r="8" spans="1:12" x14ac:dyDescent="0.25">
      <c r="A8" s="87"/>
      <c r="B8" s="4" t="s">
        <v>47</v>
      </c>
      <c r="C8" s="30"/>
      <c r="D8" s="30"/>
      <c r="E8" s="30"/>
      <c r="F8" s="178">
        <f>Assumptions!F14</f>
        <v>0</v>
      </c>
      <c r="G8" s="178">
        <f>Assumptions!G14</f>
        <v>0</v>
      </c>
      <c r="H8" s="178">
        <f>Assumptions!H14</f>
        <v>0</v>
      </c>
      <c r="I8" s="178">
        <f>Assumptions!I14</f>
        <v>0</v>
      </c>
      <c r="J8" s="178">
        <f>Assumptions!J14</f>
        <v>0</v>
      </c>
      <c r="K8" s="211"/>
      <c r="L8" s="211"/>
    </row>
    <row r="9" spans="1:12" x14ac:dyDescent="0.25">
      <c r="B9" s="4" t="s">
        <v>147</v>
      </c>
      <c r="F9" s="178">
        <f>Assumptions!F15</f>
        <v>0</v>
      </c>
      <c r="G9" s="178">
        <f>Assumptions!G15</f>
        <v>0</v>
      </c>
      <c r="H9" s="178">
        <f>Assumptions!H15</f>
        <v>0</v>
      </c>
      <c r="I9" s="178">
        <f>Assumptions!I15</f>
        <v>0</v>
      </c>
      <c r="J9" s="178">
        <f>Assumptions!J15</f>
        <v>0</v>
      </c>
      <c r="K9" s="211"/>
      <c r="L9" s="211"/>
    </row>
    <row r="10" spans="1:12" x14ac:dyDescent="0.25">
      <c r="B10" s="30" t="s">
        <v>48</v>
      </c>
      <c r="C10" s="43"/>
      <c r="D10" s="43"/>
      <c r="E10" s="43"/>
      <c r="F10" s="176">
        <f>Assumptions!F16</f>
        <v>0.22</v>
      </c>
      <c r="G10" s="176">
        <f>Assumptions!G16</f>
        <v>0.22</v>
      </c>
      <c r="H10" s="176">
        <f>Assumptions!H16</f>
        <v>0.22</v>
      </c>
      <c r="I10" s="176">
        <f>Assumptions!I16</f>
        <v>0.22</v>
      </c>
      <c r="J10" s="176">
        <f>Assumptions!J16</f>
        <v>0.22</v>
      </c>
      <c r="K10" s="209"/>
      <c r="L10" s="209"/>
    </row>
    <row r="11" spans="1:12" s="266" customFormat="1" x14ac:dyDescent="0.25">
      <c r="A11" s="269"/>
      <c r="B11" s="266" t="s">
        <v>141</v>
      </c>
      <c r="E11" s="270"/>
      <c r="F11" s="271">
        <f>Assumptions!F17</f>
        <v>1.3098997677289752</v>
      </c>
      <c r="G11" s="271">
        <f>Assumptions!G17</f>
        <v>1.5098997677289752</v>
      </c>
      <c r="H11" s="271">
        <f>Assumptions!H17</f>
        <v>1.7098997677289751</v>
      </c>
      <c r="I11" s="271">
        <f>Assumptions!I17</f>
        <v>1.9098997677289751</v>
      </c>
      <c r="J11" s="271">
        <f>Assumptions!J17</f>
        <v>2.109899767728975</v>
      </c>
      <c r="K11" s="272"/>
      <c r="L11" s="272"/>
    </row>
    <row r="12" spans="1:12" x14ac:dyDescent="0.25">
      <c r="B12" s="4" t="s">
        <v>49</v>
      </c>
      <c r="C12" s="30"/>
      <c r="D12" s="30"/>
      <c r="E12" s="39"/>
      <c r="F12" s="178">
        <f>Assumptions!F18</f>
        <v>47.789000000000001</v>
      </c>
      <c r="G12" s="178">
        <f>Assumptions!G18</f>
        <v>47.789000000000001</v>
      </c>
      <c r="H12" s="178">
        <f>Assumptions!H18</f>
        <v>47.789000000000001</v>
      </c>
      <c r="I12" s="178">
        <f>Assumptions!I18</f>
        <v>47.789000000000001</v>
      </c>
      <c r="J12" s="178">
        <f>Assumptions!J18</f>
        <v>47.789000000000001</v>
      </c>
      <c r="K12" s="211"/>
      <c r="L12" s="211"/>
    </row>
    <row r="13" spans="1:12" x14ac:dyDescent="0.25">
      <c r="B13" s="4" t="s">
        <v>50</v>
      </c>
      <c r="C13" s="30"/>
      <c r="D13" s="30"/>
      <c r="E13" s="39"/>
      <c r="F13" s="178">
        <f>Assumptions!F19</f>
        <v>48.973999999999997</v>
      </c>
      <c r="G13" s="178">
        <f>Assumptions!G19</f>
        <v>48.973999999999997</v>
      </c>
      <c r="H13" s="178">
        <f>Assumptions!H19</f>
        <v>48.973999999999997</v>
      </c>
      <c r="I13" s="178">
        <f>Assumptions!I19</f>
        <v>48.973999999999997</v>
      </c>
      <c r="J13" s="178">
        <f>Assumptions!J19</f>
        <v>48.973999999999997</v>
      </c>
      <c r="K13" s="211"/>
      <c r="L13" s="211"/>
    </row>
    <row r="14" spans="1:12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4.85" customHeight="1" x14ac:dyDescent="0.25">
      <c r="A15" s="179" t="s">
        <v>42</v>
      </c>
      <c r="B15" s="180"/>
      <c r="C15" s="151">
        <f>C37</f>
        <v>44926</v>
      </c>
      <c r="D15" s="151">
        <f t="shared" ref="D15:J15" si="1">D37</f>
        <v>45291</v>
      </c>
      <c r="E15" s="151">
        <f t="shared" si="1"/>
        <v>45657</v>
      </c>
      <c r="F15" s="151">
        <f t="shared" si="1"/>
        <v>46022</v>
      </c>
      <c r="G15" s="151">
        <f t="shared" si="1"/>
        <v>46022</v>
      </c>
      <c r="H15" s="151">
        <f t="shared" si="1"/>
        <v>46022</v>
      </c>
      <c r="I15" s="151">
        <f t="shared" si="1"/>
        <v>46022</v>
      </c>
      <c r="J15" s="151">
        <f t="shared" si="1"/>
        <v>46022</v>
      </c>
      <c r="K15" s="207"/>
      <c r="L15" s="207"/>
    </row>
    <row r="16" spans="1:12" x14ac:dyDescent="0.25">
      <c r="B16" s="4" t="s">
        <v>51</v>
      </c>
      <c r="C16" s="98">
        <v>3303.2</v>
      </c>
      <c r="D16" s="124">
        <v>3439.5</v>
      </c>
      <c r="E16" s="22">
        <v>3581.7</v>
      </c>
      <c r="F16" s="4">
        <f>E16*(1+F4)</f>
        <v>3739.2948000000001</v>
      </c>
      <c r="G16" s="4">
        <f t="shared" ref="G16:J16" si="2">F16*(1+G4)</f>
        <v>3911.3023608000003</v>
      </c>
      <c r="H16" s="4">
        <f t="shared" si="2"/>
        <v>4106.8674788400003</v>
      </c>
      <c r="I16" s="4">
        <f t="shared" si="2"/>
        <v>4271.1421779936009</v>
      </c>
      <c r="J16" s="4">
        <f t="shared" si="2"/>
        <v>4399.2764433334087</v>
      </c>
    </row>
    <row r="17" spans="1:12" x14ac:dyDescent="0.25">
      <c r="B17" s="4" t="s">
        <v>159</v>
      </c>
      <c r="C17" s="124">
        <f>810.9+1211.951+881.6</f>
        <v>2904.451</v>
      </c>
      <c r="D17" s="124">
        <f>803.5+1227.9+922.4</f>
        <v>2953.8</v>
      </c>
      <c r="E17" s="22">
        <f>806+1264+959</f>
        <v>3029</v>
      </c>
      <c r="F17" s="174">
        <f>F16*F5</f>
        <v>3143.5795260000004</v>
      </c>
      <c r="G17" s="174">
        <f t="shared" ref="G17:J17" si="3">G16*G5</f>
        <v>3268.6276723920005</v>
      </c>
      <c r="H17" s="174">
        <f t="shared" si="3"/>
        <v>3411.5247186174006</v>
      </c>
      <c r="I17" s="174">
        <f t="shared" si="3"/>
        <v>3526.6299964721288</v>
      </c>
      <c r="J17" s="174">
        <f t="shared" si="3"/>
        <v>3610.4325141496256</v>
      </c>
      <c r="K17" s="208"/>
      <c r="L17" s="208"/>
    </row>
    <row r="18" spans="1:12" x14ac:dyDescent="0.25">
      <c r="B18" s="4" t="s">
        <v>52</v>
      </c>
      <c r="C18" s="124">
        <f>205.753+92.38+16.9</f>
        <v>315.03299999999996</v>
      </c>
      <c r="D18" s="124">
        <f>219.45+93.136+25.379</f>
        <v>337.96500000000003</v>
      </c>
      <c r="E18" s="22">
        <f>228.737+101.5+27.495</f>
        <v>357.73199999999997</v>
      </c>
      <c r="F18" s="174">
        <f>F16*F6</f>
        <v>373.47220800000002</v>
      </c>
      <c r="G18" s="174">
        <f t="shared" ref="G18:J18" si="4">G16*G6</f>
        <v>390.65192956800001</v>
      </c>
      <c r="H18" s="174">
        <f t="shared" si="4"/>
        <v>410.18452604640004</v>
      </c>
      <c r="I18" s="174">
        <f t="shared" si="4"/>
        <v>426.59190708825605</v>
      </c>
      <c r="J18" s="174">
        <f t="shared" si="4"/>
        <v>439.38966430090375</v>
      </c>
      <c r="K18" s="208"/>
      <c r="L18" s="208"/>
    </row>
    <row r="19" spans="1:12" s="11" customFormat="1" x14ac:dyDescent="0.25">
      <c r="A19" s="11" t="s">
        <v>126</v>
      </c>
      <c r="B19" s="17" t="s">
        <v>55</v>
      </c>
      <c r="C19" s="18">
        <f>C16-SUM(C17:C18)</f>
        <v>83.715999999999894</v>
      </c>
      <c r="D19" s="18">
        <f>D16-SUM(D17:D18)</f>
        <v>147.73499999999967</v>
      </c>
      <c r="E19" s="18">
        <f>E16-SUM(E17:E18)</f>
        <v>194.96799999999985</v>
      </c>
      <c r="F19" s="18">
        <f>F16-SUM(F17:F18)</f>
        <v>222.24306599999954</v>
      </c>
      <c r="G19" s="18">
        <f t="shared" ref="G19:J19" si="5">G16-SUM(G17:G18)</f>
        <v>252.02275883999982</v>
      </c>
      <c r="H19" s="18">
        <f t="shared" si="5"/>
        <v>285.15823417619958</v>
      </c>
      <c r="I19" s="18">
        <f t="shared" si="5"/>
        <v>317.92027443321604</v>
      </c>
      <c r="J19" s="18">
        <f t="shared" si="5"/>
        <v>349.45426488287922</v>
      </c>
    </row>
    <row r="20" spans="1:12" s="11" customFormat="1" x14ac:dyDescent="0.25">
      <c r="E20" s="35"/>
    </row>
    <row r="21" spans="1:12" s="11" customFormat="1" x14ac:dyDescent="0.25">
      <c r="B21" s="4" t="s">
        <v>15</v>
      </c>
      <c r="C21" s="125">
        <v>92.38</v>
      </c>
      <c r="D21" s="125">
        <v>93.135999999999996</v>
      </c>
      <c r="E21" s="25">
        <v>101.45</v>
      </c>
      <c r="F21" s="4">
        <f>Calcs!F8</f>
        <v>108.61712175796123</v>
      </c>
      <c r="G21" s="4">
        <f>Calcs!G8</f>
        <v>111.46885302741003</v>
      </c>
      <c r="H21" s="4">
        <f>Calcs!H8</f>
        <v>114.55570570638196</v>
      </c>
      <c r="I21" s="4">
        <f>Calcs!I8</f>
        <v>117.91741476409936</v>
      </c>
      <c r="J21" s="4">
        <f>Calcs!J8</f>
        <v>121.47274521597656</v>
      </c>
      <c r="K21" s="4"/>
      <c r="L21" s="4"/>
    </row>
    <row r="22" spans="1:12" s="11" customFormat="1" x14ac:dyDescent="0.25">
      <c r="B22" s="4" t="s">
        <v>54</v>
      </c>
      <c r="C22" s="98">
        <v>0</v>
      </c>
      <c r="D22" s="98">
        <v>0</v>
      </c>
      <c r="E22" s="126">
        <v>0</v>
      </c>
      <c r="F22" s="4">
        <f>F7</f>
        <v>0</v>
      </c>
      <c r="G22" s="4">
        <f t="shared" ref="G22:J22" si="6">G7</f>
        <v>0</v>
      </c>
      <c r="H22" s="4">
        <f t="shared" si="6"/>
        <v>0</v>
      </c>
      <c r="I22" s="4">
        <f t="shared" si="6"/>
        <v>0</v>
      </c>
      <c r="J22" s="4">
        <f t="shared" si="6"/>
        <v>0</v>
      </c>
      <c r="K22" s="4"/>
      <c r="L22" s="4"/>
    </row>
    <row r="23" spans="1:12" s="129" customFormat="1" x14ac:dyDescent="0.25">
      <c r="A23" s="129" t="s">
        <v>126</v>
      </c>
      <c r="B23" s="130" t="s">
        <v>53</v>
      </c>
      <c r="C23" s="131">
        <f>SUM(C19,C21:C22)</f>
        <v>176.09599999999989</v>
      </c>
      <c r="D23" s="131">
        <f t="shared" ref="D23:F23" si="7">SUM(D19,D21:D22)</f>
        <v>240.87099999999967</v>
      </c>
      <c r="E23" s="131">
        <f t="shared" si="7"/>
        <v>296.41799999999984</v>
      </c>
      <c r="F23" s="131">
        <f t="shared" si="7"/>
        <v>330.86018775796077</v>
      </c>
      <c r="G23" s="131">
        <f t="shared" ref="G23:J23" si="8">SUM(G19,G21:G22)</f>
        <v>363.49161186740986</v>
      </c>
      <c r="H23" s="131">
        <f t="shared" si="8"/>
        <v>399.71393988258154</v>
      </c>
      <c r="I23" s="131">
        <f t="shared" si="8"/>
        <v>435.8376891973154</v>
      </c>
      <c r="J23" s="131">
        <f t="shared" si="8"/>
        <v>470.92701009885576</v>
      </c>
    </row>
    <row r="24" spans="1:12" s="11" customFormat="1" x14ac:dyDescent="0.25">
      <c r="C24" s="13"/>
      <c r="D24" s="4"/>
      <c r="E24" s="36"/>
      <c r="F24" s="4"/>
      <c r="G24" s="4"/>
      <c r="H24" s="4"/>
      <c r="I24" s="4"/>
      <c r="J24" s="4"/>
      <c r="K24" s="13"/>
      <c r="L24" s="13"/>
    </row>
    <row r="25" spans="1:12" s="11" customFormat="1" x14ac:dyDescent="0.25">
      <c r="B25" s="4" t="s">
        <v>56</v>
      </c>
      <c r="C25" s="96">
        <f>-31.38-13.36</f>
        <v>-44.739999999999995</v>
      </c>
      <c r="D25" s="96">
        <f>-29.464-11.686</f>
        <v>-41.15</v>
      </c>
      <c r="E25" s="97">
        <f>-13.647-2.429</f>
        <v>-16.076000000000001</v>
      </c>
      <c r="F25" s="4">
        <f>F8</f>
        <v>0</v>
      </c>
      <c r="G25" s="4">
        <f t="shared" ref="G25:J25" si="9">G8</f>
        <v>0</v>
      </c>
      <c r="H25" s="4">
        <f t="shared" si="9"/>
        <v>0</v>
      </c>
      <c r="I25" s="4">
        <f t="shared" si="9"/>
        <v>0</v>
      </c>
      <c r="J25" s="4">
        <f t="shared" si="9"/>
        <v>0</v>
      </c>
      <c r="K25" s="4"/>
      <c r="L25" s="4"/>
    </row>
    <row r="26" spans="1:12" s="11" customFormat="1" x14ac:dyDescent="0.25">
      <c r="B26" s="4" t="s">
        <v>57</v>
      </c>
      <c r="C26" s="96">
        <f>-7.488+1.4</f>
        <v>-6.088000000000001</v>
      </c>
      <c r="D26" s="96">
        <f>-10.16+1.608</f>
        <v>-8.5519999999999996</v>
      </c>
      <c r="E26" s="97">
        <f>-10.107+2.837</f>
        <v>-7.27</v>
      </c>
      <c r="F26" s="4">
        <f>F9</f>
        <v>0</v>
      </c>
      <c r="G26" s="4">
        <f t="shared" ref="G26:J26" si="10">G9</f>
        <v>0</v>
      </c>
      <c r="H26" s="4">
        <f t="shared" si="10"/>
        <v>0</v>
      </c>
      <c r="I26" s="4">
        <f t="shared" si="10"/>
        <v>0</v>
      </c>
      <c r="J26" s="4">
        <f t="shared" si="10"/>
        <v>0</v>
      </c>
      <c r="K26" s="4"/>
      <c r="L26" s="4"/>
    </row>
    <row r="27" spans="1:12" s="11" customFormat="1" x14ac:dyDescent="0.25">
      <c r="B27" s="4"/>
      <c r="C27" s="10"/>
      <c r="D27" s="10"/>
      <c r="E27" s="22"/>
      <c r="F27" s="4"/>
      <c r="G27" s="4"/>
      <c r="H27" s="4"/>
      <c r="I27" s="4"/>
      <c r="J27" s="4"/>
      <c r="K27" s="4"/>
      <c r="L27" s="4"/>
    </row>
    <row r="28" spans="1:12" s="11" customFormat="1" x14ac:dyDescent="0.25">
      <c r="B28" s="4" t="s">
        <v>41</v>
      </c>
      <c r="C28" s="9"/>
      <c r="D28" s="9"/>
      <c r="E28" s="45"/>
      <c r="F28" s="277">
        <f>IF(circ=1,Debt!F33,0)</f>
        <v>0</v>
      </c>
      <c r="G28" s="277">
        <f>IF(circ=1,Debt!G33,0)</f>
        <v>0</v>
      </c>
      <c r="H28" s="277">
        <f>IF(circ=1,Debt!H33,0)</f>
        <v>0</v>
      </c>
      <c r="I28" s="277">
        <f>IF(circ=1,Debt!I33,0)</f>
        <v>0</v>
      </c>
      <c r="J28" s="277">
        <f>IF(circ=1,Debt!J33,0)</f>
        <v>0</v>
      </c>
      <c r="K28" s="184"/>
      <c r="L28" s="184"/>
    </row>
    <row r="29" spans="1:12" x14ac:dyDescent="0.25">
      <c r="B29" s="4" t="s">
        <v>33</v>
      </c>
      <c r="C29" s="9">
        <v>-7.4880000000000004</v>
      </c>
      <c r="D29" s="9">
        <v>-10.169</v>
      </c>
      <c r="E29" s="45">
        <v>-10.106999999999999</v>
      </c>
      <c r="F29" s="277">
        <f>IF(circ=1,Debt!F22,0)</f>
        <v>0</v>
      </c>
      <c r="G29" s="277">
        <f>IF(circ=1,Debt!G22,0)</f>
        <v>0</v>
      </c>
      <c r="H29" s="277">
        <f>IF(circ=1,Debt!H22,0)</f>
        <v>0</v>
      </c>
      <c r="I29" s="277">
        <f>IF(circ=1,Debt!I22,0)</f>
        <v>0</v>
      </c>
      <c r="J29" s="277">
        <f>IF(circ=1,Debt!J22,0)</f>
        <v>0</v>
      </c>
      <c r="K29" s="184"/>
      <c r="L29" s="184"/>
    </row>
    <row r="30" spans="1:12" x14ac:dyDescent="0.25">
      <c r="C30" s="10"/>
      <c r="D30" s="10"/>
      <c r="E30" s="22"/>
      <c r="H30" s="4"/>
    </row>
    <row r="31" spans="1:12" s="11" customFormat="1" x14ac:dyDescent="0.25">
      <c r="A31" s="11" t="s">
        <v>126</v>
      </c>
      <c r="B31" s="17" t="s">
        <v>86</v>
      </c>
      <c r="C31" s="18">
        <f t="shared" ref="C31:D31" si="11">C19+SUM(C26:C29)</f>
        <v>70.139999999999901</v>
      </c>
      <c r="D31" s="18">
        <f t="shared" si="11"/>
        <v>129.01399999999967</v>
      </c>
      <c r="E31" s="18">
        <f>E19+SUM(E25:E29)</f>
        <v>161.51499999999984</v>
      </c>
      <c r="F31" s="18">
        <f>F19+SUM(F25:F29)</f>
        <v>222.24306599999954</v>
      </c>
      <c r="G31" s="18">
        <f t="shared" ref="G31:J31" si="12">G19+SUM(G25:G29)</f>
        <v>252.02275883999982</v>
      </c>
      <c r="H31" s="18">
        <f t="shared" si="12"/>
        <v>285.15823417619958</v>
      </c>
      <c r="I31" s="18">
        <f t="shared" si="12"/>
        <v>317.92027443321604</v>
      </c>
      <c r="J31" s="18">
        <f t="shared" si="12"/>
        <v>349.45426488287922</v>
      </c>
    </row>
    <row r="32" spans="1:12" x14ac:dyDescent="0.25">
      <c r="E32" s="37"/>
      <c r="H32" s="4"/>
    </row>
    <row r="33" spans="1:12" x14ac:dyDescent="0.25">
      <c r="B33" s="4" t="s">
        <v>58</v>
      </c>
      <c r="C33" s="133">
        <v>-10.231</v>
      </c>
      <c r="D33" s="4">
        <v>-1.337</v>
      </c>
      <c r="E33" s="59">
        <v>14.263999999999999</v>
      </c>
      <c r="F33" s="4">
        <f>F31*F10</f>
        <v>48.893474519999899</v>
      </c>
      <c r="G33" s="4">
        <f t="shared" ref="G33:J33" si="13">G31*G10</f>
        <v>55.445006944799964</v>
      </c>
      <c r="H33" s="4">
        <f t="shared" si="13"/>
        <v>62.734811518763912</v>
      </c>
      <c r="I33" s="4">
        <f t="shared" si="13"/>
        <v>69.942460375307533</v>
      </c>
      <c r="J33" s="4">
        <f t="shared" si="13"/>
        <v>76.879938274233425</v>
      </c>
    </row>
    <row r="34" spans="1:12" s="11" customFormat="1" x14ac:dyDescent="0.25">
      <c r="A34" s="11" t="s">
        <v>126</v>
      </c>
      <c r="B34" s="17" t="s">
        <v>59</v>
      </c>
      <c r="C34" s="18">
        <f>C31-C33</f>
        <v>80.370999999999896</v>
      </c>
      <c r="D34" s="34">
        <f t="shared" ref="D34:F34" si="14">D31-D33</f>
        <v>130.35099999999966</v>
      </c>
      <c r="E34" s="18">
        <f t="shared" si="14"/>
        <v>147.25099999999983</v>
      </c>
      <c r="F34" s="18">
        <f t="shared" si="14"/>
        <v>173.34959147999965</v>
      </c>
      <c r="G34" s="18">
        <f t="shared" ref="G34:J34" si="15">G31-G33</f>
        <v>196.57775189519987</v>
      </c>
      <c r="H34" s="18">
        <f t="shared" si="15"/>
        <v>222.42342265743568</v>
      </c>
      <c r="I34" s="18">
        <f t="shared" si="15"/>
        <v>247.97781405790852</v>
      </c>
      <c r="J34" s="18">
        <f t="shared" si="15"/>
        <v>272.57432660864578</v>
      </c>
    </row>
    <row r="35" spans="1:12" s="266" customFormat="1" x14ac:dyDescent="0.25">
      <c r="A35" s="269"/>
      <c r="B35" s="266" t="s">
        <v>178</v>
      </c>
      <c r="C35" s="273">
        <f t="shared" ref="C35:D35" si="16">C36/C38</f>
        <v>0.84857974505670986</v>
      </c>
      <c r="D35" s="276">
        <f t="shared" si="16"/>
        <v>1.1010470987501035</v>
      </c>
      <c r="E35" s="274">
        <f>E36/E38</f>
        <v>1.1098997677289753</v>
      </c>
      <c r="F35" s="266">
        <f>F11</f>
        <v>1.3098997677289752</v>
      </c>
      <c r="G35" s="266">
        <f t="shared" ref="G35:J35" si="17">G11</f>
        <v>1.5098997677289752</v>
      </c>
      <c r="H35" s="266">
        <f t="shared" si="17"/>
        <v>1.7098997677289751</v>
      </c>
      <c r="I35" s="266">
        <f t="shared" si="17"/>
        <v>1.9098997677289751</v>
      </c>
      <c r="J35" s="266">
        <f t="shared" si="17"/>
        <v>2.109899767728975</v>
      </c>
    </row>
    <row r="36" spans="1:12" x14ac:dyDescent="0.25">
      <c r="B36" s="4" t="s">
        <v>60</v>
      </c>
      <c r="C36" s="10">
        <v>42.271999999999998</v>
      </c>
      <c r="D36" s="10">
        <v>53.207000000000001</v>
      </c>
      <c r="E36" s="22">
        <v>53.040999999999997</v>
      </c>
      <c r="F36" s="4">
        <f>F38*F35</f>
        <v>62.598799999999997</v>
      </c>
      <c r="G36" s="4">
        <f t="shared" ref="G36:J36" si="18">G38*G35</f>
        <v>72.156599999999997</v>
      </c>
      <c r="H36" s="4">
        <f t="shared" si="18"/>
        <v>81.714399999999998</v>
      </c>
      <c r="I36" s="4">
        <f t="shared" si="18"/>
        <v>91.272199999999998</v>
      </c>
      <c r="J36" s="4">
        <f t="shared" si="18"/>
        <v>100.82999999999998</v>
      </c>
    </row>
    <row r="37" spans="1:12" x14ac:dyDescent="0.25">
      <c r="A37" s="20" t="s">
        <v>61</v>
      </c>
      <c r="B37" s="19"/>
      <c r="C37" s="55">
        <v>44926</v>
      </c>
      <c r="D37" s="55">
        <v>45291</v>
      </c>
      <c r="E37" s="55">
        <v>45657</v>
      </c>
      <c r="F37" s="55">
        <v>46022</v>
      </c>
      <c r="G37" s="55">
        <v>46022</v>
      </c>
      <c r="H37" s="55">
        <v>46022</v>
      </c>
      <c r="I37" s="55">
        <v>46022</v>
      </c>
      <c r="J37" s="55">
        <v>46022</v>
      </c>
      <c r="K37" s="204"/>
      <c r="L37" s="204"/>
    </row>
    <row r="38" spans="1:12" x14ac:dyDescent="0.25">
      <c r="B38" s="4" t="s">
        <v>49</v>
      </c>
      <c r="C38" s="10">
        <v>49.814999999999998</v>
      </c>
      <c r="D38" s="10">
        <v>48.323999999999998</v>
      </c>
      <c r="E38" s="22">
        <v>47.789000000000001</v>
      </c>
      <c r="F38" s="175">
        <f>F12</f>
        <v>47.789000000000001</v>
      </c>
      <c r="G38" s="175">
        <f t="shared" ref="G38:J38" si="19">G12</f>
        <v>47.789000000000001</v>
      </c>
      <c r="H38" s="175">
        <f t="shared" si="19"/>
        <v>47.789000000000001</v>
      </c>
      <c r="I38" s="175">
        <f t="shared" si="19"/>
        <v>47.789000000000001</v>
      </c>
      <c r="J38" s="175">
        <f t="shared" si="19"/>
        <v>47.789000000000001</v>
      </c>
      <c r="K38" s="208"/>
      <c r="L38" s="208"/>
    </row>
    <row r="39" spans="1:12" x14ac:dyDescent="0.25">
      <c r="B39" s="4" t="s">
        <v>50</v>
      </c>
      <c r="C39" s="10">
        <v>50.414000000000001</v>
      </c>
      <c r="D39" s="10">
        <v>49.05</v>
      </c>
      <c r="E39" s="22">
        <v>48.973999999999997</v>
      </c>
      <c r="F39" s="175">
        <f>F13</f>
        <v>48.973999999999997</v>
      </c>
      <c r="G39" s="175">
        <f t="shared" ref="G39:J39" si="20">G13</f>
        <v>48.973999999999997</v>
      </c>
      <c r="H39" s="175">
        <f t="shared" si="20"/>
        <v>48.973999999999997</v>
      </c>
      <c r="I39" s="175">
        <f t="shared" si="20"/>
        <v>48.973999999999997</v>
      </c>
      <c r="J39" s="175">
        <f t="shared" si="20"/>
        <v>48.973999999999997</v>
      </c>
      <c r="K39" s="208"/>
      <c r="L39" s="208"/>
    </row>
    <row r="40" spans="1:12" x14ac:dyDescent="0.25">
      <c r="B40" s="4" t="s">
        <v>62</v>
      </c>
      <c r="C40" s="182">
        <f>C34/C38</f>
        <v>1.6133895413028183</v>
      </c>
      <c r="D40" s="182">
        <f t="shared" ref="D40" si="21">D34/D38</f>
        <v>2.6974381259829414</v>
      </c>
      <c r="E40" s="183">
        <f>E34/E38</f>
        <v>3.0812739333319348</v>
      </c>
      <c r="F40" s="174">
        <f>F34/F38</f>
        <v>3.6273952474418723</v>
      </c>
      <c r="G40" s="174">
        <f t="shared" ref="G40:J40" si="22">G34/G38</f>
        <v>4.1134518800393369</v>
      </c>
      <c r="H40" s="174">
        <f t="shared" si="22"/>
        <v>4.6542807478171895</v>
      </c>
      <c r="I40" s="174">
        <f t="shared" si="22"/>
        <v>5.1890145024568106</v>
      </c>
      <c r="J40" s="174">
        <f t="shared" si="22"/>
        <v>5.703704337999242</v>
      </c>
      <c r="K40" s="208"/>
      <c r="L40" s="208"/>
    </row>
    <row r="41" spans="1:12" s="11" customFormat="1" x14ac:dyDescent="0.25">
      <c r="A41" s="11" t="s">
        <v>126</v>
      </c>
      <c r="B41" s="17" t="s">
        <v>63</v>
      </c>
      <c r="C41" s="181">
        <f>C34/C39</f>
        <v>1.5942198595628176</v>
      </c>
      <c r="D41" s="181">
        <f t="shared" ref="D41" si="23">D34/D39</f>
        <v>2.6575127420998914</v>
      </c>
      <c r="E41" s="181">
        <f>E34/E39</f>
        <v>3.0067178502879046</v>
      </c>
      <c r="F41" s="181">
        <f>F34/F39</f>
        <v>3.5396249332298702</v>
      </c>
      <c r="G41" s="181">
        <f t="shared" ref="G41:J41" si="24">G34/G39</f>
        <v>4.0139206904724931</v>
      </c>
      <c r="H41" s="181">
        <f t="shared" si="24"/>
        <v>4.5416633858258608</v>
      </c>
      <c r="I41" s="181">
        <f t="shared" si="24"/>
        <v>5.063458448521839</v>
      </c>
      <c r="J41" s="181">
        <f t="shared" si="24"/>
        <v>5.5656945850583126</v>
      </c>
      <c r="K41" s="212"/>
      <c r="L41" s="212"/>
    </row>
    <row r="42" spans="1:12" x14ac:dyDescent="0.25">
      <c r="C42" s="14"/>
      <c r="D42" s="14"/>
      <c r="E42" s="38"/>
      <c r="F42" s="14"/>
      <c r="G42" s="14"/>
      <c r="H42" s="14"/>
      <c r="I42" s="14"/>
      <c r="J42" s="14"/>
    </row>
    <row r="43" spans="1:12" x14ac:dyDescent="0.25">
      <c r="D43" s="14"/>
      <c r="E43" s="14"/>
      <c r="F43" s="14"/>
    </row>
  </sheetData>
  <conditionalFormatting sqref="F4:L13">
    <cfRule type="expression" dxfId="1" priority="34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5"/>
  <sheetViews>
    <sheetView showGridLines="0" zoomScaleNormal="100" workbookViewId="0">
      <selection activeCell="F42" sqref="F16:J42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5" t="str">
        <f>CoName</f>
        <v>Cheesecake Factory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6" t="s">
        <v>10</v>
      </c>
      <c r="B2" s="64"/>
      <c r="C2" s="265">
        <v>2022</v>
      </c>
      <c r="D2" s="265">
        <f>C2+1</f>
        <v>2023</v>
      </c>
      <c r="E2" s="265">
        <f t="shared" ref="E2:J2" si="0">D2+1</f>
        <v>2024</v>
      </c>
      <c r="F2" s="265">
        <f t="shared" si="0"/>
        <v>2025</v>
      </c>
      <c r="G2" s="265">
        <f t="shared" si="0"/>
        <v>2026</v>
      </c>
      <c r="H2" s="265">
        <f t="shared" si="0"/>
        <v>2027</v>
      </c>
      <c r="I2" s="265">
        <f t="shared" si="0"/>
        <v>2028</v>
      </c>
      <c r="J2" s="265">
        <f t="shared" si="0"/>
        <v>2029</v>
      </c>
      <c r="K2" s="213"/>
      <c r="L2" s="213"/>
    </row>
    <row r="3" spans="1:12" x14ac:dyDescent="0.25">
      <c r="K3" s="6"/>
      <c r="L3" s="6"/>
    </row>
    <row r="4" spans="1:12" x14ac:dyDescent="0.25">
      <c r="B4" s="4" t="s">
        <v>142</v>
      </c>
      <c r="C4" s="43"/>
      <c r="D4" s="43"/>
      <c r="E4" s="44"/>
      <c r="F4" s="103">
        <f>Assumptions!F38</f>
        <v>0.01</v>
      </c>
      <c r="G4" s="103">
        <f>F4</f>
        <v>0.01</v>
      </c>
      <c r="H4" s="103">
        <f t="shared" ref="H4:J4" si="1">G4</f>
        <v>0.01</v>
      </c>
      <c r="I4" s="103">
        <f t="shared" si="1"/>
        <v>0.01</v>
      </c>
      <c r="J4" s="103">
        <f t="shared" si="1"/>
        <v>0.01</v>
      </c>
      <c r="K4" s="171"/>
      <c r="L4" s="171"/>
    </row>
    <row r="5" spans="1:12" x14ac:dyDescent="0.25">
      <c r="B5" s="4" t="s">
        <v>155</v>
      </c>
      <c r="C5" s="43"/>
      <c r="D5" s="43"/>
      <c r="E5" s="44"/>
      <c r="F5" s="103">
        <f>Assumptions!F39</f>
        <v>3.141050339224391E-2</v>
      </c>
      <c r="G5" s="103">
        <f>Assumptions!G39</f>
        <v>3.141050339224391E-2</v>
      </c>
      <c r="H5" s="103">
        <f>Assumptions!H39</f>
        <v>3.141050339224391E-2</v>
      </c>
      <c r="I5" s="103">
        <f>Assumptions!I39</f>
        <v>3.141050339224391E-2</v>
      </c>
      <c r="J5" s="103">
        <f>Assumptions!J39</f>
        <v>3.141050339224391E-2</v>
      </c>
      <c r="K5" s="171"/>
      <c r="L5" s="171"/>
    </row>
    <row r="6" spans="1:12" x14ac:dyDescent="0.25">
      <c r="B6" s="4" t="s">
        <v>65</v>
      </c>
      <c r="C6" s="43"/>
      <c r="D6" s="43"/>
      <c r="E6" s="44"/>
      <c r="F6" s="103">
        <f>Assumptions!F40</f>
        <v>2.1302740178276658E-2</v>
      </c>
      <c r="G6" s="103">
        <f>Assumptions!G40</f>
        <v>2.1302740178276658E-2</v>
      </c>
      <c r="H6" s="103">
        <f>Assumptions!H40</f>
        <v>2.1302740178276658E-2</v>
      </c>
      <c r="I6" s="103">
        <f>Assumptions!I40</f>
        <v>2.1302740178276658E-2</v>
      </c>
      <c r="J6" s="103">
        <f>Assumptions!J40</f>
        <v>2.1302740178276658E-2</v>
      </c>
      <c r="K6" s="171"/>
      <c r="L6" s="171"/>
    </row>
    <row r="7" spans="1:12" x14ac:dyDescent="0.25">
      <c r="B7" s="4" t="s">
        <v>66</v>
      </c>
      <c r="C7" s="43"/>
      <c r="D7" s="43"/>
      <c r="E7" s="44"/>
      <c r="F7" s="103">
        <f>Assumptions!F41</f>
        <v>2.0132339391908873E-2</v>
      </c>
      <c r="G7" s="103">
        <f>Assumptions!G41</f>
        <v>2.0132339391908873E-2</v>
      </c>
      <c r="H7" s="103">
        <f>Assumptions!H41</f>
        <v>2.0132339391908873E-2</v>
      </c>
      <c r="I7" s="103">
        <f>Assumptions!I41</f>
        <v>2.0132339391908873E-2</v>
      </c>
      <c r="J7" s="103">
        <f>Assumptions!J41</f>
        <v>2.0132339391908873E-2</v>
      </c>
      <c r="K7" s="171"/>
      <c r="L7" s="171"/>
    </row>
    <row r="8" spans="1:12" x14ac:dyDescent="0.25">
      <c r="A8" s="7"/>
      <c r="C8" s="30"/>
      <c r="D8" s="30"/>
      <c r="E8" s="30"/>
      <c r="F8" s="104"/>
      <c r="G8" s="104"/>
      <c r="H8" s="104"/>
      <c r="I8" s="104"/>
      <c r="J8" s="104"/>
      <c r="K8" s="171"/>
      <c r="L8" s="171"/>
    </row>
    <row r="9" spans="1:12" x14ac:dyDescent="0.25">
      <c r="B9" s="4" t="s">
        <v>67</v>
      </c>
      <c r="C9" s="43"/>
      <c r="D9" s="43"/>
      <c r="E9" s="44"/>
      <c r="F9" s="103">
        <f>Assumptions!F43</f>
        <v>6.0176452522545158E-2</v>
      </c>
      <c r="G9" s="103">
        <f>Assumptions!G43</f>
        <v>6.0176452522545158E-2</v>
      </c>
      <c r="H9" s="103">
        <f>Assumptions!H43</f>
        <v>6.0176452522545158E-2</v>
      </c>
      <c r="I9" s="103">
        <f>Assumptions!I43</f>
        <v>6.0176452522545158E-2</v>
      </c>
      <c r="J9" s="103">
        <f>Assumptions!J43</f>
        <v>6.0176452522545158E-2</v>
      </c>
      <c r="K9" s="171"/>
      <c r="L9" s="171"/>
    </row>
    <row r="10" spans="1:12" x14ac:dyDescent="0.25">
      <c r="C10" s="30"/>
      <c r="D10" s="30"/>
      <c r="E10" s="30"/>
      <c r="F10" s="104"/>
      <c r="G10" s="104"/>
      <c r="H10" s="104"/>
      <c r="I10" s="104"/>
      <c r="J10" s="104"/>
      <c r="K10" s="171"/>
      <c r="L10" s="171"/>
    </row>
    <row r="11" spans="1:12" x14ac:dyDescent="0.25">
      <c r="B11" s="4" t="s">
        <v>154</v>
      </c>
      <c r="C11" s="43"/>
      <c r="D11" s="43"/>
      <c r="E11" s="44"/>
      <c r="F11" s="103">
        <f>Assumptions!F47</f>
        <v>2.0499174645097391E-2</v>
      </c>
      <c r="G11" s="103">
        <f>Assumptions!G47</f>
        <v>2.0499174645097391E-2</v>
      </c>
      <c r="H11" s="103">
        <f>Assumptions!H47</f>
        <v>2.0499174645097391E-2</v>
      </c>
      <c r="I11" s="103">
        <f>Assumptions!I47</f>
        <v>2.0499174645097391E-2</v>
      </c>
      <c r="J11" s="103">
        <f>Assumptions!J47</f>
        <v>2.0499174645097391E-2</v>
      </c>
      <c r="K11" s="171"/>
      <c r="L11" s="171"/>
    </row>
    <row r="12" spans="1:12" x14ac:dyDescent="0.25">
      <c r="B12" s="4" t="s">
        <v>68</v>
      </c>
      <c r="C12" s="43"/>
      <c r="D12" s="43"/>
      <c r="E12" s="26"/>
      <c r="F12" s="103">
        <f>Assumptions!F48</f>
        <v>0.18129044866962615</v>
      </c>
      <c r="G12" s="103">
        <f>Assumptions!G48</f>
        <v>0.18129044866962615</v>
      </c>
      <c r="H12" s="103">
        <f>Assumptions!H48</f>
        <v>0.18129044866962615</v>
      </c>
      <c r="I12" s="103">
        <f>Assumptions!I48</f>
        <v>0.18129044866962615</v>
      </c>
      <c r="J12" s="103">
        <f>Assumptions!J48</f>
        <v>0.18129044866962615</v>
      </c>
      <c r="K12" s="171"/>
      <c r="L12" s="171"/>
    </row>
    <row r="13" spans="1:12" x14ac:dyDescent="0.25">
      <c r="B13" s="4" t="s">
        <v>69</v>
      </c>
      <c r="C13" s="43"/>
      <c r="D13" s="43"/>
      <c r="E13" s="44"/>
      <c r="F13" s="257">
        <f>Assumptions!F49</f>
        <v>0.40059831923388334</v>
      </c>
      <c r="G13" s="257">
        <f>Assumptions!G49</f>
        <v>0.40059831923388334</v>
      </c>
      <c r="H13" s="257">
        <f>Assumptions!H49</f>
        <v>0.40059831923388334</v>
      </c>
      <c r="I13" s="257">
        <f>Assumptions!I49</f>
        <v>0.40059831923388334</v>
      </c>
      <c r="J13" s="257">
        <f>Assumptions!J49</f>
        <v>0.40059831923388334</v>
      </c>
      <c r="K13" s="171"/>
      <c r="L13" s="171"/>
    </row>
    <row r="14" spans="1:12" x14ac:dyDescent="0.25">
      <c r="C14" s="43"/>
      <c r="D14" s="43"/>
      <c r="E14" s="43"/>
      <c r="F14" s="104"/>
      <c r="G14" s="104"/>
      <c r="H14" s="104"/>
      <c r="I14" s="104"/>
      <c r="J14" s="104"/>
      <c r="K14" s="171"/>
      <c r="L14" s="171"/>
    </row>
    <row r="15" spans="1:12" ht="15" customHeight="1" x14ac:dyDescent="0.25">
      <c r="A15" s="179" t="s">
        <v>64</v>
      </c>
      <c r="B15" s="180"/>
      <c r="C15" s="254">
        <f>C2</f>
        <v>2022</v>
      </c>
      <c r="D15" s="254">
        <f>D2</f>
        <v>2023</v>
      </c>
      <c r="E15" s="254">
        <f>E2</f>
        <v>2024</v>
      </c>
      <c r="F15" s="254">
        <f>F2</f>
        <v>2025</v>
      </c>
      <c r="G15" s="254">
        <f>G2</f>
        <v>2026</v>
      </c>
      <c r="H15" s="254">
        <f>H2</f>
        <v>2027</v>
      </c>
      <c r="I15" s="254">
        <f>I2</f>
        <v>2028</v>
      </c>
      <c r="J15" s="254">
        <f>J2</f>
        <v>2029</v>
      </c>
      <c r="K15" s="207"/>
      <c r="L15" s="207"/>
    </row>
    <row r="16" spans="1:12" x14ac:dyDescent="0.25">
      <c r="B16" s="4" t="s">
        <v>160</v>
      </c>
      <c r="C16" s="186">
        <f>1%*IncState!C16</f>
        <v>33.031999999999996</v>
      </c>
      <c r="D16" s="98">
        <f>1%*IncState!D16</f>
        <v>34.395000000000003</v>
      </c>
      <c r="E16" s="187">
        <f>1%*IncState!E16</f>
        <v>35.817</v>
      </c>
      <c r="F16" s="4">
        <f>F4*IncState!F16</f>
        <v>37.392948000000004</v>
      </c>
      <c r="G16" s="4">
        <f>G4*IncState!G16</f>
        <v>39.113023608000006</v>
      </c>
      <c r="H16" s="4">
        <f>H4*IncState!H16</f>
        <v>41.068674788400003</v>
      </c>
      <c r="I16" s="4">
        <f>I4*IncState!I16</f>
        <v>42.711421779936011</v>
      </c>
      <c r="J16" s="4">
        <f>J4*IncState!J16</f>
        <v>43.992764433334088</v>
      </c>
    </row>
    <row r="17" spans="1:12" x14ac:dyDescent="0.25">
      <c r="B17" s="4" t="s">
        <v>161</v>
      </c>
      <c r="C17" s="186">
        <f>114.777-C16</f>
        <v>81.745000000000005</v>
      </c>
      <c r="D17" s="186">
        <f>56.29-D16</f>
        <v>21.894999999999996</v>
      </c>
      <c r="E17" s="187">
        <f>84.176-E16</f>
        <v>48.359000000000002</v>
      </c>
      <c r="F17" s="4">
        <f>MAX(CashFlow!F23,0)</f>
        <v>172.69755708005962</v>
      </c>
      <c r="G17" s="4">
        <f>MAX(CashFlow!G23,0)</f>
        <v>312.47905655824093</v>
      </c>
      <c r="H17" s="4">
        <f>MAX(CashFlow!H23,0)</f>
        <v>473.70337292771859</v>
      </c>
      <c r="I17" s="4">
        <f>MAX(CashFlow!I23,0)</f>
        <v>632.55267942306773</v>
      </c>
      <c r="J17" s="4">
        <f>MAX(CashFlow!J23,0)</f>
        <v>787.65219549179392</v>
      </c>
    </row>
    <row r="18" spans="1:12" x14ac:dyDescent="0.25">
      <c r="B18" s="4" t="s">
        <v>70</v>
      </c>
      <c r="C18" s="188">
        <v>105.511</v>
      </c>
      <c r="D18" s="188">
        <v>103.09399999999999</v>
      </c>
      <c r="E18" s="189">
        <v>112.503</v>
      </c>
      <c r="F18" s="4">
        <f>F5*IncState!F16</f>
        <v>117.45313200000002</v>
      </c>
      <c r="G18" s="4">
        <f>G5*IncState!G16</f>
        <v>122.85597607200002</v>
      </c>
      <c r="H18" s="4">
        <f>H5*IncState!H16</f>
        <v>128.99877487560002</v>
      </c>
      <c r="I18" s="4">
        <f>I5*IncState!I16</f>
        <v>134.15872587062404</v>
      </c>
      <c r="J18" s="4">
        <f>J5*IncState!J16</f>
        <v>138.18348764674275</v>
      </c>
    </row>
    <row r="19" spans="1:12" x14ac:dyDescent="0.25">
      <c r="B19" s="4" t="s">
        <v>71</v>
      </c>
      <c r="C19" s="188">
        <v>55.558999999999997</v>
      </c>
      <c r="D19" s="188">
        <v>57.654000000000003</v>
      </c>
      <c r="E19" s="189">
        <v>64.525999999999996</v>
      </c>
      <c r="F19" s="4">
        <f>F6*IncState!F17</f>
        <v>66.966857872128102</v>
      </c>
      <c r="G19" s="4">
        <f>G6*IncState!G17</f>
        <v>69.630726044491979</v>
      </c>
      <c r="H19" s="4">
        <f>H6*IncState!H17</f>
        <v>72.674824692474871</v>
      </c>
      <c r="I19" s="4">
        <f>I6*IncState!I17</f>
        <v>75.126882519762489</v>
      </c>
      <c r="J19" s="4">
        <f>J6*IncState!J17</f>
        <v>76.91210578013164</v>
      </c>
    </row>
    <row r="20" spans="1:12" x14ac:dyDescent="0.25">
      <c r="B20" s="4" t="s">
        <v>72</v>
      </c>
      <c r="C20" s="188">
        <f>21.522+48.399</f>
        <v>69.920999999999992</v>
      </c>
      <c r="D20" s="188">
        <f>20.67+63.09</f>
        <v>83.76</v>
      </c>
      <c r="E20" s="189">
        <f>17.417+54.691</f>
        <v>72.108000000000004</v>
      </c>
      <c r="F20" s="4">
        <f>F7*IncState!F16</f>
        <v>75.280752000000007</v>
      </c>
      <c r="G20" s="4">
        <f>G7*IncState!G16</f>
        <v>78.743666592000011</v>
      </c>
      <c r="H20" s="4">
        <f>H7*IncState!H16</f>
        <v>82.680849921600014</v>
      </c>
      <c r="I20" s="4">
        <f>I7*IncState!I16</f>
        <v>85.988083918464028</v>
      </c>
      <c r="J20" s="4">
        <f>J7*IncState!J16</f>
        <v>88.567726436017949</v>
      </c>
    </row>
    <row r="21" spans="1:12" s="11" customFormat="1" x14ac:dyDescent="0.25">
      <c r="B21" s="11" t="s">
        <v>73</v>
      </c>
      <c r="C21" s="11">
        <f>SUM(C16:C20)</f>
        <v>345.76799999999997</v>
      </c>
      <c r="D21" s="11">
        <f>SUM(D16:D20)</f>
        <v>300.798</v>
      </c>
      <c r="E21" s="24">
        <f t="shared" ref="E21" si="2">SUM(E16:E20)</f>
        <v>333.31299999999999</v>
      </c>
      <c r="F21" s="11">
        <f>SUM(F16:F20)</f>
        <v>469.79124695218781</v>
      </c>
      <c r="G21" s="11">
        <f t="shared" ref="G21:J21" si="3">SUM(G16:G20)</f>
        <v>622.82244887473303</v>
      </c>
      <c r="H21" s="11">
        <f t="shared" si="3"/>
        <v>799.1264972057935</v>
      </c>
      <c r="I21" s="11">
        <f t="shared" si="3"/>
        <v>970.53779351185426</v>
      </c>
      <c r="J21" s="11">
        <f t="shared" si="3"/>
        <v>1135.3082797880202</v>
      </c>
    </row>
    <row r="22" spans="1:12" x14ac:dyDescent="0.25">
      <c r="A22" s="7"/>
      <c r="E22" s="27"/>
      <c r="I22" s="4"/>
      <c r="J22" s="4"/>
    </row>
    <row r="23" spans="1:12" x14ac:dyDescent="0.25">
      <c r="B23" s="4" t="s">
        <v>74</v>
      </c>
      <c r="C23" s="188">
        <f>746.051+1268.986</f>
        <v>2015.0370000000003</v>
      </c>
      <c r="D23" s="188">
        <f>791.093+1302.15</f>
        <v>2093.2429999999999</v>
      </c>
      <c r="E23" s="189">
        <f>840.773+1400.351</f>
        <v>2241.1240000000003</v>
      </c>
      <c r="F23" s="4">
        <f>Calcs!F9</f>
        <v>2299.9644782420391</v>
      </c>
      <c r="G23" s="4">
        <f>Calcs!G9</f>
        <v>2363.6562748146289</v>
      </c>
      <c r="H23" s="4">
        <f>Calcs!H9</f>
        <v>2433.0192511882469</v>
      </c>
      <c r="I23" s="4">
        <f>Calcs!I9</f>
        <v>2506.3772657873478</v>
      </c>
      <c r="J23" s="4">
        <f>Calcs!J9</f>
        <v>2581.9182128154675</v>
      </c>
    </row>
    <row r="24" spans="1:12" x14ac:dyDescent="0.25">
      <c r="B24" s="4" t="s">
        <v>162</v>
      </c>
      <c r="C24" s="188">
        <v>251.524</v>
      </c>
      <c r="D24" s="188">
        <f>251.727</f>
        <v>251.727</v>
      </c>
      <c r="E24" s="189">
        <f>251.789</f>
        <v>251.78899999999999</v>
      </c>
      <c r="F24" s="132">
        <f>E24-IncState!F22</f>
        <v>251.78899999999999</v>
      </c>
      <c r="G24" s="132">
        <f>F24-IncState!G22</f>
        <v>251.78899999999999</v>
      </c>
      <c r="H24" s="132">
        <f>G24-IncState!H22</f>
        <v>251.78899999999999</v>
      </c>
      <c r="I24" s="132">
        <f>H24-IncState!I22</f>
        <v>251.78899999999999</v>
      </c>
      <c r="J24" s="132">
        <f>I24-IncState!J22</f>
        <v>251.78899999999999</v>
      </c>
      <c r="K24" s="132"/>
      <c r="L24" s="132"/>
    </row>
    <row r="25" spans="1:12" x14ac:dyDescent="0.25">
      <c r="B25" s="4" t="s">
        <v>163</v>
      </c>
      <c r="C25" s="188">
        <f>162.891</f>
        <v>162.89099999999999</v>
      </c>
      <c r="D25" s="188">
        <f>194.615</f>
        <v>194.61500000000001</v>
      </c>
      <c r="E25" s="189">
        <f>215.534</f>
        <v>215.53399999999999</v>
      </c>
      <c r="F25" s="4">
        <f>F9*IncState!F16</f>
        <v>225.01749599999999</v>
      </c>
      <c r="G25" s="4">
        <f>G9*IncState!G16</f>
        <v>235.36830081600002</v>
      </c>
      <c r="H25" s="4">
        <f>H9*IncState!H16</f>
        <v>247.13671585680001</v>
      </c>
      <c r="I25" s="4">
        <f>I9*IncState!I16</f>
        <v>257.02218449107204</v>
      </c>
      <c r="J25" s="4">
        <f>J9*IncState!J16</f>
        <v>264.73285002580417</v>
      </c>
    </row>
    <row r="26" spans="1:12" s="11" customFormat="1" x14ac:dyDescent="0.25">
      <c r="B26" s="11" t="s">
        <v>75</v>
      </c>
      <c r="C26" s="11">
        <f>SUM(C23:C25)</f>
        <v>2429.4520000000002</v>
      </c>
      <c r="D26" s="11">
        <f>SUM(D23:D25)</f>
        <v>2539.585</v>
      </c>
      <c r="E26" s="24">
        <f>SUM(E23:E25)</f>
        <v>2708.4470000000006</v>
      </c>
      <c r="F26" s="11">
        <f>SUM(F23:F25)</f>
        <v>2776.7709742420388</v>
      </c>
      <c r="G26" s="11">
        <f t="shared" ref="G26:J26" si="4">SUM(G23:G25)</f>
        <v>2850.8135756306287</v>
      </c>
      <c r="H26" s="11">
        <f t="shared" si="4"/>
        <v>2931.9449670450467</v>
      </c>
      <c r="I26" s="11">
        <f t="shared" si="4"/>
        <v>3015.1884502784196</v>
      </c>
      <c r="J26" s="11">
        <f t="shared" si="4"/>
        <v>3098.4400628412718</v>
      </c>
    </row>
    <row r="27" spans="1:12" x14ac:dyDescent="0.25">
      <c r="E27" s="27"/>
      <c r="I27" s="4"/>
      <c r="J27" s="4"/>
    </row>
    <row r="28" spans="1:12" s="11" customFormat="1" x14ac:dyDescent="0.25">
      <c r="A28" s="11" t="s">
        <v>126</v>
      </c>
      <c r="B28" s="17" t="s">
        <v>76</v>
      </c>
      <c r="C28" s="18">
        <f>SUM(C26,C21)</f>
        <v>2775.2200000000003</v>
      </c>
      <c r="D28" s="18">
        <f>SUM(D26,D21)</f>
        <v>2840.3829999999998</v>
      </c>
      <c r="E28" s="18">
        <f>SUM(E26,E21)</f>
        <v>3041.7600000000007</v>
      </c>
      <c r="F28" s="18">
        <f>SUM(F26,F21)</f>
        <v>3246.5622211942268</v>
      </c>
      <c r="G28" s="18">
        <f t="shared" ref="G28:J28" si="5">SUM(G26,G21)</f>
        <v>3473.636024505362</v>
      </c>
      <c r="H28" s="18">
        <f t="shared" si="5"/>
        <v>3731.0714642508401</v>
      </c>
      <c r="I28" s="18">
        <f t="shared" si="5"/>
        <v>3985.7262437902737</v>
      </c>
      <c r="J28" s="18">
        <f t="shared" si="5"/>
        <v>4233.748342629292</v>
      </c>
    </row>
    <row r="29" spans="1:12" x14ac:dyDescent="0.25">
      <c r="A29" s="11"/>
      <c r="E29" s="27"/>
      <c r="I29" s="4"/>
      <c r="J29" s="4"/>
      <c r="K29" s="6"/>
      <c r="L29" s="6"/>
    </row>
    <row r="30" spans="1:12" x14ac:dyDescent="0.25">
      <c r="B30" s="4" t="s">
        <v>77</v>
      </c>
      <c r="C30" s="9">
        <v>0</v>
      </c>
      <c r="D30" s="9">
        <v>0</v>
      </c>
      <c r="E30" s="45">
        <v>0</v>
      </c>
      <c r="F30" s="4">
        <f>MIN(CashFlow!F23,0)</f>
        <v>0</v>
      </c>
      <c r="G30" s="4">
        <f>MIN(CashFlow!G23,0)</f>
        <v>0</v>
      </c>
      <c r="H30" s="4">
        <f>MIN(CashFlow!H23,0)</f>
        <v>0</v>
      </c>
      <c r="I30" s="4">
        <f>MIN(CashFlow!I23,0)</f>
        <v>0</v>
      </c>
      <c r="J30" s="4">
        <f>MIN(CashFlow!J23,0)</f>
        <v>0</v>
      </c>
    </row>
    <row r="31" spans="1:12" x14ac:dyDescent="0.25">
      <c r="B31" s="4" t="s">
        <v>153</v>
      </c>
      <c r="C31" s="188">
        <v>66.638000000000005</v>
      </c>
      <c r="D31" s="9">
        <v>63.152000000000001</v>
      </c>
      <c r="E31" s="45">
        <v>62.091999999999999</v>
      </c>
      <c r="F31" s="4">
        <f>F11*IncState!F17</f>
        <v>64.440785714226479</v>
      </c>
      <c r="G31" s="4">
        <f>G11*IncState!G17</f>
        <v>67.004169506161801</v>
      </c>
      <c r="H31" s="4">
        <f>H11*IncState!H17</f>
        <v>69.933441013004824</v>
      </c>
      <c r="I31" s="4">
        <f>I11*IncState!I17</f>
        <v>72.29300420632137</v>
      </c>
      <c r="J31" s="4">
        <f>J11*IncState!J17</f>
        <v>74.010886651891227</v>
      </c>
    </row>
    <row r="32" spans="1:12" x14ac:dyDescent="0.25">
      <c r="B32" s="4" t="s">
        <v>78</v>
      </c>
      <c r="C32" s="188">
        <f>219.808+139.099+231.133</f>
        <v>590.04</v>
      </c>
      <c r="D32" s="9">
        <f>222.915+134.905+239.699</f>
        <v>597.51900000000001</v>
      </c>
      <c r="E32" s="45">
        <f>157.138+265.38+226.81</f>
        <v>649.32799999999997</v>
      </c>
      <c r="F32" s="4">
        <f>F12*IncState!F16</f>
        <v>677.89843200000007</v>
      </c>
      <c r="G32" s="4">
        <f>G12*IncState!G16</f>
        <v>709.08175987200002</v>
      </c>
      <c r="H32" s="4">
        <f>H12*IncState!H16</f>
        <v>744.53584786560009</v>
      </c>
      <c r="I32" s="4">
        <f>I12*IncState!I16</f>
        <v>774.31728178022411</v>
      </c>
      <c r="J32" s="4">
        <f>J12*IncState!J16</f>
        <v>797.54680023363085</v>
      </c>
    </row>
    <row r="33" spans="1:12" s="11" customFormat="1" x14ac:dyDescent="0.25">
      <c r="B33" s="11" t="s">
        <v>79</v>
      </c>
      <c r="C33" s="11">
        <f t="shared" ref="C33:E33" si="6">SUM(C30:C32)</f>
        <v>656.678</v>
      </c>
      <c r="D33" s="11">
        <f t="shared" si="6"/>
        <v>660.67100000000005</v>
      </c>
      <c r="E33" s="24">
        <f t="shared" si="6"/>
        <v>711.42</v>
      </c>
      <c r="F33" s="11">
        <f>SUM(F30:F32)</f>
        <v>742.33921771422661</v>
      </c>
      <c r="G33" s="11">
        <f t="shared" ref="G33:J33" si="7">SUM(G30:G32)</f>
        <v>776.08592937816184</v>
      </c>
      <c r="H33" s="11">
        <f t="shared" si="7"/>
        <v>814.46928887860486</v>
      </c>
      <c r="I33" s="11">
        <f t="shared" si="7"/>
        <v>846.61028598654548</v>
      </c>
      <c r="J33" s="11">
        <f t="shared" si="7"/>
        <v>871.55768688552212</v>
      </c>
    </row>
    <row r="34" spans="1:12" x14ac:dyDescent="0.25">
      <c r="B34" s="11"/>
      <c r="E34" s="27"/>
      <c r="I34" s="4"/>
      <c r="J34" s="4"/>
    </row>
    <row r="35" spans="1:12" x14ac:dyDescent="0.25">
      <c r="B35" s="4" t="s">
        <v>80</v>
      </c>
      <c r="C35" s="188">
        <v>468.03199999999998</v>
      </c>
      <c r="D35" s="9">
        <v>470.04700000000003</v>
      </c>
      <c r="E35" s="45">
        <v>452.06200000000001</v>
      </c>
      <c r="F35" s="4">
        <f>Debt!F20</f>
        <v>452.06200000000001</v>
      </c>
      <c r="G35" s="4">
        <f>Debt!G20</f>
        <v>452.06200000000001</v>
      </c>
      <c r="H35" s="4">
        <f>Debt!H20</f>
        <v>452.06200000000001</v>
      </c>
      <c r="I35" s="4">
        <f>Debt!I20</f>
        <v>452.06200000000001</v>
      </c>
      <c r="J35" s="4">
        <f>Debt!J20</f>
        <v>452.06200000000001</v>
      </c>
    </row>
    <row r="36" spans="1:12" x14ac:dyDescent="0.25">
      <c r="B36" s="4" t="s">
        <v>81</v>
      </c>
      <c r="C36" s="188">
        <f>1233.497+125.01</f>
        <v>1358.5070000000001</v>
      </c>
      <c r="D36" s="9">
        <f>1254.955+136.648</f>
        <v>1391.6029999999998</v>
      </c>
      <c r="E36" s="45">
        <f>1299.02+135.803</f>
        <v>1434.8229999999999</v>
      </c>
      <c r="F36" s="4">
        <f>F13*IncState!F16</f>
        <v>1497.9552120000001</v>
      </c>
      <c r="G36" s="4">
        <f>G13*IncState!G16</f>
        <v>1566.8611517520001</v>
      </c>
      <c r="H36" s="4">
        <f>H13*IncState!H16</f>
        <v>1645.2042093396001</v>
      </c>
      <c r="I36" s="4">
        <f>I13*IncState!I16</f>
        <v>1711.0123777131844</v>
      </c>
      <c r="J36" s="4">
        <f>J13*IncState!J16</f>
        <v>1762.3427490445797</v>
      </c>
    </row>
    <row r="37" spans="1:12" x14ac:dyDescent="0.25">
      <c r="B37" s="11" t="s">
        <v>82</v>
      </c>
      <c r="C37" s="11">
        <f t="shared" ref="C37:E37" si="8">SUM(C35:C36)</f>
        <v>1826.539</v>
      </c>
      <c r="D37" s="11">
        <f t="shared" si="8"/>
        <v>1861.6499999999999</v>
      </c>
      <c r="E37" s="24">
        <f t="shared" si="8"/>
        <v>1886.8849999999998</v>
      </c>
      <c r="F37" s="11">
        <f>SUM(F35:F36)</f>
        <v>1950.0172120000002</v>
      </c>
      <c r="G37" s="11">
        <f t="shared" ref="G37:J37" si="9">SUM(G35:G36)</f>
        <v>2018.9231517520002</v>
      </c>
      <c r="H37" s="11">
        <f t="shared" si="9"/>
        <v>2097.2662093396002</v>
      </c>
      <c r="I37" s="11">
        <f t="shared" si="9"/>
        <v>2163.0743777131843</v>
      </c>
      <c r="J37" s="11">
        <f t="shared" si="9"/>
        <v>2214.4047490445796</v>
      </c>
      <c r="K37" s="11"/>
      <c r="L37" s="11"/>
    </row>
    <row r="38" spans="1:12" x14ac:dyDescent="0.25">
      <c r="E38" s="27"/>
      <c r="I38" s="4"/>
      <c r="J38" s="4"/>
    </row>
    <row r="39" spans="1:12" x14ac:dyDescent="0.25">
      <c r="B39" s="4" t="s">
        <v>17</v>
      </c>
      <c r="C39" s="190">
        <v>292.00299999999999</v>
      </c>
      <c r="D39" s="190">
        <v>318.06200000000001</v>
      </c>
      <c r="E39" s="218">
        <v>443.45499999999998</v>
      </c>
      <c r="F39" s="4">
        <f>Calcs!F17</f>
        <v>554.20579147999968</v>
      </c>
      <c r="G39" s="4">
        <f>Calcs!G17</f>
        <v>678.62694337519952</v>
      </c>
      <c r="H39" s="4">
        <f>Calcs!H17</f>
        <v>819.33596603263527</v>
      </c>
      <c r="I39" s="4">
        <f>Calcs!I17</f>
        <v>976.04158009054379</v>
      </c>
      <c r="J39" s="4">
        <f>Calcs!J17</f>
        <v>1147.7859066991896</v>
      </c>
    </row>
    <row r="40" spans="1:12" s="11" customFormat="1" x14ac:dyDescent="0.25">
      <c r="A40" s="11" t="s">
        <v>126</v>
      </c>
      <c r="B40" s="17" t="s">
        <v>83</v>
      </c>
      <c r="C40" s="18">
        <f>SUM(C39,C37,C33)</f>
        <v>2775.22</v>
      </c>
      <c r="D40" s="18">
        <f>SUM(D39,D37,D33)</f>
        <v>2840.3829999999998</v>
      </c>
      <c r="E40" s="18">
        <f t="shared" ref="E40:F40" si="10">SUM(E39,E37,E33)</f>
        <v>3041.7599999999998</v>
      </c>
      <c r="F40" s="18">
        <f t="shared" si="10"/>
        <v>3246.5622211942264</v>
      </c>
      <c r="G40" s="18">
        <f t="shared" ref="G40:J40" si="11">SUM(G39,G37,G33)</f>
        <v>3473.6360245053615</v>
      </c>
      <c r="H40" s="18">
        <f t="shared" si="11"/>
        <v>3731.0714642508401</v>
      </c>
      <c r="I40" s="18">
        <f t="shared" si="11"/>
        <v>3985.7262437902737</v>
      </c>
      <c r="J40" s="18">
        <f t="shared" si="11"/>
        <v>4233.7483426292911</v>
      </c>
    </row>
    <row r="41" spans="1:12" x14ac:dyDescent="0.25">
      <c r="E41" s="27"/>
      <c r="I41" s="4"/>
      <c r="J41" s="4"/>
      <c r="K41" s="6"/>
      <c r="L41" s="6"/>
    </row>
    <row r="42" spans="1:12" x14ac:dyDescent="0.25">
      <c r="A42" s="4" t="s">
        <v>126</v>
      </c>
      <c r="B42" s="11" t="s">
        <v>84</v>
      </c>
      <c r="C42" s="46">
        <f>C40-C28</f>
        <v>0</v>
      </c>
      <c r="D42" s="46">
        <f t="shared" ref="D42:J42" si="12">D40-D28</f>
        <v>0</v>
      </c>
      <c r="E42" s="152">
        <f t="shared" si="12"/>
        <v>0</v>
      </c>
      <c r="F42" s="46">
        <f t="shared" si="12"/>
        <v>0</v>
      </c>
      <c r="G42" s="46">
        <f t="shared" ref="G42:J42" si="13">G40-G28</f>
        <v>0</v>
      </c>
      <c r="H42" s="46">
        <f t="shared" si="13"/>
        <v>0</v>
      </c>
      <c r="I42" s="46">
        <f t="shared" si="13"/>
        <v>0</v>
      </c>
      <c r="J42" s="46">
        <f t="shared" si="13"/>
        <v>0</v>
      </c>
      <c r="K42" s="46"/>
      <c r="L42" s="46"/>
    </row>
    <row r="43" spans="1:12" x14ac:dyDescent="0.25">
      <c r="I43" s="4"/>
      <c r="J43" s="4"/>
    </row>
    <row r="44" spans="1:12" x14ac:dyDescent="0.25">
      <c r="H44" s="6"/>
    </row>
    <row r="45" spans="1:12" x14ac:dyDescent="0.25">
      <c r="H45" s="6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</sheetData>
  <conditionalFormatting sqref="F4:L14">
    <cfRule type="expression" dxfId="0" priority="35">
      <formula>$E$13&gt;1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3"/>
  <sheetViews>
    <sheetView showGridLines="0" zoomScaleNormal="100" workbookViewId="0">
      <selection activeCell="F23" sqref="F4:J23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5" t="str">
        <f>CoName</f>
        <v>Cheesecake Factory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x14ac:dyDescent="0.25">
      <c r="A2" s="179" t="s">
        <v>85</v>
      </c>
      <c r="B2" s="180"/>
      <c r="C2" s="185">
        <v>2022</v>
      </c>
      <c r="D2" s="185">
        <f>C2+1</f>
        <v>2023</v>
      </c>
      <c r="E2" s="185">
        <f t="shared" ref="E2:J2" si="0">D2+1</f>
        <v>2024</v>
      </c>
      <c r="F2" s="185">
        <f t="shared" si="0"/>
        <v>2025</v>
      </c>
      <c r="G2" s="185">
        <f t="shared" si="0"/>
        <v>2026</v>
      </c>
      <c r="H2" s="185">
        <f t="shared" si="0"/>
        <v>2027</v>
      </c>
      <c r="I2" s="185">
        <f t="shared" si="0"/>
        <v>2028</v>
      </c>
      <c r="J2" s="185">
        <f t="shared" si="0"/>
        <v>2029</v>
      </c>
      <c r="K2" s="207"/>
      <c r="L2" s="207"/>
    </row>
    <row r="3" spans="1:12" x14ac:dyDescent="0.25">
      <c r="B3" s="4" t="s">
        <v>158</v>
      </c>
      <c r="F3" s="4">
        <f>IncState!F34</f>
        <v>173.34959147999965</v>
      </c>
      <c r="G3" s="4">
        <f>IncState!G34</f>
        <v>196.57775189519987</v>
      </c>
      <c r="H3" s="4">
        <f>IncState!H34</f>
        <v>222.42342265743568</v>
      </c>
      <c r="I3" s="4">
        <f>IncState!I34</f>
        <v>247.97781405790852</v>
      </c>
      <c r="J3" s="4">
        <f>IncState!J34</f>
        <v>272.57432660864578</v>
      </c>
    </row>
    <row r="4" spans="1:12" x14ac:dyDescent="0.25">
      <c r="B4" s="4" t="s">
        <v>15</v>
      </c>
      <c r="F4" s="4">
        <f>IncState!F21</f>
        <v>108.61712175796123</v>
      </c>
      <c r="G4" s="4">
        <f>IncState!G21</f>
        <v>111.46885302741003</v>
      </c>
      <c r="H4" s="4">
        <f>IncState!H21</f>
        <v>114.55570570638196</v>
      </c>
      <c r="I4" s="4">
        <f>IncState!I21</f>
        <v>117.91741476409936</v>
      </c>
      <c r="J4" s="4">
        <f>IncState!J21</f>
        <v>121.47274521597656</v>
      </c>
    </row>
    <row r="5" spans="1:12" x14ac:dyDescent="0.25">
      <c r="B5" s="4" t="s">
        <v>54</v>
      </c>
      <c r="F5" s="4">
        <f>IncState!F22</f>
        <v>0</v>
      </c>
      <c r="G5" s="4">
        <f>IncState!G22</f>
        <v>0</v>
      </c>
      <c r="H5" s="4">
        <f>IncState!H22</f>
        <v>0</v>
      </c>
      <c r="I5" s="4">
        <f>IncState!I22</f>
        <v>0</v>
      </c>
      <c r="J5" s="4">
        <f>IncState!J22</f>
        <v>0</v>
      </c>
    </row>
    <row r="6" spans="1:12" x14ac:dyDescent="0.25">
      <c r="B6" s="4" t="s">
        <v>91</v>
      </c>
      <c r="F6" s="4">
        <f>Calcs!F26</f>
        <v>18.779527842098503</v>
      </c>
      <c r="G6" s="4">
        <f>Calcs!G26</f>
        <v>20.497009219571396</v>
      </c>
      <c r="H6" s="4">
        <f>Calcs!H26</f>
        <v>23.303627538860042</v>
      </c>
      <c r="I6" s="4">
        <f>Calcs!I26</f>
        <v>19.579007297228998</v>
      </c>
      <c r="J6" s="4">
        <f>Calcs!J26</f>
        <v>15.276430691536746</v>
      </c>
    </row>
    <row r="7" spans="1:12" x14ac:dyDescent="0.25">
      <c r="B7" s="4" t="s">
        <v>187</v>
      </c>
      <c r="F7" s="4">
        <f>BalSheet!E25-BalSheet!F25</f>
        <v>-9.4834960000000024</v>
      </c>
      <c r="G7" s="4">
        <f>BalSheet!F25-BalSheet!G25</f>
        <v>-10.350804816000021</v>
      </c>
      <c r="H7" s="4">
        <f>BalSheet!G25-BalSheet!H25</f>
        <v>-11.768415040799994</v>
      </c>
      <c r="I7" s="4">
        <f>BalSheet!H25-BalSheet!I25</f>
        <v>-9.8854686342720299</v>
      </c>
      <c r="J7" s="4">
        <f>BalSheet!I25-BalSheet!J25</f>
        <v>-7.7106655347321293</v>
      </c>
    </row>
    <row r="8" spans="1:12" x14ac:dyDescent="0.25">
      <c r="B8" s="4" t="s">
        <v>188</v>
      </c>
      <c r="F8" s="4">
        <f>BalSheet!F36-BalSheet!E36</f>
        <v>63.132212000000209</v>
      </c>
      <c r="G8" s="4">
        <f>BalSheet!G36-BalSheet!F36</f>
        <v>68.905939751999995</v>
      </c>
      <c r="H8" s="4">
        <f>BalSheet!H36-BalSheet!G36</f>
        <v>78.343057587600015</v>
      </c>
      <c r="I8" s="4">
        <f>BalSheet!I36-BalSheet!H36</f>
        <v>65.808168373584294</v>
      </c>
      <c r="J8" s="4">
        <f>BalSheet!J36-BalSheet!I36</f>
        <v>51.330371331395327</v>
      </c>
    </row>
    <row r="9" spans="1:12" s="11" customFormat="1" x14ac:dyDescent="0.25">
      <c r="B9" s="11" t="s">
        <v>189</v>
      </c>
      <c r="F9" s="11">
        <f>SUM(F3:F8)</f>
        <v>354.39495708005961</v>
      </c>
      <c r="G9" s="11">
        <f t="shared" ref="G9:J9" si="1">SUM(G3:G8)</f>
        <v>387.0987490781813</v>
      </c>
      <c r="H9" s="11">
        <f t="shared" si="1"/>
        <v>426.85739844947767</v>
      </c>
      <c r="I9" s="11">
        <f t="shared" si="1"/>
        <v>441.39693585854911</v>
      </c>
      <c r="J9" s="11">
        <f t="shared" si="1"/>
        <v>452.94320831282226</v>
      </c>
    </row>
    <row r="10" spans="1:12" x14ac:dyDescent="0.25">
      <c r="I10" s="4"/>
      <c r="J10" s="4"/>
    </row>
    <row r="11" spans="1:12" x14ac:dyDescent="0.25">
      <c r="B11" s="4" t="s">
        <v>14</v>
      </c>
      <c r="F11" s="4">
        <f>-Calcs!F7</f>
        <v>-167.45760000000001</v>
      </c>
      <c r="G11" s="4">
        <f>-Calcs!G7</f>
        <v>-175.16064960000003</v>
      </c>
      <c r="H11" s="4">
        <f>-Calcs!H7</f>
        <v>-183.91868208000002</v>
      </c>
      <c r="I11" s="4">
        <f>-Calcs!I7</f>
        <v>-191.27542936320006</v>
      </c>
      <c r="J11" s="4">
        <f>-Calcs!J7</f>
        <v>-197.01369224409603</v>
      </c>
    </row>
    <row r="12" spans="1:12" s="11" customFormat="1" x14ac:dyDescent="0.25">
      <c r="B12" s="11" t="s">
        <v>190</v>
      </c>
      <c r="F12" s="11">
        <f>SUM(F11)</f>
        <v>-167.45760000000001</v>
      </c>
      <c r="G12" s="11">
        <f t="shared" ref="G12:J12" si="2">SUM(G11)</f>
        <v>-175.16064960000003</v>
      </c>
      <c r="H12" s="11">
        <f t="shared" si="2"/>
        <v>-183.91868208000002</v>
      </c>
      <c r="I12" s="11">
        <f t="shared" si="2"/>
        <v>-191.27542936320006</v>
      </c>
      <c r="J12" s="11">
        <f t="shared" si="2"/>
        <v>-197.01369224409603</v>
      </c>
    </row>
    <row r="13" spans="1:12" x14ac:dyDescent="0.25">
      <c r="I13" s="4"/>
      <c r="J13" s="4"/>
    </row>
    <row r="14" spans="1:12" x14ac:dyDescent="0.25">
      <c r="B14" s="4" t="s">
        <v>60</v>
      </c>
      <c r="F14" s="4">
        <f>-IncState!F36</f>
        <v>-62.598799999999997</v>
      </c>
      <c r="G14" s="4">
        <f>-IncState!G36</f>
        <v>-72.156599999999997</v>
      </c>
      <c r="H14" s="4">
        <f>-IncState!H36</f>
        <v>-81.714399999999998</v>
      </c>
      <c r="I14" s="4">
        <f>-IncState!I36</f>
        <v>-91.272199999999998</v>
      </c>
      <c r="J14" s="4">
        <f>-IncState!J36</f>
        <v>-100.82999999999998</v>
      </c>
    </row>
    <row r="15" spans="1:12" x14ac:dyDescent="0.25">
      <c r="B15" s="4" t="s">
        <v>146</v>
      </c>
      <c r="F15" s="4">
        <f>SUM(Debt!F8:F9)</f>
        <v>0</v>
      </c>
      <c r="G15" s="4">
        <f>SUM(Debt!G8:G9)</f>
        <v>0</v>
      </c>
      <c r="H15" s="4">
        <f>SUM(Debt!H8:H9)</f>
        <v>0</v>
      </c>
      <c r="I15" s="4">
        <f>SUM(Debt!I8:I9)</f>
        <v>0</v>
      </c>
      <c r="J15" s="4">
        <f>SUM(Debt!J8:J9)</f>
        <v>0</v>
      </c>
    </row>
    <row r="16" spans="1:12" x14ac:dyDescent="0.25">
      <c r="B16" s="4" t="s">
        <v>191</v>
      </c>
      <c r="F16" s="4">
        <f>Calcs!F11</f>
        <v>0</v>
      </c>
      <c r="G16" s="4">
        <f>Calcs!G11</f>
        <v>0</v>
      </c>
      <c r="H16" s="4">
        <f>Calcs!H11</f>
        <v>0</v>
      </c>
      <c r="I16" s="4">
        <f>Calcs!I11</f>
        <v>0</v>
      </c>
      <c r="J16" s="4">
        <f>Calcs!J11</f>
        <v>0</v>
      </c>
    </row>
    <row r="17" spans="2:10" s="11" customFormat="1" x14ac:dyDescent="0.25">
      <c r="B17" s="11" t="s">
        <v>192</v>
      </c>
      <c r="F17" s="11">
        <f>SUM(F14:F16)</f>
        <v>-62.598799999999997</v>
      </c>
      <c r="G17" s="11">
        <f t="shared" ref="G17:J17" si="3">SUM(G14:G16)</f>
        <v>-72.156599999999997</v>
      </c>
      <c r="H17" s="11">
        <f t="shared" si="3"/>
        <v>-81.714399999999998</v>
      </c>
      <c r="I17" s="11">
        <f t="shared" si="3"/>
        <v>-91.272199999999998</v>
      </c>
      <c r="J17" s="11">
        <f t="shared" si="3"/>
        <v>-100.82999999999998</v>
      </c>
    </row>
    <row r="18" spans="2:10" x14ac:dyDescent="0.25">
      <c r="I18" s="4"/>
      <c r="J18" s="4"/>
    </row>
    <row r="19" spans="2:10" x14ac:dyDescent="0.25">
      <c r="B19" s="4" t="s">
        <v>193</v>
      </c>
      <c r="F19" s="4">
        <f>SUM(F17,F12,F9)</f>
        <v>124.33855708005962</v>
      </c>
      <c r="G19" s="4">
        <f t="shared" ref="G19:J19" si="4">SUM(G17,G12,G9)</f>
        <v>139.78149947818127</v>
      </c>
      <c r="H19" s="4">
        <f t="shared" si="4"/>
        <v>161.22431636947766</v>
      </c>
      <c r="I19" s="4">
        <f t="shared" si="4"/>
        <v>158.84930649534908</v>
      </c>
      <c r="J19" s="4">
        <f t="shared" si="4"/>
        <v>155.09951606872625</v>
      </c>
    </row>
    <row r="20" spans="2:10" x14ac:dyDescent="0.25">
      <c r="I20" s="4"/>
      <c r="J20" s="4"/>
    </row>
    <row r="21" spans="2:10" x14ac:dyDescent="0.25">
      <c r="B21" s="4" t="s">
        <v>194</v>
      </c>
      <c r="F21" s="4">
        <f>BalSheet!E17</f>
        <v>48.359000000000002</v>
      </c>
      <c r="G21" s="4">
        <f>BalSheet!F17</f>
        <v>172.69755708005962</v>
      </c>
      <c r="H21" s="4">
        <f>BalSheet!G17</f>
        <v>312.47905655824093</v>
      </c>
      <c r="I21" s="4">
        <f>BalSheet!H17</f>
        <v>473.70337292771859</v>
      </c>
      <c r="J21" s="4">
        <f>BalSheet!I17</f>
        <v>632.55267942306773</v>
      </c>
    </row>
    <row r="22" spans="2:10" x14ac:dyDescent="0.25">
      <c r="B22" s="4" t="str">
        <f>B19</f>
        <v>Net changes in cash</v>
      </c>
      <c r="F22" s="4">
        <f>F19</f>
        <v>124.33855708005962</v>
      </c>
      <c r="G22" s="4">
        <f t="shared" ref="G22:J22" si="5">G19</f>
        <v>139.78149947818127</v>
      </c>
      <c r="H22" s="4">
        <f t="shared" si="5"/>
        <v>161.22431636947766</v>
      </c>
      <c r="I22" s="4">
        <f t="shared" si="5"/>
        <v>158.84930649534908</v>
      </c>
      <c r="J22" s="4">
        <f t="shared" si="5"/>
        <v>155.09951606872625</v>
      </c>
    </row>
    <row r="23" spans="2:10" x14ac:dyDescent="0.25">
      <c r="B23" s="4" t="s">
        <v>195</v>
      </c>
      <c r="F23" s="4">
        <f>SUM(F21:F22)</f>
        <v>172.69755708005962</v>
      </c>
      <c r="G23" s="4">
        <f t="shared" ref="G23:J23" si="6">SUM(G21:G22)</f>
        <v>312.47905655824093</v>
      </c>
      <c r="H23" s="4">
        <f t="shared" si="6"/>
        <v>473.70337292771859</v>
      </c>
      <c r="I23" s="4">
        <f t="shared" si="6"/>
        <v>632.55267942306773</v>
      </c>
      <c r="J23" s="4">
        <f t="shared" si="6"/>
        <v>787.65219549179392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F15" sqref="F3:J1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5" t="str">
        <f>CoName</f>
        <v>Cheesecake Factory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ht="16.350000000000001" customHeight="1" x14ac:dyDescent="0.25">
      <c r="A2" s="179" t="s">
        <v>88</v>
      </c>
      <c r="B2" s="180"/>
      <c r="C2" s="185">
        <v>2022</v>
      </c>
      <c r="D2" s="185">
        <f>C2+1</f>
        <v>2023</v>
      </c>
      <c r="E2" s="185">
        <f t="shared" ref="E2:J2" si="0">D2+1</f>
        <v>2024</v>
      </c>
      <c r="F2" s="185">
        <f t="shared" si="0"/>
        <v>2025</v>
      </c>
      <c r="G2" s="185">
        <f t="shared" si="0"/>
        <v>2026</v>
      </c>
      <c r="H2" s="185">
        <f t="shared" si="0"/>
        <v>2027</v>
      </c>
      <c r="I2" s="185">
        <f t="shared" si="0"/>
        <v>2028</v>
      </c>
      <c r="J2" s="185">
        <f t="shared" si="0"/>
        <v>2029</v>
      </c>
      <c r="K2" s="207"/>
      <c r="L2" s="207"/>
    </row>
    <row r="3" spans="1:12" x14ac:dyDescent="0.25">
      <c r="A3" s="11" t="s">
        <v>126</v>
      </c>
      <c r="B3" s="4" t="s">
        <v>89</v>
      </c>
      <c r="D3" s="237"/>
      <c r="E3" s="23"/>
      <c r="F3" s="238">
        <f>IncState!F16</f>
        <v>3739.2948000000001</v>
      </c>
      <c r="G3" s="238">
        <f>IncState!G16</f>
        <v>3911.3023608000003</v>
      </c>
      <c r="H3" s="238">
        <f>IncState!H16</f>
        <v>4106.8674788400003</v>
      </c>
      <c r="I3" s="238">
        <f>IncState!I16</f>
        <v>4271.1421779936009</v>
      </c>
      <c r="J3" s="238">
        <f>IncState!J16</f>
        <v>4399.2764433334087</v>
      </c>
      <c r="K3" s="215"/>
      <c r="L3" s="215"/>
    </row>
    <row r="4" spans="1:12" x14ac:dyDescent="0.25">
      <c r="B4" s="4" t="s">
        <v>55</v>
      </c>
      <c r="E4" s="27"/>
      <c r="F4" s="4">
        <f>IncState!F19</f>
        <v>222.24306599999954</v>
      </c>
      <c r="G4" s="4">
        <f>IncState!G19</f>
        <v>252.02275883999982</v>
      </c>
      <c r="H4" s="4">
        <f>IncState!H19</f>
        <v>285.15823417619958</v>
      </c>
      <c r="I4" s="4">
        <f>IncState!I19</f>
        <v>317.92027443321604</v>
      </c>
      <c r="J4" s="4">
        <f>IncState!J19</f>
        <v>349.45426488287922</v>
      </c>
    </row>
    <row r="5" spans="1:12" x14ac:dyDescent="0.25">
      <c r="B5" s="30" t="s">
        <v>94</v>
      </c>
      <c r="C5" s="30"/>
      <c r="D5" s="30"/>
      <c r="E5" s="39"/>
      <c r="F5" s="43">
        <f>Assumptions!F16</f>
        <v>0.22</v>
      </c>
      <c r="G5" s="43">
        <f>Assumptions!G16</f>
        <v>0.22</v>
      </c>
      <c r="H5" s="43">
        <f>Assumptions!H16</f>
        <v>0.22</v>
      </c>
      <c r="I5" s="43">
        <f>Assumptions!I16</f>
        <v>0.22</v>
      </c>
      <c r="J5" s="43">
        <f>Assumptions!J16</f>
        <v>0.22</v>
      </c>
      <c r="K5" s="43"/>
      <c r="L5" s="43"/>
    </row>
    <row r="6" spans="1:12" x14ac:dyDescent="0.25">
      <c r="C6" s="5"/>
      <c r="D6" s="5"/>
      <c r="E6" s="23"/>
      <c r="F6" s="5"/>
      <c r="G6" s="5"/>
      <c r="H6" s="5"/>
      <c r="I6" s="5"/>
      <c r="J6" s="5"/>
      <c r="K6" s="172"/>
      <c r="L6" s="172"/>
    </row>
    <row r="7" spans="1:12" x14ac:dyDescent="0.25">
      <c r="A7" s="24" t="s">
        <v>126</v>
      </c>
      <c r="B7" s="21" t="s">
        <v>90</v>
      </c>
      <c r="C7" s="119"/>
      <c r="D7" s="119"/>
      <c r="E7" s="119"/>
      <c r="F7" s="134">
        <f t="shared" ref="F7:J7" si="1">F4*(1-F5)</f>
        <v>173.34959147999965</v>
      </c>
      <c r="G7" s="134">
        <f t="shared" ref="G7:J7" si="2">G4*(1-G5)</f>
        <v>196.57775189519987</v>
      </c>
      <c r="H7" s="134">
        <f t="shared" si="2"/>
        <v>222.42342265743568</v>
      </c>
      <c r="I7" s="134">
        <f t="shared" si="2"/>
        <v>247.97781405790852</v>
      </c>
      <c r="J7" s="134">
        <f t="shared" si="2"/>
        <v>272.57432660864578</v>
      </c>
      <c r="K7" s="215"/>
      <c r="L7" s="215"/>
    </row>
    <row r="8" spans="1:12" x14ac:dyDescent="0.25">
      <c r="B8" s="4" t="s">
        <v>15</v>
      </c>
      <c r="C8" s="119"/>
      <c r="D8" s="119"/>
      <c r="E8" s="120"/>
      <c r="F8" s="135">
        <f>CashFlow!F4</f>
        <v>108.61712175796123</v>
      </c>
      <c r="G8" s="135">
        <f>CashFlow!G4</f>
        <v>111.46885302741003</v>
      </c>
      <c r="H8" s="135">
        <f>CashFlow!H4</f>
        <v>114.55570570638196</v>
      </c>
      <c r="I8" s="135">
        <f>CashFlow!I4</f>
        <v>117.91741476409936</v>
      </c>
      <c r="J8" s="135">
        <f>CashFlow!J4</f>
        <v>121.47274521597656</v>
      </c>
      <c r="K8" s="214"/>
      <c r="L8" s="214"/>
    </row>
    <row r="9" spans="1:12" x14ac:dyDescent="0.25">
      <c r="B9" s="4" t="s">
        <v>54</v>
      </c>
      <c r="C9" s="5"/>
      <c r="D9" s="5"/>
      <c r="E9" s="23"/>
      <c r="F9" s="136">
        <f>CashFlow!F5</f>
        <v>0</v>
      </c>
      <c r="G9" s="136">
        <f>CashFlow!G5</f>
        <v>0</v>
      </c>
      <c r="H9" s="136">
        <f>CashFlow!H5</f>
        <v>0</v>
      </c>
      <c r="I9" s="136">
        <f>CashFlow!I5</f>
        <v>0</v>
      </c>
      <c r="J9" s="136">
        <f>CashFlow!J5</f>
        <v>0</v>
      </c>
      <c r="K9" s="214"/>
      <c r="L9" s="214"/>
    </row>
    <row r="10" spans="1:12" x14ac:dyDescent="0.25">
      <c r="B10" s="4" t="s">
        <v>91</v>
      </c>
      <c r="C10" s="5"/>
      <c r="D10" s="5"/>
      <c r="E10" s="23"/>
      <c r="F10" s="136">
        <f>CashFlow!F6</f>
        <v>18.779527842098503</v>
      </c>
      <c r="G10" s="136">
        <f>CashFlow!G6</f>
        <v>20.497009219571396</v>
      </c>
      <c r="H10" s="136">
        <f>CashFlow!H6</f>
        <v>23.303627538860042</v>
      </c>
      <c r="I10" s="136">
        <f>CashFlow!I6</f>
        <v>19.579007297228998</v>
      </c>
      <c r="J10" s="136">
        <f>CashFlow!J6</f>
        <v>15.276430691536746</v>
      </c>
      <c r="K10" s="214"/>
      <c r="L10" s="214"/>
    </row>
    <row r="11" spans="1:12" x14ac:dyDescent="0.25">
      <c r="B11" s="4" t="s">
        <v>165</v>
      </c>
      <c r="C11" s="5"/>
      <c r="D11" s="5"/>
      <c r="E11" s="23"/>
      <c r="F11" s="136">
        <f>CashFlow!F7</f>
        <v>-9.4834960000000024</v>
      </c>
      <c r="G11" s="136">
        <f>CashFlow!G7</f>
        <v>-10.350804816000021</v>
      </c>
      <c r="H11" s="136">
        <f>CashFlow!H7</f>
        <v>-11.768415040799994</v>
      </c>
      <c r="I11" s="136">
        <f>CashFlow!I7</f>
        <v>-9.8854686342720299</v>
      </c>
      <c r="J11" s="136">
        <f>CashFlow!J7</f>
        <v>-7.7106655347321293</v>
      </c>
      <c r="K11" s="214"/>
      <c r="L11" s="214"/>
    </row>
    <row r="12" spans="1:12" x14ac:dyDescent="0.25">
      <c r="B12" s="4" t="s">
        <v>166</v>
      </c>
      <c r="E12" s="27"/>
      <c r="F12" s="136">
        <f>CashFlow!F8</f>
        <v>63.132212000000209</v>
      </c>
      <c r="G12" s="136">
        <f>CashFlow!G8</f>
        <v>68.905939751999995</v>
      </c>
      <c r="H12" s="136">
        <f>CashFlow!H8</f>
        <v>78.343057587600015</v>
      </c>
      <c r="I12" s="136">
        <f>CashFlow!I8</f>
        <v>65.808168373584294</v>
      </c>
      <c r="J12" s="136">
        <f>CashFlow!J8</f>
        <v>51.330371331395327</v>
      </c>
      <c r="K12" s="214"/>
      <c r="L12" s="214"/>
    </row>
    <row r="13" spans="1:12" x14ac:dyDescent="0.25">
      <c r="B13" s="4" t="s">
        <v>92</v>
      </c>
      <c r="E13" s="27"/>
      <c r="F13" s="132">
        <f>CashFlow!F12</f>
        <v>-167.45760000000001</v>
      </c>
      <c r="G13" s="132">
        <f>CashFlow!G12</f>
        <v>-175.16064960000003</v>
      </c>
      <c r="H13" s="132">
        <f>CashFlow!H12</f>
        <v>-183.91868208000002</v>
      </c>
      <c r="I13" s="132">
        <f>CashFlow!I12</f>
        <v>-191.27542936320006</v>
      </c>
      <c r="J13" s="132">
        <f>CashFlow!J12</f>
        <v>-197.01369224409603</v>
      </c>
      <c r="K13" s="132"/>
      <c r="L13" s="132"/>
    </row>
    <row r="14" spans="1:12" x14ac:dyDescent="0.25">
      <c r="E14" s="63"/>
      <c r="F14" s="137"/>
      <c r="G14" s="137"/>
      <c r="H14" s="137"/>
      <c r="I14" s="137"/>
      <c r="J14" s="137"/>
      <c r="K14" s="137"/>
      <c r="L14" s="137"/>
    </row>
    <row r="15" spans="1:12" s="11" customFormat="1" x14ac:dyDescent="0.25">
      <c r="A15" s="24" t="s">
        <v>126</v>
      </c>
      <c r="B15" s="34" t="s">
        <v>93</v>
      </c>
      <c r="C15" s="34"/>
      <c r="D15" s="34"/>
      <c r="E15" s="34"/>
      <c r="F15" s="34">
        <f>SUM(F7:F13)</f>
        <v>186.9373570800596</v>
      </c>
      <c r="G15" s="34">
        <f t="shared" ref="G15:J15" si="3">SUM(G7:G13)</f>
        <v>211.93809947818127</v>
      </c>
      <c r="H15" s="34">
        <f t="shared" si="3"/>
        <v>242.93871636947765</v>
      </c>
      <c r="I15" s="34">
        <f t="shared" si="3"/>
        <v>250.12150649534905</v>
      </c>
      <c r="J15" s="34">
        <f t="shared" si="3"/>
        <v>255.92951606872623</v>
      </c>
    </row>
    <row r="16" spans="1:12" x14ac:dyDescent="0.25">
      <c r="B16" s="66"/>
      <c r="C16" s="66"/>
      <c r="D16" s="66"/>
      <c r="E16" s="66"/>
      <c r="F16" s="66"/>
      <c r="G16" s="66"/>
      <c r="H16" s="66"/>
      <c r="I16" s="84"/>
      <c r="J16" s="84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6" sqref="E6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55" t="str">
        <f>CoName</f>
        <v>Cheesecake Factory inc.</v>
      </c>
    </row>
    <row r="2" spans="1:13" x14ac:dyDescent="0.25">
      <c r="G2" s="147"/>
    </row>
    <row r="3" spans="1:13" x14ac:dyDescent="0.25">
      <c r="A3" s="27" t="s">
        <v>126</v>
      </c>
      <c r="B3" s="162" t="s">
        <v>102</v>
      </c>
      <c r="C3" s="163"/>
      <c r="D3" s="163"/>
      <c r="E3" s="164"/>
      <c r="F3" s="11"/>
      <c r="G3" s="77" t="s">
        <v>110</v>
      </c>
      <c r="H3" s="77" t="s">
        <v>105</v>
      </c>
      <c r="I3" s="77" t="s">
        <v>106</v>
      </c>
      <c r="J3" s="77" t="s">
        <v>107</v>
      </c>
      <c r="K3" s="77" t="s">
        <v>108</v>
      </c>
      <c r="L3" s="77" t="s">
        <v>113</v>
      </c>
      <c r="M3" s="77" t="s">
        <v>109</v>
      </c>
    </row>
    <row r="4" spans="1:13" x14ac:dyDescent="0.25">
      <c r="A4" s="27"/>
      <c r="B4" s="258" t="s">
        <v>167</v>
      </c>
      <c r="C4" s="67"/>
      <c r="D4" s="72"/>
      <c r="E4" s="259">
        <f>Assumptions!F16</f>
        <v>0.22</v>
      </c>
      <c r="G4" s="139"/>
      <c r="H4" s="140"/>
      <c r="I4" s="80"/>
      <c r="J4" s="81"/>
      <c r="K4" s="142"/>
      <c r="L4" s="153">
        <f>E4</f>
        <v>0.22</v>
      </c>
      <c r="M4" s="143">
        <f>H4/((1+K4*(1-L4)))</f>
        <v>0</v>
      </c>
    </row>
    <row r="5" spans="1:13" x14ac:dyDescent="0.25">
      <c r="A5" s="27"/>
      <c r="B5" s="67" t="s">
        <v>95</v>
      </c>
      <c r="C5" s="67"/>
      <c r="D5" s="72"/>
      <c r="E5" s="138">
        <v>4.1500000000000002E-2</v>
      </c>
      <c r="G5" s="139"/>
      <c r="H5" s="140"/>
      <c r="I5" s="80"/>
      <c r="J5" s="81"/>
      <c r="K5" s="142"/>
      <c r="L5" s="153">
        <f>L4</f>
        <v>0.22</v>
      </c>
      <c r="M5" s="143">
        <f t="shared" ref="M5:M7" si="0">H5/((1+K5*(1-L5)))</f>
        <v>0</v>
      </c>
    </row>
    <row r="6" spans="1:13" x14ac:dyDescent="0.25">
      <c r="A6" s="27"/>
      <c r="B6" s="67" t="s">
        <v>96</v>
      </c>
      <c r="C6" s="67"/>
      <c r="D6" s="72"/>
      <c r="E6" s="138">
        <v>0.05</v>
      </c>
      <c r="G6" s="139"/>
      <c r="H6" s="141"/>
      <c r="I6" s="82"/>
      <c r="J6" s="81"/>
      <c r="K6" s="142"/>
      <c r="L6" s="153">
        <f t="shared" ref="L6:L7" si="1">L5</f>
        <v>0.22</v>
      </c>
      <c r="M6" s="143">
        <f t="shared" si="0"/>
        <v>0</v>
      </c>
    </row>
    <row r="7" spans="1:13" x14ac:dyDescent="0.25">
      <c r="A7" s="27"/>
      <c r="B7" s="67" t="s">
        <v>97</v>
      </c>
      <c r="C7" s="67"/>
      <c r="D7" s="72"/>
      <c r="E7" s="220">
        <v>0.96</v>
      </c>
      <c r="G7" s="139"/>
      <c r="H7" s="141"/>
      <c r="I7" s="82"/>
      <c r="J7" s="83"/>
      <c r="K7" s="142"/>
      <c r="L7" s="153">
        <f t="shared" si="1"/>
        <v>0.22</v>
      </c>
      <c r="M7" s="143">
        <f t="shared" si="0"/>
        <v>0</v>
      </c>
    </row>
    <row r="8" spans="1:13" x14ac:dyDescent="0.25">
      <c r="A8" s="27"/>
      <c r="B8" s="67" t="s">
        <v>98</v>
      </c>
      <c r="C8" s="67"/>
      <c r="D8" s="72"/>
      <c r="E8" s="138">
        <f>E5+E6*E7</f>
        <v>8.9499999999999996E-2</v>
      </c>
      <c r="L8" s="66"/>
    </row>
    <row r="9" spans="1:13" x14ac:dyDescent="0.25">
      <c r="A9" s="27"/>
      <c r="B9" s="68" t="s">
        <v>99</v>
      </c>
      <c r="C9" s="68"/>
      <c r="D9" s="73"/>
      <c r="E9" s="144">
        <f>1-E10</f>
        <v>0.73142373008263317</v>
      </c>
      <c r="G9" s="4" t="s">
        <v>111</v>
      </c>
      <c r="L9" s="27"/>
      <c r="M9" s="219">
        <f>AVERAGE(M4:M7)</f>
        <v>0</v>
      </c>
    </row>
    <row r="10" spans="1:13" x14ac:dyDescent="0.25">
      <c r="A10" s="27"/>
      <c r="B10" s="69" t="s">
        <v>100</v>
      </c>
      <c r="C10" s="69"/>
      <c r="D10" s="74"/>
      <c r="E10" s="145">
        <f>MAIN!F8/MAIN!F6</f>
        <v>0.26857626991736688</v>
      </c>
      <c r="M10" s="66"/>
    </row>
    <row r="11" spans="1:13" x14ac:dyDescent="0.25">
      <c r="A11" s="27"/>
      <c r="B11" s="161" t="s">
        <v>179</v>
      </c>
      <c r="C11" s="70"/>
      <c r="D11" s="75"/>
      <c r="E11" s="146">
        <f>Assumptions!F24</f>
        <v>0.05</v>
      </c>
      <c r="G11" s="4" t="s">
        <v>112</v>
      </c>
      <c r="L11" s="27"/>
      <c r="M11" s="219">
        <f>M9*(1+E10*(1-E4))</f>
        <v>0</v>
      </c>
    </row>
    <row r="12" spans="1:13" x14ac:dyDescent="0.25">
      <c r="A12" s="27"/>
      <c r="B12" s="71" t="s">
        <v>101</v>
      </c>
      <c r="C12" s="71"/>
      <c r="D12" s="76"/>
      <c r="E12" s="146">
        <f>E11*(1-E4)</f>
        <v>3.9000000000000007E-2</v>
      </c>
      <c r="M12" s="66"/>
    </row>
    <row r="13" spans="1:13" s="11" customFormat="1" x14ac:dyDescent="0.25">
      <c r="A13" s="24" t="s">
        <v>126</v>
      </c>
      <c r="B13" s="162" t="s">
        <v>102</v>
      </c>
      <c r="C13" s="163"/>
      <c r="D13" s="164"/>
      <c r="E13" s="158">
        <f>WACC!E8*WACC!E9+WACC!E12*WACC!E10</f>
        <v>7.5936898369172987E-2</v>
      </c>
      <c r="F13" s="4"/>
    </row>
    <row r="14" spans="1:13" s="11" customFormat="1" x14ac:dyDescent="0.25">
      <c r="A14" s="24"/>
      <c r="B14" s="77" t="s">
        <v>103</v>
      </c>
      <c r="C14" s="77"/>
      <c r="D14" s="114"/>
      <c r="E14" s="148">
        <v>2.5000000000000001E-2</v>
      </c>
      <c r="F14" s="4"/>
    </row>
    <row r="15" spans="1:13" x14ac:dyDescent="0.25">
      <c r="B15" s="66"/>
      <c r="C15" s="66"/>
      <c r="D15" s="66"/>
      <c r="E15" s="6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zoomScaleNormal="100" workbookViewId="0">
      <selection activeCell="K10" sqref="K10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12" width="11.7109375" style="4" customWidth="1"/>
    <col min="13" max="16384" width="9" style="4"/>
  </cols>
  <sheetData>
    <row r="1" spans="1:14" ht="19.5" x14ac:dyDescent="0.3">
      <c r="A1" s="255" t="str">
        <f>CoName</f>
        <v>Cheesecake Factory inc.</v>
      </c>
      <c r="B1" s="3"/>
      <c r="C1" s="3"/>
      <c r="D1" s="41" t="s">
        <v>1</v>
      </c>
      <c r="E1" s="41" t="s">
        <v>1</v>
      </c>
      <c r="F1" s="41" t="s">
        <v>1</v>
      </c>
      <c r="G1" s="41" t="s">
        <v>1</v>
      </c>
      <c r="H1" s="41" t="s">
        <v>1</v>
      </c>
      <c r="I1" s="41"/>
      <c r="J1" s="41"/>
      <c r="K1" s="41"/>
      <c r="L1" s="41"/>
      <c r="M1" s="41"/>
    </row>
    <row r="2" spans="1:14" x14ac:dyDescent="0.25">
      <c r="A2" s="77" t="s">
        <v>114</v>
      </c>
      <c r="B2" s="19"/>
      <c r="C2" s="42"/>
      <c r="D2" s="77">
        <v>1</v>
      </c>
      <c r="E2" s="77">
        <f>D2+1</f>
        <v>2</v>
      </c>
      <c r="F2" s="77">
        <f t="shared" ref="F2:H2" si="0">E2+1</f>
        <v>3</v>
      </c>
      <c r="G2" s="77">
        <f t="shared" si="0"/>
        <v>4</v>
      </c>
      <c r="H2" s="77">
        <f t="shared" si="0"/>
        <v>5</v>
      </c>
      <c r="I2" s="159"/>
      <c r="J2" s="159"/>
      <c r="K2" s="159"/>
      <c r="L2" s="159"/>
      <c r="M2" s="159"/>
      <c r="N2" s="159"/>
    </row>
    <row r="3" spans="1:14" x14ac:dyDescent="0.25">
      <c r="B3" s="4" t="s">
        <v>184</v>
      </c>
      <c r="D3" s="8">
        <f>1/(1+$K$17)^D2</f>
        <v>0.92942253538820663</v>
      </c>
      <c r="E3" s="8">
        <f t="shared" ref="E3:H3" si="1">1/(1+$K$17)^E2</f>
        <v>0.86382624928744223</v>
      </c>
      <c r="F3" s="8">
        <f t="shared" si="1"/>
        <v>0.80285958274761959</v>
      </c>
      <c r="G3" s="8">
        <f t="shared" si="1"/>
        <v>0.7461957889580102</v>
      </c>
      <c r="H3" s="8">
        <f t="shared" si="1"/>
        <v>0.69353118206935704</v>
      </c>
      <c r="I3" s="8"/>
      <c r="J3" s="8"/>
      <c r="K3" s="8"/>
    </row>
    <row r="4" spans="1:14" x14ac:dyDescent="0.25">
      <c r="B4" s="4" t="s">
        <v>185</v>
      </c>
      <c r="D4" s="4">
        <f>D3*'Free Cash Flow'!F15</f>
        <v>173.7437923761195</v>
      </c>
      <c r="E4" s="4">
        <f>E3*'Free Cash Flow'!G15</f>
        <v>183.07769355334614</v>
      </c>
      <c r="F4" s="4">
        <f>F3*'Free Cash Flow'!H15</f>
        <v>195.04567645764112</v>
      </c>
      <c r="G4" s="4">
        <f>G3*'Free Cash Flow'!I15</f>
        <v>186.63961487466307</v>
      </c>
      <c r="H4" s="4">
        <f>H3*'Free Cash Flow'!J15</f>
        <v>177.49509980558221</v>
      </c>
      <c r="I4" s="4">
        <f>(H4*(1+K18))/(K17-K18)</f>
        <v>3571.7227221441362</v>
      </c>
    </row>
    <row r="5" spans="1:14" x14ac:dyDescent="0.25">
      <c r="G5" s="147"/>
    </row>
    <row r="6" spans="1:14" x14ac:dyDescent="0.25">
      <c r="A6" s="77" t="s">
        <v>115</v>
      </c>
      <c r="B6" s="19"/>
      <c r="C6" s="42"/>
      <c r="D6" s="86"/>
      <c r="E6" s="77" t="s">
        <v>172</v>
      </c>
      <c r="F6" s="19"/>
      <c r="G6" s="42"/>
      <c r="H6" s="86" t="s">
        <v>168</v>
      </c>
      <c r="I6" s="77" t="s">
        <v>198</v>
      </c>
      <c r="J6" s="19"/>
      <c r="K6" s="42"/>
    </row>
    <row r="7" spans="1:14" x14ac:dyDescent="0.25">
      <c r="B7" s="4" t="s">
        <v>116</v>
      </c>
      <c r="C7" s="4">
        <f>SUM(D4:H4)</f>
        <v>916.00187706735198</v>
      </c>
      <c r="E7" s="4" t="s">
        <v>116</v>
      </c>
      <c r="G7" s="4">
        <f>C7</f>
        <v>916.00187706735198</v>
      </c>
      <c r="I7" s="4" t="s">
        <v>200</v>
      </c>
      <c r="K7" s="4">
        <f>IncState!J36</f>
        <v>100.82999999999998</v>
      </c>
    </row>
    <row r="8" spans="1:14" x14ac:dyDescent="0.25">
      <c r="B8" s="4" t="s">
        <v>117</v>
      </c>
      <c r="C8" s="4">
        <f>I4*H3</f>
        <v>2477.1010815126047</v>
      </c>
      <c r="E8" s="4" t="s">
        <v>173</v>
      </c>
      <c r="G8" s="4">
        <f>H3*G10*IncState!J23</f>
        <v>4899.0384897337126</v>
      </c>
      <c r="I8" s="4" t="s">
        <v>123</v>
      </c>
      <c r="K8" s="4">
        <f>K7/(K17-K18)</f>
        <v>1979.5080428576371</v>
      </c>
    </row>
    <row r="9" spans="1:14" x14ac:dyDescent="0.25">
      <c r="B9" s="4" t="s">
        <v>118</v>
      </c>
      <c r="C9" s="4">
        <f>SUM(C7:C8)</f>
        <v>3393.1029585799565</v>
      </c>
      <c r="E9" s="4" t="s">
        <v>118</v>
      </c>
      <c r="G9" s="4">
        <f>SUM(G7:G8)</f>
        <v>5815.0403668010649</v>
      </c>
    </row>
    <row r="10" spans="1:14" x14ac:dyDescent="0.25">
      <c r="C10" s="85"/>
      <c r="E10" s="4" t="s">
        <v>119</v>
      </c>
      <c r="G10" s="85">
        <v>15</v>
      </c>
      <c r="I10" s="4" t="s">
        <v>124</v>
      </c>
      <c r="K10" s="4">
        <f>G17</f>
        <v>49.841700000000003</v>
      </c>
    </row>
    <row r="11" spans="1:14" x14ac:dyDescent="0.25">
      <c r="I11" s="149" t="s">
        <v>125</v>
      </c>
      <c r="J11" s="156"/>
      <c r="K11" s="157">
        <f>K8/K10</f>
        <v>39.715901400988265</v>
      </c>
    </row>
    <row r="12" spans="1:14" x14ac:dyDescent="0.25">
      <c r="B12" s="27" t="s">
        <v>120</v>
      </c>
      <c r="C12" s="37">
        <f>MAIN!F7</f>
        <v>189.97800000000001</v>
      </c>
      <c r="E12" s="27" t="s">
        <v>120</v>
      </c>
      <c r="F12" s="156"/>
      <c r="G12" s="37">
        <f>C12</f>
        <v>189.97800000000001</v>
      </c>
      <c r="I12" s="159"/>
    </row>
    <row r="13" spans="1:14" x14ac:dyDescent="0.25">
      <c r="B13" s="27" t="s">
        <v>121</v>
      </c>
      <c r="C13" s="37">
        <f>MAIN!F8</f>
        <v>629.15600000000006</v>
      </c>
      <c r="E13" s="27" t="s">
        <v>121</v>
      </c>
      <c r="F13" s="156"/>
      <c r="G13" s="37">
        <f t="shared" ref="G13:G14" si="2">C13</f>
        <v>629.15600000000006</v>
      </c>
    </row>
    <row r="14" spans="1:14" x14ac:dyDescent="0.25">
      <c r="B14" s="27" t="s">
        <v>122</v>
      </c>
      <c r="C14" s="79">
        <v>0</v>
      </c>
      <c r="E14" s="4" t="s">
        <v>122</v>
      </c>
      <c r="G14" s="79">
        <f t="shared" si="2"/>
        <v>0</v>
      </c>
    </row>
    <row r="15" spans="1:14" x14ac:dyDescent="0.25">
      <c r="B15" s="4" t="s">
        <v>123</v>
      </c>
      <c r="C15" s="66">
        <f>C9+C12-SUM(C13:C14)</f>
        <v>2953.9249585799566</v>
      </c>
      <c r="E15" s="4" t="s">
        <v>123</v>
      </c>
      <c r="G15" s="66">
        <f>G9+G12-SUM(G13:G14)</f>
        <v>5375.862366801065</v>
      </c>
    </row>
    <row r="17" spans="1:17" x14ac:dyDescent="0.25">
      <c r="B17" s="4" t="s">
        <v>124</v>
      </c>
      <c r="C17" s="4">
        <f>MAIN!F5</f>
        <v>49.841700000000003</v>
      </c>
      <c r="E17" s="4" t="s">
        <v>124</v>
      </c>
      <c r="G17" s="4">
        <f>C17</f>
        <v>49.841700000000003</v>
      </c>
      <c r="I17" s="162" t="s">
        <v>102</v>
      </c>
      <c r="J17" s="163"/>
      <c r="K17" s="158">
        <f>WACC!E13</f>
        <v>7.5936898369172987E-2</v>
      </c>
    </row>
    <row r="18" spans="1:17" x14ac:dyDescent="0.25">
      <c r="A18" s="4" t="s">
        <v>126</v>
      </c>
      <c r="B18" s="149" t="s">
        <v>125</v>
      </c>
      <c r="C18" s="157">
        <f>C15/C17</f>
        <v>59.266135757407078</v>
      </c>
      <c r="E18" s="149" t="s">
        <v>125</v>
      </c>
      <c r="F18" s="156"/>
      <c r="G18" s="157">
        <f>G15/G17</f>
        <v>107.85872806908803</v>
      </c>
      <c r="I18" s="77" t="s">
        <v>103</v>
      </c>
      <c r="J18" s="77"/>
      <c r="K18" s="148">
        <v>2.5000000000000001E-2</v>
      </c>
    </row>
    <row r="19" spans="1:17" x14ac:dyDescent="0.25">
      <c r="C19" s="21"/>
    </row>
    <row r="20" spans="1:17" x14ac:dyDescent="0.25">
      <c r="A20" s="115" t="s">
        <v>148</v>
      </c>
      <c r="B20" s="19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216"/>
    </row>
    <row r="21" spans="1:17" x14ac:dyDescent="0.25">
      <c r="B21" s="116"/>
      <c r="C21" s="116"/>
      <c r="D21" s="116"/>
      <c r="E21" s="116"/>
      <c r="F21" s="116"/>
      <c r="G21" s="116"/>
      <c r="H21" s="116"/>
      <c r="I21" s="116"/>
    </row>
    <row r="22" spans="1:17" x14ac:dyDescent="0.25">
      <c r="B22" s="116"/>
      <c r="C22" s="116" t="s">
        <v>149</v>
      </c>
      <c r="D22" s="116"/>
      <c r="E22" s="117">
        <v>5.0000000000000001E-3</v>
      </c>
      <c r="F22" s="116"/>
      <c r="G22" s="116"/>
      <c r="H22" s="116" t="s">
        <v>149</v>
      </c>
      <c r="I22" s="116"/>
      <c r="J22" s="117">
        <v>5.0000000000000001E-3</v>
      </c>
    </row>
    <row r="23" spans="1:17" x14ac:dyDescent="0.25">
      <c r="B23" s="116"/>
      <c r="C23" s="116" t="s">
        <v>150</v>
      </c>
      <c r="D23" s="116"/>
      <c r="E23" s="150">
        <v>2.5000000000000001E-3</v>
      </c>
      <c r="F23" s="116"/>
      <c r="G23" s="116"/>
      <c r="H23" s="116" t="s">
        <v>171</v>
      </c>
      <c r="I23" s="116"/>
      <c r="J23" s="155">
        <v>1</v>
      </c>
    </row>
    <row r="24" spans="1:17" x14ac:dyDescent="0.25">
      <c r="B24" s="116"/>
      <c r="C24" s="116"/>
      <c r="D24" s="116"/>
      <c r="E24" s="167"/>
      <c r="F24" s="116"/>
      <c r="G24" s="116"/>
      <c r="H24" s="116"/>
      <c r="I24" s="116"/>
      <c r="J24" s="166"/>
    </row>
    <row r="25" spans="1:17" x14ac:dyDescent="0.25">
      <c r="B25" s="116"/>
      <c r="C25" s="240"/>
      <c r="D25" s="240"/>
      <c r="E25" s="240" t="s">
        <v>196</v>
      </c>
      <c r="F25" s="240"/>
      <c r="H25" s="240"/>
      <c r="I25" s="169"/>
      <c r="J25" s="169" t="s">
        <v>197</v>
      </c>
      <c r="K25" s="169"/>
      <c r="P25" s="169"/>
    </row>
    <row r="26" spans="1:17" x14ac:dyDescent="0.25">
      <c r="B26" s="159"/>
      <c r="C26" s="281">
        <f>C18</f>
        <v>59.266135757407078</v>
      </c>
      <c r="D26" s="241">
        <f>E26-E23</f>
        <v>2.2500000000000003E-2</v>
      </c>
      <c r="E26" s="241">
        <v>2.5000000000000001E-2</v>
      </c>
      <c r="F26" s="241">
        <f>E26+E23</f>
        <v>2.75E-2</v>
      </c>
      <c r="G26" s="239"/>
      <c r="H26" s="169">
        <f>G18</f>
        <v>107.85872806908803</v>
      </c>
      <c r="I26" s="284">
        <f>J26-J23</f>
        <v>14</v>
      </c>
      <c r="J26" s="284">
        <v>15</v>
      </c>
      <c r="K26" s="225">
        <f>J26+J23</f>
        <v>16</v>
      </c>
    </row>
    <row r="27" spans="1:17" x14ac:dyDescent="0.25">
      <c r="B27" s="159"/>
      <c r="C27" s="228">
        <f>C28+$E$22</f>
        <v>8.5936898369172995E-2</v>
      </c>
      <c r="D27" s="279">
        <f t="dataTable" ref="D27:F31" dt2D="1" dtr="1" r1="K18" r2="K17" ca="1"/>
        <v>45.354536187915826</v>
      </c>
      <c r="E27" s="282">
        <v>46.935798577311182</v>
      </c>
      <c r="F27" s="278">
        <v>48.652357537325834</v>
      </c>
      <c r="G27" s="241"/>
      <c r="H27" s="226">
        <f t="shared" ref="H27:H28" si="3">C27</f>
        <v>8.5936898369172995E-2</v>
      </c>
      <c r="I27" s="279">
        <f t="dataTable" ref="I27:K31" dt2D="1" dtr="1" r1="G10" r2="K17"/>
        <v>96.655477769641095</v>
      </c>
      <c r="J27" s="280">
        <v>102.91206931378639</v>
      </c>
      <c r="K27" s="279">
        <v>109.16866085793173</v>
      </c>
      <c r="N27" s="242"/>
      <c r="P27" s="169"/>
    </row>
    <row r="28" spans="1:17" x14ac:dyDescent="0.25">
      <c r="B28" s="159"/>
      <c r="C28" s="228">
        <f>C29+$E$22</f>
        <v>8.0936898369172991E-2</v>
      </c>
      <c r="D28" s="279">
        <v>50.569523526698944</v>
      </c>
      <c r="E28" s="282">
        <v>52.518824595650976</v>
      </c>
      <c r="F28" s="279">
        <v>54.650518461382255</v>
      </c>
      <c r="G28" s="169"/>
      <c r="H28" s="226">
        <f t="shared" si="3"/>
        <v>8.0936898369172991E-2</v>
      </c>
      <c r="I28" s="279">
        <v>98.949226040490814</v>
      </c>
      <c r="J28" s="280">
        <v>105.35186545063613</v>
      </c>
      <c r="K28" s="279">
        <v>111.75450486078144</v>
      </c>
      <c r="N28" s="243"/>
      <c r="O28" s="47"/>
      <c r="P28" s="47"/>
      <c r="Q28" s="47"/>
    </row>
    <row r="29" spans="1:17" x14ac:dyDescent="0.25">
      <c r="C29" s="228">
        <v>7.5936898369172987E-2</v>
      </c>
      <c r="D29" s="280">
        <v>56.82544596717058</v>
      </c>
      <c r="E29" s="283">
        <v>59.266135757407078</v>
      </c>
      <c r="F29" s="280">
        <v>61.958770848892463</v>
      </c>
      <c r="G29" s="244"/>
      <c r="H29" s="226">
        <f>C29</f>
        <v>7.5936898369172987E-2</v>
      </c>
      <c r="I29" s="280">
        <v>101.30593059263261</v>
      </c>
      <c r="J29" s="280">
        <v>107.85872806908803</v>
      </c>
      <c r="K29" s="280">
        <v>114.41152554554343</v>
      </c>
      <c r="N29" s="246"/>
      <c r="O29" s="165"/>
      <c r="P29" s="165"/>
      <c r="Q29" s="165"/>
    </row>
    <row r="30" spans="1:17" x14ac:dyDescent="0.25">
      <c r="C30" s="228">
        <f>C29-$E$22</f>
        <v>7.0936898369172982E-2</v>
      </c>
      <c r="D30" s="279">
        <v>64.449841983373588</v>
      </c>
      <c r="E30" s="280">
        <v>67.563383091173989</v>
      </c>
      <c r="F30" s="279">
        <v>71.03532238400804</v>
      </c>
      <c r="G30" s="245"/>
      <c r="H30" s="226">
        <f t="shared" ref="H30:H31" si="4">C30</f>
        <v>7.0936898369172982E-2</v>
      </c>
      <c r="I30" s="279">
        <v>103.72764176390405</v>
      </c>
      <c r="J30" s="280">
        <v>110.43484309339323</v>
      </c>
      <c r="K30" s="278">
        <v>117.14204442288238</v>
      </c>
      <c r="M30" s="47"/>
      <c r="N30" s="165"/>
      <c r="O30" s="85"/>
      <c r="P30" s="85"/>
      <c r="Q30" s="85"/>
    </row>
    <row r="31" spans="1:17" x14ac:dyDescent="0.25">
      <c r="C31" s="228">
        <f>C30-$E$22</f>
        <v>6.5936898369172978E-2</v>
      </c>
      <c r="D31" s="279">
        <v>73.921461965980598</v>
      </c>
      <c r="E31" s="280">
        <v>77.985056169856719</v>
      </c>
      <c r="F31" s="279">
        <v>82.577256267586037</v>
      </c>
      <c r="G31" s="245"/>
      <c r="H31" s="226">
        <f t="shared" si="4"/>
        <v>6.5936898369172978E-2</v>
      </c>
      <c r="I31" s="279">
        <v>106.21648695381488</v>
      </c>
      <c r="J31" s="280">
        <v>113.08247864529186</v>
      </c>
      <c r="K31" s="278">
        <v>119.94847033676884</v>
      </c>
      <c r="M31" s="47"/>
      <c r="N31" s="165"/>
      <c r="O31" s="85"/>
      <c r="P31" s="85"/>
      <c r="Q31" s="85"/>
    </row>
    <row r="32" spans="1:17" x14ac:dyDescent="0.25">
      <c r="D32" s="47"/>
      <c r="E32" s="147"/>
      <c r="F32" s="226"/>
      <c r="G32" s="245"/>
      <c r="H32" s="227"/>
      <c r="I32" s="227"/>
      <c r="J32" s="227"/>
      <c r="K32" s="247"/>
      <c r="L32" s="147"/>
      <c r="M32" s="47"/>
      <c r="N32" s="165"/>
      <c r="O32" s="85"/>
      <c r="P32" s="85"/>
      <c r="Q32" s="85"/>
    </row>
    <row r="33" spans="2:17" x14ac:dyDescent="0.25">
      <c r="D33" s="47"/>
      <c r="E33" s="222"/>
      <c r="F33" s="226"/>
      <c r="G33" s="245"/>
      <c r="H33" s="227"/>
      <c r="I33" s="227"/>
      <c r="J33" s="227"/>
      <c r="K33" s="242"/>
      <c r="M33" s="47"/>
      <c r="N33" s="165"/>
      <c r="O33" s="85"/>
      <c r="P33" s="85"/>
      <c r="Q33" s="85"/>
    </row>
    <row r="34" spans="2:17" x14ac:dyDescent="0.25">
      <c r="D34" s="47"/>
      <c r="E34" s="222"/>
      <c r="F34" s="226"/>
      <c r="G34" s="245"/>
      <c r="H34" s="227"/>
      <c r="I34" s="227"/>
      <c r="J34" s="227"/>
      <c r="K34" s="242"/>
      <c r="M34" s="47"/>
      <c r="N34" s="165"/>
      <c r="O34" s="85"/>
      <c r="P34" s="85"/>
      <c r="Q34" s="85"/>
    </row>
    <row r="35" spans="2:17" x14ac:dyDescent="0.25">
      <c r="B35" s="248"/>
      <c r="C35" s="248"/>
      <c r="D35" s="248"/>
      <c r="E35" s="249"/>
      <c r="F35" s="250"/>
      <c r="G35" s="249"/>
    </row>
    <row r="36" spans="2:17" x14ac:dyDescent="0.25">
      <c r="B36" s="116"/>
      <c r="C36" s="116"/>
      <c r="D36" s="116"/>
      <c r="E36" s="116"/>
      <c r="F36" s="240"/>
      <c r="G36" s="240"/>
      <c r="H36" s="240"/>
      <c r="I36" s="169"/>
      <c r="J36" s="169"/>
      <c r="P36" s="169"/>
    </row>
    <row r="37" spans="2:17" x14ac:dyDescent="0.25">
      <c r="F37" s="228"/>
      <c r="G37" s="228"/>
      <c r="H37" s="226"/>
      <c r="I37" s="226"/>
      <c r="J37" s="226"/>
      <c r="M37" s="169"/>
      <c r="O37" s="85"/>
      <c r="P37" s="85"/>
      <c r="Q37" s="85"/>
    </row>
    <row r="38" spans="2:17" x14ac:dyDescent="0.25">
      <c r="E38" s="47"/>
      <c r="F38" s="225"/>
      <c r="G38" s="251"/>
      <c r="H38" s="245"/>
      <c r="I38" s="245"/>
      <c r="J38" s="245"/>
      <c r="L38" s="85"/>
      <c r="M38" s="85"/>
      <c r="N38" s="252"/>
      <c r="O38" s="168"/>
      <c r="P38" s="168"/>
      <c r="Q38" s="168"/>
    </row>
    <row r="39" spans="2:17" x14ac:dyDescent="0.25">
      <c r="E39" s="47"/>
      <c r="F39" s="226"/>
      <c r="G39" s="245"/>
      <c r="H39" s="225"/>
      <c r="I39" s="225"/>
      <c r="J39" s="225"/>
      <c r="K39" s="47"/>
      <c r="M39" s="47"/>
      <c r="N39" s="165"/>
      <c r="O39" s="253"/>
      <c r="P39" s="253"/>
      <c r="Q39" s="253"/>
    </row>
    <row r="40" spans="2:17" x14ac:dyDescent="0.25">
      <c r="D40" s="8"/>
      <c r="E40" s="47"/>
      <c r="F40" s="226"/>
      <c r="G40" s="245"/>
      <c r="H40" s="225"/>
      <c r="I40" s="225"/>
      <c r="J40" s="225"/>
      <c r="K40" s="8"/>
      <c r="L40" s="47"/>
      <c r="M40" s="47"/>
      <c r="N40" s="165"/>
      <c r="O40" s="253"/>
      <c r="P40" s="253"/>
      <c r="Q40" s="253"/>
    </row>
    <row r="41" spans="2:17" x14ac:dyDescent="0.25">
      <c r="D41" s="8"/>
      <c r="E41" s="147"/>
      <c r="F41" s="226"/>
      <c r="G41" s="245"/>
      <c r="H41" s="225"/>
      <c r="I41" s="225"/>
      <c r="J41" s="225"/>
      <c r="K41" s="8"/>
      <c r="L41" s="147"/>
      <c r="M41" s="47"/>
      <c r="N41" s="165"/>
      <c r="O41" s="253"/>
      <c r="P41" s="253"/>
      <c r="Q41" s="253"/>
    </row>
    <row r="42" spans="2:17" x14ac:dyDescent="0.25">
      <c r="D42" s="8"/>
      <c r="E42" s="47"/>
      <c r="F42" s="226"/>
      <c r="G42" s="245"/>
      <c r="H42" s="225"/>
      <c r="I42" s="225"/>
      <c r="J42" s="225"/>
      <c r="K42" s="8"/>
      <c r="L42" s="47"/>
      <c r="M42" s="47"/>
      <c r="N42" s="165"/>
      <c r="O42" s="253"/>
      <c r="P42" s="253"/>
      <c r="Q42" s="253"/>
    </row>
    <row r="43" spans="2:17" x14ac:dyDescent="0.25">
      <c r="D43" s="8"/>
      <c r="E43" s="8"/>
      <c r="F43" s="226"/>
      <c r="G43" s="245"/>
      <c r="H43" s="225"/>
      <c r="I43" s="225"/>
      <c r="J43" s="225"/>
      <c r="K43" s="8"/>
      <c r="L43" s="47"/>
      <c r="M43" s="47"/>
      <c r="N43" s="165"/>
      <c r="O43" s="253"/>
      <c r="P43" s="253"/>
      <c r="Q43" s="253"/>
    </row>
    <row r="44" spans="2:17" x14ac:dyDescent="0.25">
      <c r="D44" s="8"/>
      <c r="E44" s="8"/>
      <c r="F44" s="85"/>
      <c r="G44" s="85"/>
      <c r="H44" s="85"/>
      <c r="J44" s="8"/>
      <c r="K44" s="8"/>
      <c r="L44" s="47"/>
      <c r="M44" s="47"/>
      <c r="N44" s="47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9B163E-8FD9-4F0C-B1E1-F38F6A6548CE}">
  <ds:schemaRefs>
    <ds:schemaRef ds:uri="http://www.w3.org/XML/1998/namespace"/>
    <ds:schemaRef ds:uri="http://schemas.microsoft.com/office/2006/documentManagement/types"/>
    <ds:schemaRef ds:uri="88a26cf8-717e-46a4-ac0d-03f11284dc6b"/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2025-12-09T18:31:36Z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