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C7BA2092-7211-45DC-98B1-08F2F7A0F619}" xr6:coauthVersionLast="47" xr6:coauthVersionMax="47" xr10:uidLastSave="{00000000-0000-0000-0000-000000000000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2" l="1"/>
  <c r="H31" i="12"/>
  <c r="H28" i="12"/>
  <c r="H27" i="12"/>
  <c r="H29" i="12"/>
  <c r="K26" i="12"/>
  <c r="I26" i="12"/>
  <c r="C30" i="12"/>
  <c r="C31" i="12" s="1"/>
  <c r="C27" i="12"/>
  <c r="C28" i="12"/>
  <c r="D26" i="12"/>
  <c r="F26" i="12"/>
  <c r="G14" i="12"/>
  <c r="G12" i="12"/>
  <c r="C17" i="12"/>
  <c r="G17" i="12" s="1"/>
  <c r="C13" i="12"/>
  <c r="G13" i="12" s="1"/>
  <c r="C12" i="12"/>
  <c r="K17" i="12"/>
  <c r="D3" i="12" s="1"/>
  <c r="D4" i="12" s="1"/>
  <c r="E9" i="11"/>
  <c r="G3" i="10"/>
  <c r="H3" i="10"/>
  <c r="G4" i="10"/>
  <c r="H4" i="10"/>
  <c r="G5" i="10"/>
  <c r="H5" i="10"/>
  <c r="I5" i="10"/>
  <c r="J5" i="10"/>
  <c r="G7" i="10"/>
  <c r="G15" i="10" s="1"/>
  <c r="H7" i="10"/>
  <c r="H15" i="10" s="1"/>
  <c r="G8" i="10"/>
  <c r="H8" i="10"/>
  <c r="I8" i="10"/>
  <c r="G9" i="10"/>
  <c r="H9" i="10"/>
  <c r="I9" i="10"/>
  <c r="J9" i="10"/>
  <c r="G10" i="10"/>
  <c r="H10" i="10"/>
  <c r="G11" i="10"/>
  <c r="H11" i="10"/>
  <c r="G12" i="10"/>
  <c r="H12" i="10"/>
  <c r="G13" i="10"/>
  <c r="H13" i="10"/>
  <c r="G4" i="9"/>
  <c r="H4" i="9"/>
  <c r="I4" i="9"/>
  <c r="G5" i="9"/>
  <c r="H5" i="9"/>
  <c r="I5" i="9"/>
  <c r="J5" i="9"/>
  <c r="G6" i="9"/>
  <c r="H6" i="9"/>
  <c r="G7" i="9"/>
  <c r="H7" i="9"/>
  <c r="G8" i="9"/>
  <c r="H8" i="9"/>
  <c r="G11" i="9"/>
  <c r="H11" i="9"/>
  <c r="G12" i="9"/>
  <c r="H12" i="9"/>
  <c r="G15" i="9"/>
  <c r="H15" i="9"/>
  <c r="I15" i="9"/>
  <c r="J15" i="9"/>
  <c r="G16" i="9"/>
  <c r="H16" i="9"/>
  <c r="I16" i="9"/>
  <c r="J16" i="9"/>
  <c r="G17" i="9"/>
  <c r="H17" i="9"/>
  <c r="I17" i="9"/>
  <c r="J17" i="9"/>
  <c r="G21" i="9"/>
  <c r="G16" i="8"/>
  <c r="G18" i="5" s="1"/>
  <c r="H16" i="8"/>
  <c r="H18" i="5" s="1"/>
  <c r="G18" i="8"/>
  <c r="G19" i="5" s="1"/>
  <c r="H18" i="8"/>
  <c r="H19" i="5" s="1"/>
  <c r="G19" i="8"/>
  <c r="G20" i="5" s="1"/>
  <c r="H19" i="8"/>
  <c r="H20" i="5" s="1"/>
  <c r="G20" i="8"/>
  <c r="G21" i="5" s="1"/>
  <c r="H20" i="8"/>
  <c r="H21" i="5" s="1"/>
  <c r="G23" i="8"/>
  <c r="G26" i="8" s="1"/>
  <c r="H23" i="8"/>
  <c r="H26" i="8" s="1"/>
  <c r="G24" i="8"/>
  <c r="H24" i="8"/>
  <c r="I24" i="8"/>
  <c r="J24" i="8" s="1"/>
  <c r="G25" i="8"/>
  <c r="H25" i="8"/>
  <c r="G31" i="8"/>
  <c r="H31" i="8"/>
  <c r="G32" i="8"/>
  <c r="H32" i="8"/>
  <c r="G35" i="8"/>
  <c r="H35" i="8"/>
  <c r="I35" i="8"/>
  <c r="J35" i="8"/>
  <c r="G36" i="8"/>
  <c r="H36" i="8"/>
  <c r="G37" i="8"/>
  <c r="H37" i="8"/>
  <c r="G15" i="7"/>
  <c r="G17" i="7"/>
  <c r="G20" i="7"/>
  <c r="G21" i="7"/>
  <c r="H21" i="7"/>
  <c r="I21" i="7"/>
  <c r="J21" i="7"/>
  <c r="G24" i="7"/>
  <c r="H24" i="7"/>
  <c r="I24" i="7"/>
  <c r="J24" i="7"/>
  <c r="G25" i="7"/>
  <c r="H25" i="7"/>
  <c r="I25" i="7"/>
  <c r="J25" i="7"/>
  <c r="G27" i="7"/>
  <c r="H27" i="7"/>
  <c r="I27" i="7"/>
  <c r="J27" i="7"/>
  <c r="G28" i="7"/>
  <c r="H28" i="7"/>
  <c r="I28" i="7"/>
  <c r="J28" i="7"/>
  <c r="G35" i="7"/>
  <c r="H35" i="7"/>
  <c r="I35" i="7"/>
  <c r="J35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G22" i="6" s="1"/>
  <c r="G28" i="6" s="1"/>
  <c r="H21" i="6"/>
  <c r="I21" i="6"/>
  <c r="J21" i="6"/>
  <c r="G24" i="6"/>
  <c r="H24" i="6"/>
  <c r="I24" i="6"/>
  <c r="J24" i="6"/>
  <c r="G25" i="6"/>
  <c r="H25" i="6"/>
  <c r="I25" i="6"/>
  <c r="J25" i="6"/>
  <c r="G26" i="6"/>
  <c r="G27" i="6"/>
  <c r="G30" i="6"/>
  <c r="H30" i="6"/>
  <c r="I30" i="6"/>
  <c r="J30" i="6"/>
  <c r="G32" i="6"/>
  <c r="H32" i="6"/>
  <c r="I32" i="6"/>
  <c r="J32" i="6"/>
  <c r="G6" i="5"/>
  <c r="G10" i="5"/>
  <c r="G17" i="5" s="1"/>
  <c r="H10" i="5"/>
  <c r="H17" i="5" s="1"/>
  <c r="I10" i="5"/>
  <c r="I17" i="5" s="1"/>
  <c r="J10" i="5"/>
  <c r="J17" i="5" s="1"/>
  <c r="G11" i="5"/>
  <c r="G15" i="5" s="1"/>
  <c r="H11" i="5"/>
  <c r="H15" i="5" s="1"/>
  <c r="I11" i="5"/>
  <c r="I15" i="5" s="1"/>
  <c r="J11" i="5"/>
  <c r="J15" i="5" s="1"/>
  <c r="G13" i="5"/>
  <c r="G22" i="5"/>
  <c r="H22" i="5"/>
  <c r="G23" i="5"/>
  <c r="H23" i="5"/>
  <c r="F13" i="10"/>
  <c r="F12" i="10"/>
  <c r="F11" i="10"/>
  <c r="F10" i="10"/>
  <c r="F9" i="10"/>
  <c r="F8" i="10"/>
  <c r="E2" i="6"/>
  <c r="F2" i="6"/>
  <c r="G2" i="6"/>
  <c r="H2" i="6"/>
  <c r="I2" i="6"/>
  <c r="J2" i="6"/>
  <c r="D2" i="6"/>
  <c r="F28" i="7"/>
  <c r="F27" i="7"/>
  <c r="F30" i="7" s="1"/>
  <c r="F21" i="9"/>
  <c r="B22" i="9"/>
  <c r="F17" i="9"/>
  <c r="F16" i="9"/>
  <c r="F15" i="9"/>
  <c r="F12" i="9"/>
  <c r="F11" i="9"/>
  <c r="F8" i="9"/>
  <c r="F7" i="9"/>
  <c r="F6" i="9"/>
  <c r="F5" i="9"/>
  <c r="F4" i="9"/>
  <c r="F25" i="5"/>
  <c r="F24" i="5"/>
  <c r="F23" i="5"/>
  <c r="F22" i="5"/>
  <c r="F21" i="5"/>
  <c r="F20" i="5"/>
  <c r="F19" i="5"/>
  <c r="F18" i="5"/>
  <c r="E24" i="5"/>
  <c r="E23" i="5"/>
  <c r="E22" i="5"/>
  <c r="E21" i="5"/>
  <c r="E20" i="5"/>
  <c r="E19" i="5"/>
  <c r="E18" i="5"/>
  <c r="F15" i="5"/>
  <c r="E16" i="5"/>
  <c r="F13" i="5" s="1"/>
  <c r="F36" i="8"/>
  <c r="F35" i="8"/>
  <c r="F32" i="6"/>
  <c r="F28" i="6"/>
  <c r="F27" i="6"/>
  <c r="F26" i="6"/>
  <c r="F25" i="6"/>
  <c r="F22" i="6"/>
  <c r="F21" i="6"/>
  <c r="F20" i="6"/>
  <c r="F19" i="6"/>
  <c r="F18" i="6"/>
  <c r="F17" i="6"/>
  <c r="E20" i="6"/>
  <c r="F31" i="8"/>
  <c r="F32" i="8"/>
  <c r="F25" i="8"/>
  <c r="F24" i="8"/>
  <c r="F32" i="13"/>
  <c r="E9" i="5"/>
  <c r="F6" i="5" s="1"/>
  <c r="F20" i="8"/>
  <c r="F19" i="8"/>
  <c r="F18" i="8"/>
  <c r="F16" i="8"/>
  <c r="F35" i="7"/>
  <c r="F25" i="7"/>
  <c r="F24" i="7"/>
  <c r="F21" i="7"/>
  <c r="F18" i="7"/>
  <c r="F17" i="7"/>
  <c r="F16" i="7"/>
  <c r="F15" i="7"/>
  <c r="G11" i="13"/>
  <c r="H11" i="13"/>
  <c r="I11" i="13"/>
  <c r="J11" i="13"/>
  <c r="F11" i="13"/>
  <c r="G12" i="13"/>
  <c r="H12" i="13"/>
  <c r="I12" i="13"/>
  <c r="J12" i="13"/>
  <c r="F12" i="13"/>
  <c r="G31" i="13"/>
  <c r="H31" i="13"/>
  <c r="I31" i="13"/>
  <c r="J31" i="13"/>
  <c r="F31" i="13"/>
  <c r="C31" i="13"/>
  <c r="D31" i="13"/>
  <c r="E31" i="13"/>
  <c r="C36" i="8"/>
  <c r="C32" i="8"/>
  <c r="C31" i="8"/>
  <c r="C23" i="8"/>
  <c r="C17" i="8"/>
  <c r="D36" i="8"/>
  <c r="D35" i="8"/>
  <c r="E36" i="8"/>
  <c r="D31" i="8"/>
  <c r="D32" i="8"/>
  <c r="E32" i="8"/>
  <c r="E31" i="8"/>
  <c r="D24" i="8"/>
  <c r="D23" i="8"/>
  <c r="E25" i="8"/>
  <c r="E23" i="8"/>
  <c r="D16" i="8"/>
  <c r="D17" i="8" s="1"/>
  <c r="C16" i="8"/>
  <c r="E16" i="8"/>
  <c r="E17" i="8" s="1"/>
  <c r="C20" i="7"/>
  <c r="C17" i="7"/>
  <c r="C16" i="7"/>
  <c r="D17" i="7"/>
  <c r="D16" i="7"/>
  <c r="D15" i="7"/>
  <c r="E17" i="7"/>
  <c r="E16" i="7"/>
  <c r="F8" i="3"/>
  <c r="F7" i="3"/>
  <c r="F5" i="3"/>
  <c r="G24" i="5" l="1"/>
  <c r="H24" i="5"/>
  <c r="G7" i="5"/>
  <c r="H15" i="7"/>
  <c r="G16" i="7"/>
  <c r="G18" i="7" s="1"/>
  <c r="I17" i="6"/>
  <c r="I20" i="6" s="1"/>
  <c r="H26" i="6"/>
  <c r="H27" i="6" s="1"/>
  <c r="H22" i="6"/>
  <c r="H28" i="6" s="1"/>
  <c r="G8" i="5"/>
  <c r="G9" i="5"/>
  <c r="H6" i="5" s="1"/>
  <c r="F32" i="7"/>
  <c r="F33" i="7"/>
  <c r="E14" i="13"/>
  <c r="D39" i="13"/>
  <c r="D14" i="13"/>
  <c r="E47" i="13"/>
  <c r="F47" i="13" s="1"/>
  <c r="F11" i="8" s="1"/>
  <c r="E12" i="13"/>
  <c r="D10" i="13"/>
  <c r="E10" i="13"/>
  <c r="D32" i="13"/>
  <c r="E32" i="13"/>
  <c r="G32" i="13" s="1"/>
  <c r="H32" i="13" s="1"/>
  <c r="I32" i="13" s="1"/>
  <c r="J32" i="13" s="1"/>
  <c r="E49" i="13"/>
  <c r="D49" i="13"/>
  <c r="C49" i="13"/>
  <c r="E48" i="13"/>
  <c r="D48" i="13"/>
  <c r="C48" i="13"/>
  <c r="C47" i="13"/>
  <c r="E42" i="13"/>
  <c r="F42" i="13" s="1"/>
  <c r="D42" i="13"/>
  <c r="C42" i="13"/>
  <c r="E43" i="13"/>
  <c r="D43" i="13"/>
  <c r="C43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8" i="13"/>
  <c r="D18" i="13"/>
  <c r="C18" i="13"/>
  <c r="E17" i="13"/>
  <c r="D17" i="13"/>
  <c r="C17" i="13"/>
  <c r="F4" i="10"/>
  <c r="F3" i="10"/>
  <c r="F6" i="3"/>
  <c r="G8" i="13"/>
  <c r="H8" i="13"/>
  <c r="I8" i="13"/>
  <c r="J8" i="13"/>
  <c r="F8" i="13"/>
  <c r="G7" i="13"/>
  <c r="H7" i="13"/>
  <c r="I7" i="13"/>
  <c r="J7" i="13"/>
  <c r="F7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0" i="13"/>
  <c r="C29" i="13" s="1"/>
  <c r="C35" i="13" s="1"/>
  <c r="C45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D33" i="8"/>
  <c r="C37" i="8"/>
  <c r="C40" i="8" s="1"/>
  <c r="D37" i="8"/>
  <c r="D40" i="8" s="1"/>
  <c r="E37" i="8"/>
  <c r="C10" i="5"/>
  <c r="C17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F7" i="5" s="1"/>
  <c r="C11" i="6"/>
  <c r="C30" i="6" s="1"/>
  <c r="F23" i="13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J14" i="7"/>
  <c r="I14" i="7"/>
  <c r="H14" i="7"/>
  <c r="G14" i="7"/>
  <c r="F14" i="7"/>
  <c r="E14" i="7"/>
  <c r="D14" i="7"/>
  <c r="C14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19" i="5"/>
  <c r="B20" i="5"/>
  <c r="F9" i="6"/>
  <c r="G9" i="6"/>
  <c r="H9" i="6"/>
  <c r="I9" i="6"/>
  <c r="J9" i="6"/>
  <c r="J8" i="6"/>
  <c r="I8" i="6"/>
  <c r="H8" i="6"/>
  <c r="G8" i="6"/>
  <c r="E2" i="12"/>
  <c r="F8" i="7"/>
  <c r="F2" i="12" l="1"/>
  <c r="E3" i="12"/>
  <c r="E4" i="12" s="1"/>
  <c r="G25" i="5"/>
  <c r="H25" i="5"/>
  <c r="G30" i="7"/>
  <c r="G22" i="7"/>
  <c r="H17" i="7"/>
  <c r="H7" i="5"/>
  <c r="H16" i="7"/>
  <c r="H18" i="7" s="1"/>
  <c r="I15" i="7"/>
  <c r="J17" i="6"/>
  <c r="J20" i="6" s="1"/>
  <c r="I26" i="6"/>
  <c r="I27" i="6" s="1"/>
  <c r="I22" i="6"/>
  <c r="I28" i="6" s="1"/>
  <c r="H8" i="5"/>
  <c r="F37" i="7"/>
  <c r="F38" i="7"/>
  <c r="F14" i="5"/>
  <c r="F16" i="5" s="1"/>
  <c r="F39" i="8" s="1"/>
  <c r="G42" i="13"/>
  <c r="G23" i="13"/>
  <c r="E11" i="11"/>
  <c r="C22" i="7"/>
  <c r="C33" i="7"/>
  <c r="D11" i="13"/>
  <c r="D47" i="13"/>
  <c r="D18" i="7"/>
  <c r="D22" i="7" s="1"/>
  <c r="E39" i="13"/>
  <c r="F39" i="13" s="1"/>
  <c r="F6" i="8" s="1"/>
  <c r="E11" i="13"/>
  <c r="E10" i="11"/>
  <c r="F9" i="3"/>
  <c r="D20" i="13"/>
  <c r="D29" i="13" s="1"/>
  <c r="D35" i="13" s="1"/>
  <c r="D45" i="13" s="1"/>
  <c r="F2" i="13"/>
  <c r="E20" i="13"/>
  <c r="E29" i="13" s="1"/>
  <c r="E35" i="13" s="1"/>
  <c r="E45" i="13" s="1"/>
  <c r="F2" i="8"/>
  <c r="F11" i="6"/>
  <c r="F30" i="6" s="1"/>
  <c r="E11" i="6"/>
  <c r="E16" i="6" s="1"/>
  <c r="E24" i="6" s="1"/>
  <c r="E30" i="6"/>
  <c r="F5" i="6"/>
  <c r="G24" i="13"/>
  <c r="G6" i="6" s="1"/>
  <c r="G47" i="13"/>
  <c r="G13" i="13"/>
  <c r="G22" i="13"/>
  <c r="G4" i="6" s="1"/>
  <c r="D10" i="5"/>
  <c r="D17" i="5" s="1"/>
  <c r="E10" i="5"/>
  <c r="E17" i="5" s="1"/>
  <c r="F2" i="5"/>
  <c r="D30" i="6"/>
  <c r="D28" i="8"/>
  <c r="D42" i="8" s="1"/>
  <c r="C16" i="6"/>
  <c r="C24" i="6" s="1"/>
  <c r="E40" i="8"/>
  <c r="E28" i="8"/>
  <c r="C28" i="8"/>
  <c r="C42" i="8" s="1"/>
  <c r="F4" i="5"/>
  <c r="F7" i="8"/>
  <c r="G40" i="13"/>
  <c r="F37" i="13"/>
  <c r="F48" i="13"/>
  <c r="F38" i="13"/>
  <c r="E18" i="7"/>
  <c r="E22" i="7" s="1"/>
  <c r="F43" i="13"/>
  <c r="F49" i="13"/>
  <c r="I3" i="10" l="1"/>
  <c r="I32" i="8"/>
  <c r="I23" i="5" s="1"/>
  <c r="I36" i="8"/>
  <c r="I16" i="8"/>
  <c r="I18" i="5" s="1"/>
  <c r="I18" i="8"/>
  <c r="I19" i="5" s="1"/>
  <c r="I20" i="8"/>
  <c r="I21" i="5" s="1"/>
  <c r="I25" i="8"/>
  <c r="F3" i="12"/>
  <c r="F4" i="12" s="1"/>
  <c r="G2" i="12"/>
  <c r="G32" i="7"/>
  <c r="G33" i="7" s="1"/>
  <c r="H30" i="7"/>
  <c r="I7" i="5"/>
  <c r="I11" i="9" s="1"/>
  <c r="I12" i="9" s="1"/>
  <c r="I13" i="10" s="1"/>
  <c r="I16" i="7"/>
  <c r="J15" i="7"/>
  <c r="I17" i="7"/>
  <c r="I18" i="7" s="1"/>
  <c r="I4" i="10" s="1"/>
  <c r="I7" i="10" s="1"/>
  <c r="H9" i="5"/>
  <c r="I6" i="5" s="1"/>
  <c r="I8" i="5" s="1"/>
  <c r="H20" i="7"/>
  <c r="H22" i="7" s="1"/>
  <c r="J22" i="6"/>
  <c r="J28" i="6" s="1"/>
  <c r="J26" i="6"/>
  <c r="J27" i="6" s="1"/>
  <c r="G4" i="5"/>
  <c r="H4" i="5" s="1"/>
  <c r="I4" i="5" s="1"/>
  <c r="J4" i="5" s="1"/>
  <c r="F8" i="5"/>
  <c r="G5" i="6"/>
  <c r="H23" i="13"/>
  <c r="H42" i="13"/>
  <c r="C37" i="7"/>
  <c r="C38" i="7"/>
  <c r="D30" i="7"/>
  <c r="G39" i="13"/>
  <c r="H39" i="13" s="1"/>
  <c r="H6" i="8" s="1"/>
  <c r="G2" i="13"/>
  <c r="F20" i="13"/>
  <c r="F29" i="13" s="1"/>
  <c r="F35" i="13" s="1"/>
  <c r="F45" i="13" s="1"/>
  <c r="F15" i="8"/>
  <c r="G2" i="8"/>
  <c r="G11" i="6"/>
  <c r="F16" i="6"/>
  <c r="F24" i="6" s="1"/>
  <c r="E42" i="8"/>
  <c r="H24" i="13"/>
  <c r="I24" i="13" s="1"/>
  <c r="H22" i="13"/>
  <c r="H13" i="13"/>
  <c r="G7" i="7"/>
  <c r="G11" i="8"/>
  <c r="H47" i="13"/>
  <c r="G2" i="5"/>
  <c r="F10" i="5"/>
  <c r="F17" i="5" s="1"/>
  <c r="G3" i="5"/>
  <c r="H4" i="6"/>
  <c r="I22" i="13"/>
  <c r="F5" i="8"/>
  <c r="G38" i="13"/>
  <c r="G37" i="13"/>
  <c r="H37" i="13" s="1"/>
  <c r="I37" i="13" s="1"/>
  <c r="J37" i="13" s="1"/>
  <c r="F4" i="8"/>
  <c r="F13" i="8"/>
  <c r="G49" i="13"/>
  <c r="G43" i="13"/>
  <c r="F9" i="8"/>
  <c r="E30" i="7"/>
  <c r="F12" i="8"/>
  <c r="G48" i="13"/>
  <c r="G7" i="8"/>
  <c r="H40" i="13"/>
  <c r="I37" i="8" l="1"/>
  <c r="I8" i="9"/>
  <c r="I12" i="10" s="1"/>
  <c r="I7" i="9"/>
  <c r="I11" i="10" s="1"/>
  <c r="I19" i="8"/>
  <c r="I20" i="5" s="1"/>
  <c r="I24" i="5" s="1"/>
  <c r="I31" i="8"/>
  <c r="I22" i="5" s="1"/>
  <c r="J20" i="8"/>
  <c r="J21" i="5" s="1"/>
  <c r="J25" i="8"/>
  <c r="J7" i="9" s="1"/>
  <c r="J11" i="10" s="1"/>
  <c r="J3" i="10"/>
  <c r="J16" i="8"/>
  <c r="J18" i="5" s="1"/>
  <c r="J18" i="8"/>
  <c r="J19" i="5" s="1"/>
  <c r="J32" i="8"/>
  <c r="J23" i="5" s="1"/>
  <c r="J36" i="8"/>
  <c r="G3" i="12"/>
  <c r="H2" i="12"/>
  <c r="H3" i="12" s="1"/>
  <c r="G14" i="5"/>
  <c r="G16" i="5" s="1"/>
  <c r="G37" i="7"/>
  <c r="G38" i="7"/>
  <c r="H32" i="7"/>
  <c r="H33" i="7" s="1"/>
  <c r="J7" i="5"/>
  <c r="J11" i="9" s="1"/>
  <c r="J12" i="9" s="1"/>
  <c r="J13" i="10" s="1"/>
  <c r="J17" i="7"/>
  <c r="J16" i="7"/>
  <c r="I30" i="7"/>
  <c r="I20" i="7"/>
  <c r="I22" i="7" s="1"/>
  <c r="I9" i="5"/>
  <c r="J8" i="5"/>
  <c r="J20" i="7" s="1"/>
  <c r="J4" i="9" s="1"/>
  <c r="J8" i="10" s="1"/>
  <c r="F9" i="5"/>
  <c r="F23" i="8" s="1"/>
  <c r="F26" i="8" s="1"/>
  <c r="F20" i="7"/>
  <c r="F22" i="7" s="1"/>
  <c r="I23" i="13"/>
  <c r="J23" i="13" s="1"/>
  <c r="H5" i="6"/>
  <c r="I42" i="13"/>
  <c r="J42" i="13" s="1"/>
  <c r="I39" i="13"/>
  <c r="G6" i="8"/>
  <c r="D33" i="7"/>
  <c r="D16" i="13"/>
  <c r="E33" i="7"/>
  <c r="E16" i="13"/>
  <c r="F16" i="13" s="1"/>
  <c r="H2" i="13"/>
  <c r="G20" i="13"/>
  <c r="G29" i="13" s="1"/>
  <c r="G35" i="13" s="1"/>
  <c r="G45" i="13" s="1"/>
  <c r="G15" i="8"/>
  <c r="H2" i="8"/>
  <c r="H11" i="6"/>
  <c r="H6" i="6"/>
  <c r="I5" i="6"/>
  <c r="H11" i="8"/>
  <c r="I47" i="13"/>
  <c r="G5" i="7"/>
  <c r="I13" i="13"/>
  <c r="H7" i="7"/>
  <c r="G6" i="7"/>
  <c r="H2" i="5"/>
  <c r="I4" i="6"/>
  <c r="J22" i="13"/>
  <c r="H3" i="5"/>
  <c r="J24" i="13"/>
  <c r="I6" i="6"/>
  <c r="H48" i="13"/>
  <c r="G12" i="8"/>
  <c r="F5" i="7"/>
  <c r="H43" i="13"/>
  <c r="G9" i="8"/>
  <c r="H49" i="13"/>
  <c r="G13" i="8"/>
  <c r="F37" i="8"/>
  <c r="I40" i="13"/>
  <c r="H7" i="8"/>
  <c r="F6" i="7"/>
  <c r="G4" i="8"/>
  <c r="H38" i="13"/>
  <c r="G5" i="8"/>
  <c r="I25" i="5" l="1"/>
  <c r="I6" i="9" s="1"/>
  <c r="I10" i="10" s="1"/>
  <c r="I15" i="10" s="1"/>
  <c r="G4" i="12" s="1"/>
  <c r="J8" i="9"/>
  <c r="J12" i="10" s="1"/>
  <c r="J37" i="8"/>
  <c r="J18" i="7"/>
  <c r="J4" i="10" s="1"/>
  <c r="J7" i="10" s="1"/>
  <c r="J19" i="8"/>
  <c r="J20" i="5" s="1"/>
  <c r="J31" i="8"/>
  <c r="J22" i="5" s="1"/>
  <c r="J6" i="5"/>
  <c r="I23" i="8"/>
  <c r="I26" i="8" s="1"/>
  <c r="H13" i="5"/>
  <c r="G39" i="8"/>
  <c r="H37" i="7"/>
  <c r="H38" i="7"/>
  <c r="H14" i="5"/>
  <c r="H16" i="5" s="1"/>
  <c r="J30" i="7"/>
  <c r="J22" i="7"/>
  <c r="G8" i="12" s="1"/>
  <c r="I32" i="7"/>
  <c r="I33" i="7" s="1"/>
  <c r="J9" i="5"/>
  <c r="J23" i="8" s="1"/>
  <c r="J26" i="8" s="1"/>
  <c r="D37" i="7"/>
  <c r="D38" i="7"/>
  <c r="J39" i="13"/>
  <c r="J6" i="8" s="1"/>
  <c r="I6" i="8"/>
  <c r="E37" i="7"/>
  <c r="E38" i="7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5" i="13" s="1"/>
  <c r="I2" i="8"/>
  <c r="H15" i="8"/>
  <c r="J11" i="6"/>
  <c r="I11" i="6"/>
  <c r="J5" i="6"/>
  <c r="H6" i="7"/>
  <c r="J13" i="13"/>
  <c r="I7" i="7"/>
  <c r="H5" i="7"/>
  <c r="J47" i="13"/>
  <c r="I11" i="8"/>
  <c r="I2" i="5"/>
  <c r="I3" i="5"/>
  <c r="J4" i="6"/>
  <c r="J6" i="6"/>
  <c r="F17" i="13"/>
  <c r="J40" i="13"/>
  <c r="I7" i="8"/>
  <c r="H13" i="8"/>
  <c r="I49" i="13"/>
  <c r="I43" i="13"/>
  <c r="H9" i="8"/>
  <c r="I38" i="13"/>
  <c r="H5" i="8"/>
  <c r="H4" i="8"/>
  <c r="I48" i="13"/>
  <c r="H12" i="8"/>
  <c r="J24" i="5" l="1"/>
  <c r="J25" i="5" s="1"/>
  <c r="J6" i="9" s="1"/>
  <c r="J10" i="10" s="1"/>
  <c r="J15" i="10" s="1"/>
  <c r="H4" i="12" s="1"/>
  <c r="I13" i="5"/>
  <c r="H39" i="8"/>
  <c r="J32" i="7"/>
  <c r="J33" i="7" s="1"/>
  <c r="I14" i="5"/>
  <c r="I16" i="5" s="1"/>
  <c r="I38" i="7"/>
  <c r="I37" i="7"/>
  <c r="G10" i="7"/>
  <c r="H16" i="13"/>
  <c r="J2" i="13"/>
  <c r="J20" i="13" s="1"/>
  <c r="J29" i="13" s="1"/>
  <c r="J35" i="13" s="1"/>
  <c r="J45" i="13" s="1"/>
  <c r="I20" i="13"/>
  <c r="I29" i="13" s="1"/>
  <c r="I35" i="13" s="1"/>
  <c r="I45" i="13" s="1"/>
  <c r="G17" i="13"/>
  <c r="I15" i="8"/>
  <c r="J2" i="8"/>
  <c r="J15" i="8" s="1"/>
  <c r="J11" i="8"/>
  <c r="I5" i="7"/>
  <c r="J7" i="7"/>
  <c r="I6" i="7"/>
  <c r="J2" i="5"/>
  <c r="J3" i="5"/>
  <c r="I4" i="8"/>
  <c r="F18" i="13"/>
  <c r="I5" i="8"/>
  <c r="J38" i="13"/>
  <c r="J43" i="13"/>
  <c r="I9" i="8"/>
  <c r="I13" i="8"/>
  <c r="J49" i="13"/>
  <c r="J7" i="8"/>
  <c r="J48" i="13"/>
  <c r="I12" i="8"/>
  <c r="F10" i="7"/>
  <c r="E12" i="11"/>
  <c r="F11" i="7"/>
  <c r="I4" i="12" l="1"/>
  <c r="C8" i="12" s="1"/>
  <c r="C7" i="12"/>
  <c r="G7" i="12" s="1"/>
  <c r="G9" i="12" s="1"/>
  <c r="G15" i="12" s="1"/>
  <c r="G18" i="12" s="1"/>
  <c r="J13" i="5"/>
  <c r="I39" i="8"/>
  <c r="J38" i="7"/>
  <c r="J37" i="7"/>
  <c r="J14" i="5"/>
  <c r="J16" i="5" s="1"/>
  <c r="J39" i="8" s="1"/>
  <c r="H10" i="7"/>
  <c r="I16" i="13"/>
  <c r="G11" i="7"/>
  <c r="G18" i="13"/>
  <c r="H17" i="13"/>
  <c r="G12" i="7"/>
  <c r="J6" i="7"/>
  <c r="J5" i="7"/>
  <c r="J9" i="8"/>
  <c r="M4" i="11"/>
  <c r="J13" i="8"/>
  <c r="J12" i="8"/>
  <c r="F7" i="10"/>
  <c r="F15" i="10" s="1"/>
  <c r="J5" i="8"/>
  <c r="F12" i="7"/>
  <c r="J4" i="8"/>
  <c r="C9" i="12" l="1"/>
  <c r="C15" i="12" s="1"/>
  <c r="C18" i="12" s="1"/>
  <c r="H26" i="12"/>
  <c r="I5" i="3"/>
  <c r="I17" i="13"/>
  <c r="H18" i="13"/>
  <c r="H11" i="7"/>
  <c r="J16" i="13"/>
  <c r="J10" i="7" s="1"/>
  <c r="I10" i="7"/>
  <c r="F3" i="9"/>
  <c r="F9" i="9" s="1"/>
  <c r="F19" i="9" s="1"/>
  <c r="F22" i="9" s="1"/>
  <c r="F23" i="9" s="1"/>
  <c r="M5" i="11"/>
  <c r="C26" i="12" l="1"/>
  <c r="J5" i="3"/>
  <c r="J6" i="3" s="1"/>
  <c r="I6" i="3"/>
  <c r="K5" i="3"/>
  <c r="K6" i="3" s="1"/>
  <c r="F17" i="8"/>
  <c r="F31" i="6" s="1"/>
  <c r="F33" i="6" s="1"/>
  <c r="F30" i="8"/>
  <c r="J17" i="13"/>
  <c r="I11" i="7"/>
  <c r="H12" i="7"/>
  <c r="I18" i="13"/>
  <c r="G3" i="9"/>
  <c r="G9" i="9" s="1"/>
  <c r="G19" i="9" s="1"/>
  <c r="G22" i="9" s="1"/>
  <c r="G23" i="9" s="1"/>
  <c r="M6" i="11"/>
  <c r="M7" i="11"/>
  <c r="G30" i="8" l="1"/>
  <c r="G33" i="8" s="1"/>
  <c r="G40" i="8" s="1"/>
  <c r="G17" i="8"/>
  <c r="I12" i="7"/>
  <c r="J18" i="13"/>
  <c r="J11" i="7"/>
  <c r="J12" i="7"/>
  <c r="M9" i="11"/>
  <c r="M11" i="11" s="1"/>
  <c r="E8" i="11" s="1"/>
  <c r="E13" i="11" s="1"/>
  <c r="H3" i="9"/>
  <c r="H9" i="9" s="1"/>
  <c r="H19" i="9" s="1"/>
  <c r="H22" i="9" s="1"/>
  <c r="F21" i="8"/>
  <c r="F28" i="8" s="1"/>
  <c r="F33" i="8"/>
  <c r="H21" i="9" l="1"/>
  <c r="H23" i="9" s="1"/>
  <c r="G21" i="8"/>
  <c r="G28" i="8" s="1"/>
  <c r="G42" i="8" s="1"/>
  <c r="G31" i="6"/>
  <c r="G33" i="6" s="1"/>
  <c r="F40" i="8"/>
  <c r="F42" i="8" s="1"/>
  <c r="J3" i="9"/>
  <c r="J9" i="9" s="1"/>
  <c r="J19" i="9" s="1"/>
  <c r="J22" i="9" s="1"/>
  <c r="I3" i="9"/>
  <c r="I9" i="9" s="1"/>
  <c r="I19" i="9" s="1"/>
  <c r="I22" i="9" s="1"/>
  <c r="H30" i="8" l="1"/>
  <c r="H33" i="8" s="1"/>
  <c r="H40" i="8" s="1"/>
  <c r="H17" i="8"/>
  <c r="I21" i="9" l="1"/>
  <c r="I23" i="9" s="1"/>
  <c r="H21" i="8"/>
  <c r="H28" i="8" s="1"/>
  <c r="H42" i="8" s="1"/>
  <c r="H31" i="6"/>
  <c r="H33" i="6" s="1"/>
  <c r="I30" i="8" l="1"/>
  <c r="I33" i="8" s="1"/>
  <c r="I40" i="8" s="1"/>
  <c r="I17" i="8"/>
  <c r="J21" i="9" l="1"/>
  <c r="J23" i="9" s="1"/>
  <c r="I21" i="8"/>
  <c r="I28" i="8" s="1"/>
  <c r="I42" i="8" s="1"/>
  <c r="I31" i="6"/>
  <c r="I33" i="6" s="1"/>
  <c r="J30" i="8" l="1"/>
  <c r="J33" i="8" s="1"/>
  <c r="J40" i="8" s="1"/>
  <c r="J17" i="8"/>
  <c r="J21" i="8" l="1"/>
  <c r="J28" i="8" s="1"/>
  <c r="J42" i="8" s="1"/>
  <c r="J31" i="6"/>
  <c r="J33" i="6" s="1"/>
  <c r="F10" i="13"/>
  <c r="F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<sst xmlns="http://schemas.openxmlformats.org/spreadsheetml/2006/main" count="331" uniqueCount="198">
  <si>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</si>
  <si>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</si>
  <si>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</si>
  <si>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</si>
  <si>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</si>
  <si>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</si>
  <si>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</si>
  <si>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</si>
  <si>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</si>
  <si>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</si>
  <si>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</si>
  <si>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</si>
  <si>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</si>
  <si>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</si>
  <si>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</si>
  <si>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</si>
  <si>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</si>
  <si>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</si>
  <si>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</si>
  <si>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</si>
  <si>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</si>
  <si>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</si>
  <si>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</si>
  <si>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</si>
  <si>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</si>
  <si>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</si>
  <si>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</si>
  <si>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</si>
  <si>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</si>
  <si>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</si>
  <si>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</si>
  <si>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</si>
  <si>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</si>
  <si>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</si>
  <si>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</si>
  <si>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</si>
  <si>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</si>
  <si>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</si>
  <si>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</si>
  <si>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</si>
  <si>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</si>
  <si>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</si>
  <si>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</si>
  <si>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</si>
  <si>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</si>
  <si>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</si>
  <si>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</si>
  <si>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</si>
  <si>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</si>
  <si>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</si>
  <si>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</si>
  <si>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</si>
  <si>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</si>
  <si>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</si>
  <si>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</si>
  <si>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</si>
  <si>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</si>
  <si>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</si>
  <si>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</si>
  <si>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</si>
  <si>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</si>
  <si>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</si>
  <si>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</si>
  <si>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</si>
  <si>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</si>
  <si>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</si>
  <si>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</si>
  <si>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</si>
  <si>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</si>
  <si>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</si>
  <si>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</si>
  <si>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</si>
  <si>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</si>
  <si>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</si>
  <si>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</si>
  <si>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</si>
  <si>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</si>
  <si>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</si>
  <si>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</si>
  <si>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</si>
  <si>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</si>
  <si>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</si>
  <si>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</si>
  <si>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</si>
  <si>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</si>
  <si>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</si>
  <si>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</si>
  <si>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</si>
  <si>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</si>
  <si>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</si>
  <si>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</si>
  <si>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</si>
  <si>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</si>
  <si>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</si>
  <si>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</si>
  <si>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</si>
  <si>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</si>
  <si>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</si>
  <si>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</si>
  <si>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</si>
  <si>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</si>
  <si>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</si>
  <si>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</si>
  <si>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</si>
  <si>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</si>
  <si>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</si>
  <si>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</si>
  <si>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</si>
  <si>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</si>
  <si>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</si>
  <si>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</si>
  <si>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</si>
  <si>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</si>
  <si>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</si>
  <si>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</si>
  <si>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</si>
  <si>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</si>
  <si>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</si>
  <si>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</si>
  <si>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</si>
  <si>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</si>
  <si>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</si>
  <si>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</si>
  <si>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</si>
  <si>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</si>
  <si>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</si>
  <si>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</si>
  <si>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</si>
  <si>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</si>
  <si>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</si>
  <si>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</si>
  <si>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</si>
  <si>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</si>
  <si>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</si>
  <si>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</si>
  <si>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</si>
  <si>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</si>
  <si>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</si>
  <si>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</si>
  <si>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</si>
  <si>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</si>
  <si>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</si>
  <si>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</si>
  <si>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</si>
  <si>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</si>
  <si>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</si>
  <si>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</si>
  <si>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</si>
  <si>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</si>
  <si>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</si>
  <si>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</si>
  <si>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</si>
  <si>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</si>
  <si>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</si>
  <si>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</si>
  <si>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</si>
  <si>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</si>
  <si>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</si>
  <si>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</si>
  <si>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</si>
  <si>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</si>
  <si>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</si>
  <si>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</si>
  <si>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</si>
  <si>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</si>
  <si>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</si>
  <si>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</si>
  <si>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</si>
  <si>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</si>
  <si>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</si>
  <si>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</si>
  <si>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</si>
  <si>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</si>
  <si>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</si>
  <si>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</si>
  <si>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</si>
  <si>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</si>
  <si>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</si>
  <si>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</si>
  <si>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</si>
  <si>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</si>
  <si>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</si>
  <si>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</si>
  <si>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Shake Shack, Inc.</t>
  </si>
  <si>
    <t>(inc) / dec in LT assets</t>
  </si>
  <si>
    <t>inc / (dec) in LT liabilities</t>
  </si>
  <si>
    <t>CFFO</t>
  </si>
  <si>
    <t>CFFI</t>
  </si>
  <si>
    <t>Dividends Paid</t>
  </si>
  <si>
    <t>Share issuances</t>
  </si>
  <si>
    <t>Debt Issuances</t>
  </si>
  <si>
    <t>CFFF</t>
  </si>
  <si>
    <t>Net changes in cash</t>
  </si>
  <si>
    <t>Beginning cash</t>
  </si>
  <si>
    <t>Ending cash</t>
  </si>
  <si>
    <t>LTGR</t>
  </si>
  <si>
    <t>Exit Mult.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</si>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</sst>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7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75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9" fontId="30" fillId="0" borderId="0" xfId="0" applyNumberFormat="1" applyFont="1"/>
    <xf numFmtId="187" fontId="39" fillId="0" borderId="0" xfId="59" applyNumberFormat="1" applyFont="1" applyAlignment="1" applyProtection="1">
      <alignment horizontal="center"/>
    </xf>
    <xf numFmtId="187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7" fontId="45" fillId="0" borderId="0" xfId="59" applyNumberFormat="1" applyFont="1" applyAlignment="1" applyProtection="1">
      <alignment horizontal="center"/>
    </xf>
    <xf numFmtId="187" fontId="45" fillId="0" borderId="0" xfId="4" applyNumberFormat="1" applyFont="1" applyFill="1" applyBorder="1" applyAlignment="1" applyProtection="1">
      <alignment horizontal="center"/>
    </xf>
    <xf numFmtId="187" fontId="45" fillId="0" borderId="0" xfId="0" applyNumberFormat="1" applyFont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0" fontId="70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5F6368"/>
      <color rgb="FF44546A"/>
      <color rgb="FFEA4335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C1" zoomScaleNormal="100" workbookViewId="0">
      <selection activeCell="J5" sqref="J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5" t="str">
        <f>CoName</f>
        <v>Shake Shack, Inc.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5" t="s">
        <v>179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183</v>
      </c>
      <c r="E4" s="4" t="s">
        <v>166</v>
      </c>
      <c r="F4" s="223">
        <v>82.12</v>
      </c>
      <c r="H4" s="170" t="s">
        <v>180</v>
      </c>
      <c r="I4" s="169" t="s">
        <v>178</v>
      </c>
      <c r="J4" s="169" t="s">
        <v>177</v>
      </c>
      <c r="K4" s="169" t="s">
        <v>197</v>
      </c>
    </row>
    <row r="5" spans="1:15" x14ac:dyDescent="0.25">
      <c r="B5" s="4" t="s">
        <v>4</v>
      </c>
      <c r="C5" s="52">
        <v>247.43</v>
      </c>
      <c r="E5" s="4" t="s">
        <v>171</v>
      </c>
      <c r="F5" s="160">
        <f>40.253589+2.434789</f>
        <v>42.688378</v>
      </c>
      <c r="H5" s="169" t="s">
        <v>173</v>
      </c>
      <c r="I5" s="230">
        <f>'DCF Model'!G18</f>
        <v>90.971701460911063</v>
      </c>
      <c r="J5" s="229">
        <f>'DCF Model'!C18</f>
        <v>57.169081067282917</v>
      </c>
      <c r="K5" s="229">
        <f>AVERAGE(I5:J5)</f>
        <v>74.070391264096997</v>
      </c>
    </row>
    <row r="6" spans="1:15" x14ac:dyDescent="0.25">
      <c r="B6" s="4" t="s">
        <v>5</v>
      </c>
      <c r="C6" s="51" t="s">
        <v>9</v>
      </c>
      <c r="E6" s="4" t="s">
        <v>102</v>
      </c>
      <c r="F6" s="160">
        <f>F5*F4</f>
        <v>3505.5696013600004</v>
      </c>
      <c r="H6" s="169" t="s">
        <v>174</v>
      </c>
      <c r="I6" s="274">
        <f>I5/$F$4-1</f>
        <v>0.10778983756589211</v>
      </c>
      <c r="J6" s="224">
        <f>J5/$F$4-1</f>
        <v>-0.3038348627948988</v>
      </c>
      <c r="K6" s="224">
        <f>K5/$F$4-1</f>
        <v>-9.8022512614503232E-2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f>357.757</f>
        <v>357.75700000000001</v>
      </c>
    </row>
    <row r="8" spans="1:15" x14ac:dyDescent="0.25">
      <c r="B8" s="4" t="s">
        <v>2</v>
      </c>
      <c r="C8" s="51" t="s">
        <v>85</v>
      </c>
      <c r="E8" s="4" t="s">
        <v>143</v>
      </c>
      <c r="F8" s="51">
        <f>247.469+540.248</f>
        <v>787.7170000000001</v>
      </c>
    </row>
    <row r="9" spans="1:15" x14ac:dyDescent="0.25">
      <c r="B9" s="4" t="s">
        <v>7</v>
      </c>
      <c r="C9" s="51">
        <v>0</v>
      </c>
      <c r="E9" s="4" t="s">
        <v>116</v>
      </c>
      <c r="F9" s="51">
        <f>F6-F7+F8</f>
        <v>3935.5296013600005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5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zoomScaleNormal="100" workbookViewId="0">
      <selection activeCell="I7" sqref="I7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124</v>
      </c>
      <c r="B2" s="263" t="s">
        <v>125</v>
      </c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196"/>
      <c r="L2" s="196"/>
    </row>
    <row r="3" spans="1:20" x14ac:dyDescent="0.25">
      <c r="A3" s="86"/>
      <c r="B3" s="159"/>
      <c r="C3" s="196"/>
      <c r="D3" s="196"/>
      <c r="E3" s="196"/>
      <c r="F3" s="196"/>
      <c r="G3" s="196"/>
      <c r="H3" s="196"/>
      <c r="I3" s="196"/>
      <c r="J3" s="196"/>
      <c r="K3" s="196"/>
      <c r="L3" s="196"/>
    </row>
    <row r="4" spans="1:20" x14ac:dyDescent="0.25">
      <c r="B4" s="94" t="s">
        <v>131</v>
      </c>
      <c r="C4"/>
      <c r="D4" s="260">
        <v>1</v>
      </c>
      <c r="E4"/>
      <c r="F4"/>
      <c r="G4" s="89"/>
      <c r="H4" s="89"/>
      <c r="I4" s="89"/>
      <c r="J4" s="89"/>
      <c r="K4" s="89"/>
      <c r="M4" s="231"/>
      <c r="N4" s="232"/>
      <c r="O4" s="232"/>
    </row>
    <row r="5" spans="1:20" x14ac:dyDescent="0.25">
      <c r="B5" s="88"/>
      <c r="C5" s="90"/>
      <c r="D5" s="113" t="s">
        <v>126</v>
      </c>
      <c r="E5" s="91"/>
      <c r="K5" s="89"/>
      <c r="M5" s="233"/>
      <c r="N5" s="234"/>
      <c r="O5" s="234"/>
    </row>
    <row r="6" spans="1:20" x14ac:dyDescent="0.25">
      <c r="B6" s="92" t="s">
        <v>132</v>
      </c>
      <c r="D6" s="101">
        <v>0</v>
      </c>
      <c r="E6" s="93"/>
      <c r="F6" s="101">
        <v>0.161</v>
      </c>
      <c r="G6" s="101">
        <v>0.13500000000000001</v>
      </c>
      <c r="H6" s="101">
        <v>0.14000000000000001</v>
      </c>
      <c r="I6" s="101">
        <v>0.15</v>
      </c>
      <c r="J6" s="101">
        <v>0.16</v>
      </c>
      <c r="K6" s="171"/>
      <c r="M6" s="171"/>
      <c r="N6" s="235"/>
      <c r="O6" s="235"/>
      <c r="P6" s="235"/>
      <c r="Q6" s="235"/>
      <c r="R6" s="235"/>
      <c r="S6" s="235"/>
      <c r="T6" s="235"/>
    </row>
    <row r="7" spans="1:20" x14ac:dyDescent="0.25">
      <c r="B7" s="4" t="s">
        <v>128</v>
      </c>
      <c r="D7" s="101">
        <v>2.5000000000000001E-2</v>
      </c>
      <c r="E7" s="93"/>
      <c r="F7" s="101">
        <f>F6+$D$7</f>
        <v>0.186</v>
      </c>
      <c r="G7" s="101">
        <f t="shared" ref="G7:J7" si="1">G6+$D$7</f>
        <v>0.16</v>
      </c>
      <c r="H7" s="101">
        <f t="shared" si="1"/>
        <v>0.16500000000000001</v>
      </c>
      <c r="I7" s="101">
        <f t="shared" si="1"/>
        <v>0.17499999999999999</v>
      </c>
      <c r="J7" s="101">
        <f t="shared" si="1"/>
        <v>0.185</v>
      </c>
      <c r="K7" s="171"/>
      <c r="M7" s="171"/>
      <c r="N7" s="171"/>
      <c r="O7" s="171"/>
      <c r="P7" s="171"/>
      <c r="Q7" s="171"/>
      <c r="R7" s="171"/>
      <c r="S7" s="171"/>
      <c r="T7" s="171"/>
    </row>
    <row r="8" spans="1:20" x14ac:dyDescent="0.25">
      <c r="B8" s="4" t="s">
        <v>127</v>
      </c>
      <c r="D8" s="101">
        <v>-2.5000000000000001E-2</v>
      </c>
      <c r="E8" s="93"/>
      <c r="F8" s="101">
        <f>F6+$D$8</f>
        <v>0.13600000000000001</v>
      </c>
      <c r="G8" s="101">
        <f t="shared" ref="G8:J8" si="2">G6+$D$8</f>
        <v>0.11000000000000001</v>
      </c>
      <c r="H8" s="101">
        <f t="shared" si="2"/>
        <v>0.11500000000000002</v>
      </c>
      <c r="I8" s="101">
        <f t="shared" si="2"/>
        <v>0.125</v>
      </c>
      <c r="J8" s="101">
        <f t="shared" si="2"/>
        <v>0.13500000000000001</v>
      </c>
      <c r="K8" s="171"/>
    </row>
    <row r="9" spans="1:20" x14ac:dyDescent="0.25">
      <c r="K9" s="30"/>
      <c r="L9" s="30"/>
      <c r="M9" s="171"/>
      <c r="N9" s="171"/>
    </row>
    <row r="10" spans="1:20" x14ac:dyDescent="0.25">
      <c r="B10" s="118" t="s">
        <v>148</v>
      </c>
      <c r="C10" s="191"/>
      <c r="D10" s="266">
        <f>IncState!D15/IncState!C15-1</f>
        <v>0.20771783237051977</v>
      </c>
      <c r="E10" s="192">
        <f>IncState!E15/IncState!D15-1</f>
        <v>0.15178849745249123</v>
      </c>
      <c r="F10" s="105">
        <f t="shared" ref="F10" si="3">CHOOSE(ScenarioREV,F6,F7,F8)</f>
        <v>0.161</v>
      </c>
      <c r="G10" s="105">
        <f t="shared" ref="G10:J10" si="4">CHOOSE(ScenarioREV,G6,G7,G8)</f>
        <v>0.13500000000000001</v>
      </c>
      <c r="H10" s="105">
        <f t="shared" si="4"/>
        <v>0.14000000000000001</v>
      </c>
      <c r="I10" s="105">
        <f t="shared" si="4"/>
        <v>0.15</v>
      </c>
      <c r="J10" s="105">
        <f t="shared" si="4"/>
        <v>0.16</v>
      </c>
      <c r="K10" s="29"/>
      <c r="L10" s="29"/>
      <c r="M10" s="171"/>
      <c r="N10" s="171"/>
    </row>
    <row r="11" spans="1:20" x14ac:dyDescent="0.25">
      <c r="B11" s="4" t="s">
        <v>133</v>
      </c>
      <c r="C11" s="8">
        <f>IncState!C16/IncState!C15</f>
        <v>0.79634774999278168</v>
      </c>
      <c r="D11" s="8">
        <f>IncState!D16/IncState!D15</f>
        <v>0.7710938426696019</v>
      </c>
      <c r="E11" s="8">
        <f>IncState!E16/IncState!E15</f>
        <v>0.75852940425097082</v>
      </c>
      <c r="F11" s="101">
        <f>E11-0.005</f>
        <v>0.75352940425097081</v>
      </c>
      <c r="G11" s="101">
        <f t="shared" ref="G11:J11" si="5">F11-0.005</f>
        <v>0.74852940425097081</v>
      </c>
      <c r="H11" s="101">
        <f t="shared" si="5"/>
        <v>0.7435294042509708</v>
      </c>
      <c r="I11" s="101">
        <f t="shared" si="5"/>
        <v>0.7385294042509708</v>
      </c>
      <c r="J11" s="101">
        <f t="shared" si="5"/>
        <v>0.7335294042509708</v>
      </c>
      <c r="K11" s="171"/>
      <c r="L11" s="171"/>
      <c r="M11" s="171"/>
      <c r="N11" s="171"/>
    </row>
    <row r="12" spans="1:20" x14ac:dyDescent="0.25">
      <c r="B12" s="4" t="s">
        <v>44</v>
      </c>
      <c r="C12" s="8">
        <f>IncState!C17/IncState!C15</f>
        <v>0.23082535430867335</v>
      </c>
      <c r="D12" s="8">
        <f>IncState!D17/IncState!D15</f>
        <v>0.22069675127099592</v>
      </c>
      <c r="E12" s="8">
        <f>IncState!E17/IncState!E15</f>
        <v>0.21324468628653181</v>
      </c>
      <c r="F12" s="101">
        <f>E12-0.005</f>
        <v>0.20824468628653181</v>
      </c>
      <c r="G12" s="101">
        <f t="shared" ref="G12:J12" si="6">F12-0.005</f>
        <v>0.20324468628653181</v>
      </c>
      <c r="H12" s="101">
        <f t="shared" si="6"/>
        <v>0.1982446862865318</v>
      </c>
      <c r="I12" s="101">
        <f t="shared" si="6"/>
        <v>0.1932446862865318</v>
      </c>
      <c r="J12" s="101">
        <f t="shared" si="6"/>
        <v>0.18824468628653179</v>
      </c>
      <c r="K12" s="171"/>
      <c r="L12" s="171"/>
    </row>
    <row r="13" spans="1:20" x14ac:dyDescent="0.25">
      <c r="B13" s="4" t="s">
        <v>135</v>
      </c>
      <c r="C13" s="4">
        <f>IncState!C21</f>
        <v>0</v>
      </c>
      <c r="D13" s="4">
        <f>IncState!D21</f>
        <v>0</v>
      </c>
      <c r="E13" s="4">
        <f>IncState!E21</f>
        <v>0</v>
      </c>
      <c r="F13" s="102">
        <f>E13</f>
        <v>0</v>
      </c>
      <c r="G13" s="102">
        <f t="shared" ref="G13:J13" si="7">F13</f>
        <v>0</v>
      </c>
      <c r="H13" s="102">
        <f t="shared" si="7"/>
        <v>0</v>
      </c>
      <c r="I13" s="102">
        <f t="shared" si="7"/>
        <v>0</v>
      </c>
      <c r="J13" s="102">
        <f t="shared" si="7"/>
        <v>0</v>
      </c>
      <c r="K13" s="197"/>
      <c r="L13" s="197"/>
    </row>
    <row r="14" spans="1:20" x14ac:dyDescent="0.25">
      <c r="B14" s="4" t="s">
        <v>136</v>
      </c>
      <c r="C14" s="4">
        <f>IncState!C24</f>
        <v>-2.4249999999999998</v>
      </c>
      <c r="D14" s="4">
        <f>IncState!D24</f>
        <v>-3.0070000000000001</v>
      </c>
      <c r="E14" s="4">
        <f>IncState!E24</f>
        <v>-32.368000000000002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97"/>
      <c r="L14" s="197"/>
    </row>
    <row r="15" spans="1:20" x14ac:dyDescent="0.25">
      <c r="B15" s="4" t="s">
        <v>138</v>
      </c>
      <c r="C15" s="4">
        <f>IncState!C25</f>
        <v>4.1269999999999998</v>
      </c>
      <c r="D15" s="4">
        <f>IncState!D25</f>
        <v>12.776</v>
      </c>
      <c r="E15" s="4">
        <f>IncState!E25</f>
        <v>13.250999999999999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97"/>
      <c r="L15" s="197"/>
    </row>
    <row r="16" spans="1:20" x14ac:dyDescent="0.25">
      <c r="B16" s="4" t="s">
        <v>47</v>
      </c>
      <c r="C16" s="8">
        <f>IncState!C32/IncState!C30</f>
        <v>5.3979871912168222E-2</v>
      </c>
      <c r="D16" s="8">
        <f>IncState!D32/IncState!D30</f>
        <v>3.6323610346725585E-2</v>
      </c>
      <c r="E16" s="8">
        <f>IncState!E32/IncState!E30</f>
        <v>0.24122868817810361</v>
      </c>
      <c r="F16" s="101">
        <f>E16</f>
        <v>0.24122868817810361</v>
      </c>
      <c r="G16" s="101">
        <f t="shared" ref="G16:J16" si="8">F16</f>
        <v>0.24122868817810361</v>
      </c>
      <c r="H16" s="101">
        <f t="shared" si="8"/>
        <v>0.24122868817810361</v>
      </c>
      <c r="I16" s="101">
        <f t="shared" si="8"/>
        <v>0.24122868817810361</v>
      </c>
      <c r="J16" s="101">
        <f t="shared" si="8"/>
        <v>0.24122868817810361</v>
      </c>
      <c r="K16" s="171"/>
      <c r="L16" s="171"/>
    </row>
    <row r="17" spans="1:12" x14ac:dyDescent="0.25">
      <c r="B17" s="4" t="s">
        <v>48</v>
      </c>
      <c r="C17" s="4">
        <f>IncState!C35</f>
        <v>39.237000000000002</v>
      </c>
      <c r="D17" s="4">
        <f>IncState!D35</f>
        <v>39.418999999999997</v>
      </c>
      <c r="E17" s="4">
        <f>IncState!E35</f>
        <v>39.83</v>
      </c>
      <c r="F17" s="102">
        <f>E17</f>
        <v>39.83</v>
      </c>
      <c r="G17" s="102">
        <f t="shared" ref="G17:J17" si="9">F17</f>
        <v>39.83</v>
      </c>
      <c r="H17" s="102">
        <f t="shared" si="9"/>
        <v>39.83</v>
      </c>
      <c r="I17" s="102">
        <f t="shared" si="9"/>
        <v>39.83</v>
      </c>
      <c r="J17" s="102">
        <f t="shared" si="9"/>
        <v>39.83</v>
      </c>
      <c r="K17" s="197"/>
      <c r="L17" s="197"/>
    </row>
    <row r="18" spans="1:12" x14ac:dyDescent="0.25">
      <c r="B18" s="4" t="s">
        <v>49</v>
      </c>
      <c r="C18" s="4">
        <f>IncState!C36</f>
        <v>39.237000000000002</v>
      </c>
      <c r="D18" s="4">
        <f>IncState!D36</f>
        <v>43.899000000000001</v>
      </c>
      <c r="E18" s="4">
        <f>IncState!E36</f>
        <v>44.203000000000003</v>
      </c>
      <c r="F18" s="102">
        <f>E18</f>
        <v>44.203000000000003</v>
      </c>
      <c r="G18" s="102">
        <f t="shared" ref="G18:J18" si="10">F18</f>
        <v>44.203000000000003</v>
      </c>
      <c r="H18" s="102">
        <f t="shared" si="10"/>
        <v>44.203000000000003</v>
      </c>
      <c r="I18" s="102">
        <f t="shared" si="10"/>
        <v>44.203000000000003</v>
      </c>
      <c r="J18" s="102">
        <f t="shared" si="10"/>
        <v>44.203000000000003</v>
      </c>
      <c r="K18" s="197"/>
      <c r="L18" s="197"/>
    </row>
    <row r="19" spans="1:12" x14ac:dyDescent="0.25">
      <c r="F19" s="104"/>
      <c r="G19" s="104"/>
      <c r="H19" s="104"/>
      <c r="I19" s="104"/>
      <c r="J19" s="104"/>
      <c r="K19" s="171"/>
      <c r="L19" s="171"/>
    </row>
    <row r="20" spans="1:12" x14ac:dyDescent="0.25">
      <c r="A20" s="64" t="s">
        <v>124</v>
      </c>
      <c r="B20" s="107" t="s">
        <v>143</v>
      </c>
      <c r="C20" s="263">
        <f>C2</f>
        <v>2022</v>
      </c>
      <c r="D20" s="263">
        <f>D2</f>
        <v>2023</v>
      </c>
      <c r="E20" s="263">
        <f>E2</f>
        <v>2024</v>
      </c>
      <c r="F20" s="263">
        <f>F2</f>
        <v>2025</v>
      </c>
      <c r="G20" s="263">
        <f>G2</f>
        <v>2026</v>
      </c>
      <c r="H20" s="263">
        <f>H2</f>
        <v>2027</v>
      </c>
      <c r="I20" s="263">
        <f>I2</f>
        <v>2028</v>
      </c>
      <c r="J20" s="263">
        <f>J2</f>
        <v>2029</v>
      </c>
      <c r="K20" s="198"/>
      <c r="L20" s="198"/>
    </row>
    <row r="21" spans="1:12" x14ac:dyDescent="0.25">
      <c r="A21" s="86"/>
      <c r="B21" s="159"/>
      <c r="C21" s="196"/>
      <c r="D21" s="196"/>
      <c r="E21" s="196"/>
      <c r="F21" s="198"/>
      <c r="G21" s="198"/>
      <c r="H21" s="198"/>
      <c r="I21" s="198"/>
      <c r="J21" s="198"/>
      <c r="K21" s="198"/>
      <c r="L21" s="198"/>
    </row>
    <row r="22" spans="1:12" x14ac:dyDescent="0.25">
      <c r="B22" s="4" t="s">
        <v>137</v>
      </c>
      <c r="E22" s="8">
        <v>0.05</v>
      </c>
      <c r="F22" s="101">
        <f>E22</f>
        <v>0.05</v>
      </c>
      <c r="G22" s="101">
        <f t="shared" ref="G22:J22" si="11">F22</f>
        <v>0.05</v>
      </c>
      <c r="H22" s="101">
        <f t="shared" si="11"/>
        <v>0.05</v>
      </c>
      <c r="I22" s="101">
        <f t="shared" si="11"/>
        <v>0.05</v>
      </c>
      <c r="J22" s="101">
        <f t="shared" si="11"/>
        <v>0.05</v>
      </c>
      <c r="K22" s="171"/>
      <c r="L22" s="171"/>
    </row>
    <row r="23" spans="1:12" x14ac:dyDescent="0.25">
      <c r="B23" s="4" t="s">
        <v>25</v>
      </c>
      <c r="E23" s="8">
        <v>0.05</v>
      </c>
      <c r="F23" s="101">
        <f>E23</f>
        <v>0.05</v>
      </c>
      <c r="G23" s="101">
        <f t="shared" ref="G23:J23" si="12">F23</f>
        <v>0.05</v>
      </c>
      <c r="H23" s="101">
        <f t="shared" si="12"/>
        <v>0.05</v>
      </c>
      <c r="I23" s="101">
        <f t="shared" si="12"/>
        <v>0.05</v>
      </c>
      <c r="J23" s="101">
        <f t="shared" si="12"/>
        <v>0.05</v>
      </c>
      <c r="K23" s="171"/>
      <c r="L23" s="171"/>
    </row>
    <row r="24" spans="1:12" x14ac:dyDescent="0.25">
      <c r="B24" s="4" t="s">
        <v>26</v>
      </c>
      <c r="C24" s="8"/>
      <c r="D24" s="8"/>
      <c r="E24" s="8">
        <v>0.04</v>
      </c>
      <c r="F24" s="127">
        <f>E24</f>
        <v>0.04</v>
      </c>
      <c r="G24" s="127">
        <f t="shared" ref="G24:J24" si="13">F24</f>
        <v>0.04</v>
      </c>
      <c r="H24" s="127">
        <f t="shared" si="13"/>
        <v>0.04</v>
      </c>
      <c r="I24" s="127">
        <f t="shared" si="13"/>
        <v>0.04</v>
      </c>
      <c r="J24" s="127">
        <f t="shared" si="13"/>
        <v>0.04</v>
      </c>
      <c r="K24" s="171"/>
      <c r="L24" s="171"/>
    </row>
    <row r="25" spans="1:12" x14ac:dyDescent="0.25">
      <c r="F25" s="104"/>
      <c r="G25" s="104"/>
      <c r="H25" s="104"/>
      <c r="I25" s="104"/>
      <c r="J25" s="104"/>
      <c r="K25" s="171"/>
      <c r="L25" s="171"/>
    </row>
    <row r="26" spans="1:12" x14ac:dyDescent="0.25">
      <c r="B26" s="4" t="s">
        <v>27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97"/>
      <c r="L26" s="197"/>
    </row>
    <row r="27" spans="1:12" x14ac:dyDescent="0.25">
      <c r="B27" s="4" t="s">
        <v>28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97"/>
      <c r="L27" s="197"/>
    </row>
    <row r="28" spans="1:12" x14ac:dyDescent="0.25">
      <c r="F28" s="104"/>
      <c r="G28" s="104"/>
      <c r="H28" s="104"/>
      <c r="I28" s="104"/>
      <c r="J28" s="104"/>
      <c r="K28" s="171"/>
      <c r="L28" s="171"/>
    </row>
    <row r="29" spans="1:12" x14ac:dyDescent="0.25">
      <c r="A29" s="64" t="s">
        <v>124</v>
      </c>
      <c r="B29" s="107" t="s">
        <v>140</v>
      </c>
      <c r="C29" s="263">
        <f>C20</f>
        <v>2022</v>
      </c>
      <c r="D29" s="263">
        <f t="shared" ref="D29:J29" si="14">D20</f>
        <v>2023</v>
      </c>
      <c r="E29" s="263">
        <f t="shared" si="14"/>
        <v>2024</v>
      </c>
      <c r="F29" s="263">
        <f t="shared" si="14"/>
        <v>2025</v>
      </c>
      <c r="G29" s="263">
        <f t="shared" si="14"/>
        <v>2026</v>
      </c>
      <c r="H29" s="263">
        <f t="shared" si="14"/>
        <v>2027</v>
      </c>
      <c r="I29" s="263">
        <f t="shared" si="14"/>
        <v>2028</v>
      </c>
      <c r="J29" s="263">
        <f t="shared" si="14"/>
        <v>2029</v>
      </c>
      <c r="K29" s="199"/>
      <c r="L29" s="199"/>
    </row>
    <row r="30" spans="1:12" x14ac:dyDescent="0.25">
      <c r="A30" s="86"/>
      <c r="B30" s="159"/>
      <c r="C30" s="196"/>
      <c r="D30" s="196"/>
      <c r="E30" s="196"/>
      <c r="F30" s="198"/>
      <c r="G30" s="198"/>
      <c r="H30" s="198"/>
      <c r="I30" s="198"/>
      <c r="J30" s="198"/>
      <c r="K30" s="199"/>
      <c r="L30" s="199"/>
    </row>
    <row r="31" spans="1:12" x14ac:dyDescent="0.25">
      <c r="B31" s="4" t="s">
        <v>141</v>
      </c>
      <c r="C31" s="8">
        <f>142.599/IncState!C15</f>
        <v>0.15835782011047367</v>
      </c>
      <c r="D31" s="8">
        <f>146.167/IncState!D15</f>
        <v>0.13440235836521744</v>
      </c>
      <c r="E31" s="8">
        <f>135.499/IncState!E15</f>
        <v>0.10817350679542204</v>
      </c>
      <c r="F31" s="221">
        <f>E31-0.005</f>
        <v>0.10317350679542203</v>
      </c>
      <c r="G31" s="221">
        <f t="shared" ref="G31:J31" si="15">F31-0.005</f>
        <v>9.8173506795422028E-2</v>
      </c>
      <c r="H31" s="221">
        <f t="shared" si="15"/>
        <v>9.3173506795422023E-2</v>
      </c>
      <c r="I31" s="221">
        <f t="shared" si="15"/>
        <v>8.8173506795422019E-2</v>
      </c>
      <c r="J31" s="221">
        <f t="shared" si="15"/>
        <v>8.3173506795422014E-2</v>
      </c>
      <c r="K31" s="171"/>
      <c r="L31" s="171"/>
    </row>
    <row r="32" spans="1:12" x14ac:dyDescent="0.25">
      <c r="B32" s="4" t="s">
        <v>154</v>
      </c>
      <c r="D32" s="8">
        <f>IncState!D20/BalSheet!C23</f>
        <v>0.10933483839193596</v>
      </c>
      <c r="E32" s="8">
        <f>IncState!E20/BalSheet!D23</f>
        <v>0.16044167004738022</v>
      </c>
      <c r="F32" s="101">
        <f>AVERAGE(D32:E32)</f>
        <v>0.13488825421965808</v>
      </c>
      <c r="G32" s="101">
        <f t="shared" ref="G32:J32" si="16">F32</f>
        <v>0.13488825421965808</v>
      </c>
      <c r="H32" s="101">
        <f t="shared" si="16"/>
        <v>0.13488825421965808</v>
      </c>
      <c r="I32" s="101">
        <f t="shared" si="16"/>
        <v>0.13488825421965808</v>
      </c>
      <c r="J32" s="101">
        <f t="shared" si="16"/>
        <v>0.13488825421965808</v>
      </c>
      <c r="K32" s="171"/>
      <c r="L32" s="171"/>
    </row>
    <row r="33" spans="1:12" x14ac:dyDescent="0.25">
      <c r="B33" s="4" t="s">
        <v>142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200"/>
      <c r="L33" s="200"/>
    </row>
    <row r="34" spans="1:12" x14ac:dyDescent="0.25">
      <c r="F34" s="30"/>
      <c r="G34" s="30"/>
      <c r="H34" s="30"/>
      <c r="I34" s="30"/>
      <c r="J34" s="30"/>
      <c r="K34" s="30"/>
      <c r="L34" s="30"/>
    </row>
    <row r="35" spans="1:12" x14ac:dyDescent="0.25">
      <c r="A35" s="64" t="s">
        <v>124</v>
      </c>
      <c r="B35" s="107" t="s">
        <v>129</v>
      </c>
      <c r="C35" s="263">
        <f>C29</f>
        <v>2022</v>
      </c>
      <c r="D35" s="263">
        <f t="shared" ref="D35:J35" si="17">D29</f>
        <v>2023</v>
      </c>
      <c r="E35" s="263">
        <f t="shared" si="17"/>
        <v>2024</v>
      </c>
      <c r="F35" s="263">
        <f t="shared" si="17"/>
        <v>2025</v>
      </c>
      <c r="G35" s="263">
        <f t="shared" si="17"/>
        <v>2026</v>
      </c>
      <c r="H35" s="263">
        <f t="shared" si="17"/>
        <v>2027</v>
      </c>
      <c r="I35" s="263">
        <f t="shared" si="17"/>
        <v>2028</v>
      </c>
      <c r="J35" s="263">
        <f t="shared" si="17"/>
        <v>2029</v>
      </c>
      <c r="K35" s="199"/>
      <c r="L35" s="199"/>
    </row>
    <row r="36" spans="1:12" x14ac:dyDescent="0.25">
      <c r="A36" s="86"/>
      <c r="B36" s="159"/>
      <c r="C36" s="196"/>
      <c r="D36" s="196"/>
      <c r="E36" s="196"/>
      <c r="F36" s="261"/>
      <c r="G36" s="261"/>
      <c r="H36" s="261"/>
      <c r="I36" s="261"/>
      <c r="J36" s="261"/>
      <c r="K36" s="199"/>
      <c r="L36" s="199"/>
    </row>
    <row r="37" spans="1:12" x14ac:dyDescent="0.25">
      <c r="B37" s="4" t="s">
        <v>139</v>
      </c>
      <c r="C37" s="8">
        <f>BalSheet!C16/IncState!C15</f>
        <v>0.02</v>
      </c>
      <c r="D37" s="8">
        <f>BalSheet!D16/IncState!D15</f>
        <v>0.02</v>
      </c>
      <c r="E37" s="8">
        <f>BalSheet!E16/IncState!E15</f>
        <v>0.02</v>
      </c>
      <c r="F37" s="101">
        <f>E37</f>
        <v>0.02</v>
      </c>
      <c r="G37" s="101">
        <f t="shared" ref="G37:J37" si="18">F37</f>
        <v>0.02</v>
      </c>
      <c r="H37" s="101">
        <f t="shared" si="18"/>
        <v>0.02</v>
      </c>
      <c r="I37" s="101">
        <f t="shared" si="18"/>
        <v>0.02</v>
      </c>
      <c r="J37" s="101">
        <f t="shared" si="18"/>
        <v>0.02</v>
      </c>
      <c r="K37" s="171"/>
      <c r="L37" s="171"/>
    </row>
    <row r="38" spans="1:12" x14ac:dyDescent="0.25">
      <c r="B38" s="4" t="s">
        <v>152</v>
      </c>
      <c r="C38" s="8">
        <f>BalSheet!C18/IncState!C15</f>
        <v>1.5410567182610281E-2</v>
      </c>
      <c r="D38" s="8">
        <f>BalSheet!D18/IncState!D15</f>
        <v>1.5491024180415678E-2</v>
      </c>
      <c r="E38" s="8">
        <f>BalSheet!E18/IncState!E15</f>
        <v>1.5716808450848153E-2</v>
      </c>
      <c r="F38" s="101">
        <f>E38</f>
        <v>1.5716808450848153E-2</v>
      </c>
      <c r="G38" s="101">
        <f t="shared" ref="G38:J38" si="19">F38</f>
        <v>1.5716808450848153E-2</v>
      </c>
      <c r="H38" s="101">
        <f t="shared" si="19"/>
        <v>1.5716808450848153E-2</v>
      </c>
      <c r="I38" s="101">
        <f t="shared" si="19"/>
        <v>1.5716808450848153E-2</v>
      </c>
      <c r="J38" s="101">
        <f t="shared" si="19"/>
        <v>1.5716808450848153E-2</v>
      </c>
      <c r="K38" s="171"/>
      <c r="L38" s="171"/>
    </row>
    <row r="39" spans="1:12" x14ac:dyDescent="0.25">
      <c r="B39" s="4" t="s">
        <v>63</v>
      </c>
      <c r="C39" s="8">
        <f>BalSheet!C19/IncState!C16</f>
        <v>5.8346116301771023E-3</v>
      </c>
      <c r="D39" s="8">
        <f>BalSheet!D19/IncState!D16</f>
        <v>6.4441502999081782E-3</v>
      </c>
      <c r="E39" s="8">
        <f>BalSheet!E19/IncState!E16</f>
        <v>6.3295935335845243E-3</v>
      </c>
      <c r="F39" s="101">
        <f t="shared" ref="F39:J39" si="20">E39</f>
        <v>6.3295935335845243E-3</v>
      </c>
      <c r="G39" s="101">
        <f t="shared" si="20"/>
        <v>6.3295935335845243E-3</v>
      </c>
      <c r="H39" s="101">
        <f t="shared" si="20"/>
        <v>6.3295935335845243E-3</v>
      </c>
      <c r="I39" s="101">
        <f t="shared" si="20"/>
        <v>6.3295935335845243E-3</v>
      </c>
      <c r="J39" s="101">
        <f t="shared" si="20"/>
        <v>6.3295935335845243E-3</v>
      </c>
      <c r="K39" s="171"/>
      <c r="L39" s="171"/>
    </row>
    <row r="40" spans="1:12" x14ac:dyDescent="0.25">
      <c r="B40" s="4" t="s">
        <v>64</v>
      </c>
      <c r="C40" s="8">
        <f>BalSheet!C20/IncState!C15</f>
        <v>1.6323407582127872E-2</v>
      </c>
      <c r="D40" s="8">
        <f>BalSheet!D20/IncState!D15</f>
        <v>1.7440390314592755E-2</v>
      </c>
      <c r="E40" s="8">
        <f>BalSheet!E20/IncState!E15</f>
        <v>1.7404487277743717E-2</v>
      </c>
      <c r="F40" s="101">
        <f t="shared" ref="F40:J40" si="21">E40</f>
        <v>1.7404487277743717E-2</v>
      </c>
      <c r="G40" s="101">
        <f t="shared" si="21"/>
        <v>1.7404487277743717E-2</v>
      </c>
      <c r="H40" s="101">
        <f t="shared" si="21"/>
        <v>1.7404487277743717E-2</v>
      </c>
      <c r="I40" s="101">
        <f t="shared" si="21"/>
        <v>1.7404487277743717E-2</v>
      </c>
      <c r="J40" s="101">
        <f t="shared" si="21"/>
        <v>1.7404487277743717E-2</v>
      </c>
      <c r="K40" s="171"/>
      <c r="L40" s="171"/>
    </row>
    <row r="41" spans="1:12" x14ac:dyDescent="0.25">
      <c r="E41" s="8"/>
      <c r="F41" s="104"/>
      <c r="G41" s="104"/>
      <c r="H41" s="104"/>
      <c r="I41" s="104"/>
      <c r="J41" s="104"/>
      <c r="K41" s="171"/>
      <c r="L41" s="171"/>
    </row>
    <row r="42" spans="1:12" x14ac:dyDescent="0.25">
      <c r="B42" s="4" t="s">
        <v>175</v>
      </c>
      <c r="C42" s="4" t="e">
        <f>BalSheet!#REF!</f>
        <v>#REF!</v>
      </c>
      <c r="D42" s="4" t="e">
        <f>BalSheet!#REF!</f>
        <v>#REF!</v>
      </c>
      <c r="E42" s="4" t="e">
        <f>BalSheet!#REF!</f>
        <v>#REF!</v>
      </c>
      <c r="F42" s="102" t="e">
        <f>E42</f>
        <v>#REF!</v>
      </c>
      <c r="G42" s="102" t="e">
        <f t="shared" ref="G42:J42" si="22">F42</f>
        <v>#REF!</v>
      </c>
      <c r="H42" s="102" t="e">
        <f t="shared" si="22"/>
        <v>#REF!</v>
      </c>
      <c r="I42" s="102" t="e">
        <f t="shared" si="22"/>
        <v>#REF!</v>
      </c>
      <c r="J42" s="102" t="e">
        <f t="shared" si="22"/>
        <v>#REF!</v>
      </c>
      <c r="K42" s="197"/>
      <c r="L42" s="197"/>
    </row>
    <row r="43" spans="1:12" x14ac:dyDescent="0.25">
      <c r="B43" s="4" t="s">
        <v>65</v>
      </c>
      <c r="C43" s="8">
        <f>BalSheet!C25/IncState!C15</f>
        <v>1.7564959366386596E-2</v>
      </c>
      <c r="D43" s="8">
        <f>BalSheet!D25/IncState!D15</f>
        <v>1.4644153326841578E-2</v>
      </c>
      <c r="E43" s="8">
        <f>BalSheet!E25/IncState!E15</f>
        <v>0.28144798692008999</v>
      </c>
      <c r="F43" s="101">
        <f>E43</f>
        <v>0.28144798692008999</v>
      </c>
      <c r="G43" s="101">
        <f t="shared" ref="G43:J43" si="23">F43</f>
        <v>0.28144798692008999</v>
      </c>
      <c r="H43" s="101">
        <f t="shared" si="23"/>
        <v>0.28144798692008999</v>
      </c>
      <c r="I43" s="101">
        <f t="shared" si="23"/>
        <v>0.28144798692008999</v>
      </c>
      <c r="J43" s="101">
        <f t="shared" si="23"/>
        <v>0.28144798692008999</v>
      </c>
      <c r="K43" s="171"/>
      <c r="L43" s="171"/>
    </row>
    <row r="44" spans="1:12" x14ac:dyDescent="0.25">
      <c r="F44" s="30"/>
      <c r="G44" s="30"/>
      <c r="H44" s="30"/>
      <c r="I44" s="30"/>
      <c r="J44" s="30"/>
      <c r="K44" s="30"/>
      <c r="L44" s="30"/>
    </row>
    <row r="45" spans="1:12" x14ac:dyDescent="0.25">
      <c r="A45" s="64" t="s">
        <v>124</v>
      </c>
      <c r="B45" s="107" t="s">
        <v>130</v>
      </c>
      <c r="C45" s="263">
        <f>C35</f>
        <v>2022</v>
      </c>
      <c r="D45" s="263">
        <f t="shared" ref="D45:J45" si="24">D35</f>
        <v>2023</v>
      </c>
      <c r="E45" s="263">
        <f t="shared" si="24"/>
        <v>2024</v>
      </c>
      <c r="F45" s="263">
        <f t="shared" si="24"/>
        <v>2025</v>
      </c>
      <c r="G45" s="263">
        <f t="shared" si="24"/>
        <v>2026</v>
      </c>
      <c r="H45" s="263">
        <f t="shared" si="24"/>
        <v>2027</v>
      </c>
      <c r="I45" s="263">
        <f t="shared" si="24"/>
        <v>2028</v>
      </c>
      <c r="J45" s="263">
        <f t="shared" si="24"/>
        <v>2029</v>
      </c>
      <c r="K45" s="199"/>
      <c r="L45" s="199"/>
    </row>
    <row r="46" spans="1:12" x14ac:dyDescent="0.25">
      <c r="A46" s="86"/>
      <c r="B46" s="159"/>
      <c r="C46" s="196"/>
      <c r="D46" s="196"/>
      <c r="E46" s="196"/>
      <c r="F46" s="261"/>
      <c r="G46" s="261"/>
      <c r="H46" s="261"/>
      <c r="I46" s="261"/>
      <c r="J46" s="261"/>
      <c r="K46" s="199"/>
      <c r="L46" s="199"/>
    </row>
    <row r="47" spans="1:12" x14ac:dyDescent="0.25">
      <c r="B47" s="4" t="s">
        <v>153</v>
      </c>
      <c r="C47" s="8">
        <f>BalSheet!C31/IncState!C16</f>
        <v>0.11982708129967926</v>
      </c>
      <c r="D47" s="8">
        <f>BalSheet!D31/IncState!D16</f>
        <v>0.11681513015895728</v>
      </c>
      <c r="E47" s="8">
        <f>BalSheet!E31/IncState!E16</f>
        <v>0.11791525459405983</v>
      </c>
      <c r="F47" s="101">
        <f t="shared" ref="F47:J47" si="25">E47</f>
        <v>0.11791525459405983</v>
      </c>
      <c r="G47" s="101">
        <f t="shared" si="25"/>
        <v>0.11791525459405983</v>
      </c>
      <c r="H47" s="101">
        <f t="shared" si="25"/>
        <v>0.11791525459405983</v>
      </c>
      <c r="I47" s="101">
        <f t="shared" si="25"/>
        <v>0.11791525459405983</v>
      </c>
      <c r="J47" s="101">
        <f t="shared" si="25"/>
        <v>0.11791525459405983</v>
      </c>
      <c r="K47" s="171"/>
      <c r="L47" s="171"/>
    </row>
    <row r="48" spans="1:12" x14ac:dyDescent="0.25">
      <c r="B48" s="4" t="s">
        <v>66</v>
      </c>
      <c r="C48" s="8">
        <f>BalSheet!C32/IncState!C15</f>
        <v>6.861850156471061E-2</v>
      </c>
      <c r="D48" s="8">
        <f>BalSheet!D32/IncState!D15</f>
        <v>6.0786201430209477E-2</v>
      </c>
      <c r="E48" s="8">
        <f>BalSheet!E32/IncState!E15</f>
        <v>6.0096215256488866E-2</v>
      </c>
      <c r="F48" s="101">
        <f t="shared" ref="F48:J48" si="26">E48</f>
        <v>6.0096215256488866E-2</v>
      </c>
      <c r="G48" s="101">
        <f t="shared" si="26"/>
        <v>6.0096215256488866E-2</v>
      </c>
      <c r="H48" s="101">
        <f t="shared" si="26"/>
        <v>6.0096215256488866E-2</v>
      </c>
      <c r="I48" s="101">
        <f t="shared" si="26"/>
        <v>6.0096215256488866E-2</v>
      </c>
      <c r="J48" s="101">
        <f t="shared" si="26"/>
        <v>6.0096215256488866E-2</v>
      </c>
      <c r="K48" s="171"/>
      <c r="L48" s="171"/>
    </row>
    <row r="49" spans="2:12" x14ac:dyDescent="0.25">
      <c r="B49" s="4" t="s">
        <v>67</v>
      </c>
      <c r="C49" s="8">
        <f>BalSheet!C36/IncState!C15</f>
        <v>0.75826498135451303</v>
      </c>
      <c r="D49" s="8">
        <f>BalSheet!D36/IncState!D15</f>
        <v>0.66828684738761956</v>
      </c>
      <c r="E49" s="8">
        <f>BalSheet!E36/IncState!E15</f>
        <v>0.61419773783977116</v>
      </c>
      <c r="F49" s="101">
        <f t="shared" ref="F49:J49" si="27">E49</f>
        <v>0.61419773783977116</v>
      </c>
      <c r="G49" s="101">
        <f t="shared" si="27"/>
        <v>0.61419773783977116</v>
      </c>
      <c r="H49" s="101">
        <f t="shared" si="27"/>
        <v>0.61419773783977116</v>
      </c>
      <c r="I49" s="101">
        <f t="shared" si="27"/>
        <v>0.61419773783977116</v>
      </c>
      <c r="J49" s="101">
        <f t="shared" si="27"/>
        <v>0.61419773783977116</v>
      </c>
      <c r="K49" s="171"/>
      <c r="L49" s="171"/>
    </row>
    <row r="50" spans="2:12" x14ac:dyDescent="0.25">
      <c r="F50" s="122"/>
      <c r="G50" s="30"/>
      <c r="H50" s="30"/>
      <c r="I50" s="30"/>
      <c r="J50" s="30"/>
    </row>
    <row r="51" spans="2:12" x14ac:dyDescent="0.25">
      <c r="F51" s="123"/>
      <c r="G51" s="95"/>
      <c r="H51" s="95"/>
      <c r="I51" s="95"/>
      <c r="J51" s="95"/>
    </row>
    <row r="52" spans="2:12" x14ac:dyDescent="0.25">
      <c r="F52" s="95"/>
      <c r="G52" s="95"/>
      <c r="H52" s="95"/>
      <c r="I52" s="95"/>
      <c r="J52" s="95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0:L20 F21:L28 K29:L29 K35:L43 F37:J43 K45:L49 F47:J49 F51:J52 F30:L33 F11:L19 F6:K8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193">
        <v>2022</v>
      </c>
      <c r="D2" s="254">
        <f>C2+1</f>
        <v>2023</v>
      </c>
      <c r="E2" s="254">
        <f t="shared" ref="E2:J2" si="0">D2+1</f>
        <v>2024</v>
      </c>
      <c r="F2" s="254">
        <f t="shared" si="0"/>
        <v>2025</v>
      </c>
      <c r="G2" s="254">
        <f t="shared" si="0"/>
        <v>2026</v>
      </c>
      <c r="H2" s="254">
        <f t="shared" si="0"/>
        <v>2027</v>
      </c>
      <c r="I2" s="254">
        <f t="shared" si="0"/>
        <v>2028</v>
      </c>
      <c r="J2" s="254">
        <f t="shared" si="0"/>
        <v>2029</v>
      </c>
      <c r="K2" s="194"/>
      <c r="L2" s="194"/>
      <c r="M2" s="194"/>
    </row>
    <row r="3" spans="1:13" x14ac:dyDescent="0.25">
      <c r="B3" s="4" t="s">
        <v>12</v>
      </c>
      <c r="C3" s="29"/>
      <c r="D3" s="29"/>
      <c r="E3" s="40"/>
      <c r="F3" s="203">
        <f>Assumptions!F31</f>
        <v>0.10317350679542203</v>
      </c>
      <c r="G3" s="203">
        <f>Assumptions!G31</f>
        <v>9.8173506795422028E-2</v>
      </c>
      <c r="H3" s="203">
        <f>Assumptions!H31</f>
        <v>9.3173506795422023E-2</v>
      </c>
      <c r="I3" s="203">
        <f>Assumptions!I31</f>
        <v>8.8173506795422019E-2</v>
      </c>
      <c r="J3" s="203">
        <f>Assumptions!J31</f>
        <v>8.3173506795422014E-2</v>
      </c>
      <c r="K3" s="201"/>
      <c r="L3" s="201"/>
    </row>
    <row r="4" spans="1:13" x14ac:dyDescent="0.25">
      <c r="B4" s="4" t="s">
        <v>134</v>
      </c>
      <c r="C4" s="29"/>
      <c r="D4" s="29"/>
      <c r="E4" s="40"/>
      <c r="F4" s="203">
        <f>Assumptions!F32</f>
        <v>0.13488825421965808</v>
      </c>
      <c r="G4" s="203">
        <f>F4</f>
        <v>0.13488825421965808</v>
      </c>
      <c r="H4" s="203">
        <f t="shared" ref="H4:J4" si="1">G4</f>
        <v>0.13488825421965808</v>
      </c>
      <c r="I4" s="203">
        <f t="shared" si="1"/>
        <v>0.13488825421965808</v>
      </c>
      <c r="J4" s="203">
        <f t="shared" si="1"/>
        <v>0.13488825421965808</v>
      </c>
      <c r="K4" s="201"/>
      <c r="L4" s="201"/>
    </row>
    <row r="5" spans="1:13" x14ac:dyDescent="0.25">
      <c r="E5" s="27"/>
      <c r="F5" s="78"/>
      <c r="G5" s="66"/>
      <c r="H5" s="84"/>
      <c r="I5" s="66"/>
      <c r="J5" s="66"/>
    </row>
    <row r="6" spans="1:13" x14ac:dyDescent="0.25">
      <c r="B6" s="4" t="s">
        <v>13</v>
      </c>
      <c r="E6" s="27"/>
      <c r="F6" s="4">
        <f>E9</f>
        <v>976.21100000000001</v>
      </c>
      <c r="G6" s="4">
        <f t="shared" ref="G6:J6" si="2">F9</f>
        <v>994.57455201997323</v>
      </c>
      <c r="H6" s="4">
        <f t="shared" si="2"/>
        <v>1022.4638477429004</v>
      </c>
      <c r="I6" s="4">
        <f t="shared" si="2"/>
        <v>1059.8691551609984</v>
      </c>
      <c r="J6" s="4">
        <f t="shared" si="2"/>
        <v>1107.7077581734688</v>
      </c>
    </row>
    <row r="7" spans="1:13" x14ac:dyDescent="0.25">
      <c r="B7" s="4" t="s">
        <v>14</v>
      </c>
      <c r="C7" s="12"/>
      <c r="D7" s="12"/>
      <c r="E7" s="128"/>
      <c r="F7" s="4">
        <f>F3*IncState!F15</f>
        <v>150.04294956000001</v>
      </c>
      <c r="G7" s="4">
        <f>G3*IncState!G15</f>
        <v>162.0457207362</v>
      </c>
      <c r="H7" s="4">
        <f>H3*IncState!H15</f>
        <v>175.32367084285201</v>
      </c>
      <c r="I7" s="4">
        <f>I3*IncState!I15</f>
        <v>190.80250305340138</v>
      </c>
      <c r="J7" s="4">
        <f>J3*IncState!J15</f>
        <v>208.78003017952665</v>
      </c>
    </row>
    <row r="8" spans="1:13" x14ac:dyDescent="0.25">
      <c r="B8" s="4" t="s">
        <v>15</v>
      </c>
      <c r="E8" s="27"/>
      <c r="F8" s="4">
        <f>F6*F4</f>
        <v>131.67939754002663</v>
      </c>
      <c r="G8" s="4">
        <f t="shared" ref="G8:J8" si="3">G6*G4</f>
        <v>134.1564250132727</v>
      </c>
      <c r="H8" s="4">
        <f t="shared" si="3"/>
        <v>137.91836342475412</v>
      </c>
      <c r="I8" s="4">
        <f t="shared" si="3"/>
        <v>142.96390004093098</v>
      </c>
      <c r="J8" s="4">
        <f t="shared" si="3"/>
        <v>149.41676568559041</v>
      </c>
    </row>
    <row r="9" spans="1:13" x14ac:dyDescent="0.25">
      <c r="B9" s="4" t="s">
        <v>16</v>
      </c>
      <c r="E9" s="27">
        <f>BalSheet!E23</f>
        <v>976.21100000000001</v>
      </c>
      <c r="F9" s="4">
        <f>F6+F7-F8</f>
        <v>994.57455201997323</v>
      </c>
      <c r="G9" s="4">
        <f t="shared" ref="G9:J9" si="4">G6+G7-G8</f>
        <v>1022.4638477429004</v>
      </c>
      <c r="H9" s="4">
        <f t="shared" si="4"/>
        <v>1059.8691551609984</v>
      </c>
      <c r="I9" s="4">
        <f t="shared" si="4"/>
        <v>1107.7077581734688</v>
      </c>
      <c r="J9" s="4">
        <f t="shared" si="4"/>
        <v>1167.071022667405</v>
      </c>
    </row>
    <row r="10" spans="1:13" x14ac:dyDescent="0.25">
      <c r="A10" s="20" t="s">
        <v>17</v>
      </c>
      <c r="B10" s="42"/>
      <c r="C10" s="236">
        <f t="shared" ref="C10:J10" si="5">C2</f>
        <v>2022</v>
      </c>
      <c r="D10" s="236">
        <f t="shared" si="5"/>
        <v>2023</v>
      </c>
      <c r="E10" s="236">
        <f t="shared" si="5"/>
        <v>2024</v>
      </c>
      <c r="F10" s="236">
        <f t="shared" si="5"/>
        <v>2025</v>
      </c>
      <c r="G10" s="236">
        <f t="shared" ref="G10:J10" si="6">G2</f>
        <v>2026</v>
      </c>
      <c r="H10" s="236">
        <f t="shared" si="6"/>
        <v>2027</v>
      </c>
      <c r="I10" s="236">
        <f t="shared" si="6"/>
        <v>2028</v>
      </c>
      <c r="J10" s="236">
        <f t="shared" si="6"/>
        <v>2029</v>
      </c>
      <c r="K10" s="196"/>
      <c r="L10" s="196"/>
    </row>
    <row r="11" spans="1:13" x14ac:dyDescent="0.25">
      <c r="B11" s="4" t="s">
        <v>18</v>
      </c>
      <c r="E11" s="27"/>
      <c r="F11" s="256">
        <f>Assumptions!F33</f>
        <v>0</v>
      </c>
      <c r="G11" s="256">
        <f>Assumptions!G33</f>
        <v>0</v>
      </c>
      <c r="H11" s="256">
        <f>Assumptions!H33</f>
        <v>0</v>
      </c>
      <c r="I11" s="256">
        <f>Assumptions!I33</f>
        <v>0</v>
      </c>
      <c r="J11" s="256">
        <f>Assumptions!J33</f>
        <v>0</v>
      </c>
      <c r="K11" s="202"/>
      <c r="L11" s="202"/>
    </row>
    <row r="12" spans="1:13" x14ac:dyDescent="0.25">
      <c r="E12" s="27"/>
      <c r="F12" s="78"/>
      <c r="G12" s="78"/>
      <c r="H12" s="78"/>
      <c r="I12" s="78"/>
      <c r="J12" s="78"/>
    </row>
    <row r="13" spans="1:13" x14ac:dyDescent="0.25">
      <c r="B13" s="4" t="s">
        <v>19</v>
      </c>
      <c r="E13" s="27"/>
      <c r="F13" s="4">
        <f>E16</f>
        <v>493.62599999999998</v>
      </c>
      <c r="G13" s="4">
        <f t="shared" ref="G13:J13" si="7">F16</f>
        <v>535.80692798771304</v>
      </c>
      <c r="H13" s="4">
        <f t="shared" si="7"/>
        <v>596.20660152220307</v>
      </c>
      <c r="I13" s="4">
        <f t="shared" si="7"/>
        <v>679.33995445753817</v>
      </c>
      <c r="J13" s="4">
        <f t="shared" si="7"/>
        <v>791.36269420509302</v>
      </c>
    </row>
    <row r="14" spans="1:13" x14ac:dyDescent="0.25">
      <c r="B14" s="4" t="s">
        <v>20</v>
      </c>
      <c r="E14" s="27"/>
      <c r="F14" s="4">
        <f>IncState!F33</f>
        <v>42.180927987713034</v>
      </c>
      <c r="G14" s="4">
        <f>IncState!G33</f>
        <v>60.39967353449002</v>
      </c>
      <c r="H14" s="4">
        <f>IncState!H33</f>
        <v>83.133352935335139</v>
      </c>
      <c r="I14" s="4">
        <f>IncState!I33</f>
        <v>112.02273974755482</v>
      </c>
      <c r="J14" s="4">
        <f>IncState!J33</f>
        <v>148.99286339858995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J15" si="8">G11</f>
        <v>0</v>
      </c>
      <c r="H15" s="4">
        <f t="shared" si="8"/>
        <v>0</v>
      </c>
      <c r="I15" s="4">
        <f t="shared" si="8"/>
        <v>0</v>
      </c>
      <c r="J15" s="4">
        <f t="shared" si="8"/>
        <v>0</v>
      </c>
    </row>
    <row r="16" spans="1:13" x14ac:dyDescent="0.25">
      <c r="B16" s="4" t="s">
        <v>22</v>
      </c>
      <c r="E16" s="27">
        <f>BalSheet!E39</f>
        <v>493.62599999999998</v>
      </c>
      <c r="F16" s="4">
        <f>SUM(F13:F15)</f>
        <v>535.80692798771304</v>
      </c>
      <c r="G16" s="4">
        <f t="shared" ref="G16:J16" si="9">SUM(G13:G15)</f>
        <v>596.20660152220307</v>
      </c>
      <c r="H16" s="4">
        <f t="shared" si="9"/>
        <v>679.33995445753817</v>
      </c>
      <c r="I16" s="4">
        <f t="shared" si="9"/>
        <v>791.36269420509302</v>
      </c>
      <c r="J16" s="4">
        <f t="shared" si="9"/>
        <v>940.355557603683</v>
      </c>
    </row>
    <row r="17" spans="1:12" x14ac:dyDescent="0.25">
      <c r="A17" s="20" t="s">
        <v>23</v>
      </c>
      <c r="B17" s="42"/>
      <c r="C17" s="236">
        <f>C10</f>
        <v>2022</v>
      </c>
      <c r="D17" s="236">
        <f t="shared" ref="D17:J17" si="10">D10</f>
        <v>2023</v>
      </c>
      <c r="E17" s="236">
        <f t="shared" si="10"/>
        <v>2024</v>
      </c>
      <c r="F17" s="236">
        <f t="shared" si="10"/>
        <v>2025</v>
      </c>
      <c r="G17" s="236">
        <f t="shared" ref="G17:J17" si="11">G10</f>
        <v>2026</v>
      </c>
      <c r="H17" s="236">
        <f t="shared" si="11"/>
        <v>2027</v>
      </c>
      <c r="I17" s="236">
        <f t="shared" si="11"/>
        <v>2028</v>
      </c>
      <c r="J17" s="236">
        <f t="shared" si="11"/>
        <v>2029</v>
      </c>
      <c r="K17" s="196"/>
      <c r="L17" s="196"/>
    </row>
    <row r="18" spans="1:12" x14ac:dyDescent="0.25">
      <c r="A18" s="87"/>
      <c r="B18" s="173" t="s">
        <v>157</v>
      </c>
      <c r="C18" s="196"/>
      <c r="D18" s="196"/>
      <c r="E18" s="217">
        <f>BalSheet!E16</f>
        <v>25.052160000000001</v>
      </c>
      <c r="F18" s="132">
        <f>BalSheet!F16</f>
        <v>29.08555776</v>
      </c>
      <c r="G18" s="132">
        <f>BalSheet!G16</f>
        <v>33.012108057600003</v>
      </c>
      <c r="H18" s="132">
        <f>BalSheet!H16</f>
        <v>37.633803185664007</v>
      </c>
      <c r="I18" s="132">
        <f>BalSheet!I16</f>
        <v>43.278873663513608</v>
      </c>
      <c r="J18" s="132">
        <f>BalSheet!J16</f>
        <v>50.203493449675783</v>
      </c>
      <c r="K18" s="196"/>
      <c r="L18" s="196"/>
    </row>
    <row r="19" spans="1:12" x14ac:dyDescent="0.25">
      <c r="B19" s="4" t="str">
        <f>BalSheet!B18</f>
        <v>Accounts receivable</v>
      </c>
      <c r="D19" s="98"/>
      <c r="E19" s="99">
        <f>BalSheet!E18</f>
        <v>19.687000000000001</v>
      </c>
      <c r="F19" s="4">
        <f>BalSheet!F18</f>
        <v>22.856607000000004</v>
      </c>
      <c r="G19" s="4">
        <f>BalSheet!G18</f>
        <v>25.942248945000006</v>
      </c>
      <c r="H19" s="4">
        <f>BalSheet!H18</f>
        <v>29.57416379730001</v>
      </c>
      <c r="I19" s="4">
        <f>BalSheet!I18</f>
        <v>34.010288366895011</v>
      </c>
      <c r="J19" s="4">
        <f>BalSheet!J18</f>
        <v>39.45193450559821</v>
      </c>
      <c r="K19" s="98"/>
      <c r="L19" s="98"/>
    </row>
    <row r="20" spans="1:12" x14ac:dyDescent="0.25">
      <c r="A20" s="4"/>
      <c r="B20" s="4" t="str">
        <f>BalSheet!B19</f>
        <v>Inventories</v>
      </c>
      <c r="C20" s="98"/>
      <c r="D20" s="98"/>
      <c r="E20" s="99">
        <f>BalSheet!E19</f>
        <v>6.0140000000000002</v>
      </c>
      <c r="F20" s="4">
        <f>BalSheet!F19</f>
        <v>6.936229060420402</v>
      </c>
      <c r="G20" s="4">
        <f>BalSheet!G19</f>
        <v>7.8203816771543115</v>
      </c>
      <c r="H20" s="4">
        <f>BalSheet!H19</f>
        <v>8.8556834426338735</v>
      </c>
      <c r="I20" s="4">
        <f>BalSheet!I19</f>
        <v>10.115551539308603</v>
      </c>
      <c r="J20" s="4">
        <f>BalSheet!J19</f>
        <v>11.654597858722374</v>
      </c>
      <c r="K20" s="98"/>
      <c r="L20" s="98"/>
    </row>
    <row r="21" spans="1:12" x14ac:dyDescent="0.25">
      <c r="B21" s="4" t="s">
        <v>70</v>
      </c>
      <c r="C21" s="98"/>
      <c r="D21" s="98"/>
      <c r="E21" s="99">
        <f>BalSheet!E20</f>
        <v>21.800999999999998</v>
      </c>
      <c r="F21" s="4">
        <f>BalSheet!F20</f>
        <v>25.310961000000002</v>
      </c>
      <c r="G21" s="4">
        <f>BalSheet!G20</f>
        <v>28.727940735000004</v>
      </c>
      <c r="H21" s="4">
        <f>BalSheet!H20</f>
        <v>32.74985243790001</v>
      </c>
      <c r="I21" s="4">
        <f>BalSheet!I20</f>
        <v>37.662330303585009</v>
      </c>
      <c r="J21" s="4">
        <f>BalSheet!J20</f>
        <v>43.688303152158603</v>
      </c>
      <c r="K21" s="98"/>
      <c r="L21" s="98"/>
    </row>
    <row r="22" spans="1:12" x14ac:dyDescent="0.25">
      <c r="B22" s="4" t="s">
        <v>161</v>
      </c>
      <c r="C22" s="98"/>
      <c r="D22" s="98"/>
      <c r="E22" s="99">
        <f>BalSheet!E31</f>
        <v>112.036</v>
      </c>
      <c r="F22" s="4">
        <f>BalSheet!F31</f>
        <v>129.21638826292985</v>
      </c>
      <c r="G22" s="4">
        <f>BalSheet!G31</f>
        <v>145.68744289685077</v>
      </c>
      <c r="H22" s="4">
        <f>BalSheet!H31</f>
        <v>164.97428503141481</v>
      </c>
      <c r="I22" s="4">
        <f>BalSheet!I31</f>
        <v>188.44461793448266</v>
      </c>
      <c r="J22" s="4">
        <f>BalSheet!J31</f>
        <v>217.11581737609245</v>
      </c>
      <c r="K22" s="98"/>
      <c r="L22" s="98"/>
    </row>
    <row r="23" spans="1:12" x14ac:dyDescent="0.25">
      <c r="B23" s="4" t="s">
        <v>76</v>
      </c>
      <c r="C23" s="98"/>
      <c r="D23" s="98"/>
      <c r="E23" s="99">
        <f>BalSheet!E32</f>
        <v>75.277000000000001</v>
      </c>
      <c r="F23" s="4">
        <f>BalSheet!F32</f>
        <v>87.396597000000014</v>
      </c>
      <c r="G23" s="4">
        <f>BalSheet!G32</f>
        <v>99.19513759500002</v>
      </c>
      <c r="H23" s="4">
        <f>BalSheet!H32</f>
        <v>113.08245685830002</v>
      </c>
      <c r="I23" s="4">
        <f>BalSheet!I32</f>
        <v>130.04482538704502</v>
      </c>
      <c r="J23" s="4">
        <f>BalSheet!J32</f>
        <v>150.85199744897221</v>
      </c>
      <c r="K23" s="98"/>
      <c r="L23" s="98"/>
    </row>
    <row r="24" spans="1:12" x14ac:dyDescent="0.25">
      <c r="A24" s="11" t="s">
        <v>124</v>
      </c>
      <c r="B24" s="17" t="s">
        <v>23</v>
      </c>
      <c r="C24" s="18"/>
      <c r="D24" s="18"/>
      <c r="E24" s="18">
        <f>SUM(E18:E21)-SUM(E22:E23)</f>
        <v>-114.75883999999999</v>
      </c>
      <c r="F24" s="18">
        <f>SUM(F18:F21)-SUM(F22:F23)</f>
        <v>-132.42363044250948</v>
      </c>
      <c r="G24" s="18">
        <f t="shared" ref="G24:J24" si="12">SUM(G18:G21)-SUM(G22:G23)</f>
        <v>-149.37990107709646</v>
      </c>
      <c r="H24" s="18">
        <f t="shared" si="12"/>
        <v>-169.24323902621691</v>
      </c>
      <c r="I24" s="18">
        <f t="shared" si="12"/>
        <v>-193.42239944822546</v>
      </c>
      <c r="J24" s="18">
        <f t="shared" si="12"/>
        <v>-222.96948585890974</v>
      </c>
      <c r="K24" s="11"/>
      <c r="L24" s="11"/>
    </row>
    <row r="25" spans="1:12" s="11" customFormat="1" x14ac:dyDescent="0.25">
      <c r="A25" s="24"/>
      <c r="B25" s="11" t="s">
        <v>149</v>
      </c>
      <c r="F25" s="11">
        <f>E24-F24</f>
        <v>17.664790442509485</v>
      </c>
      <c r="G25" s="11">
        <f t="shared" ref="G25:J25" si="13">F24-G24</f>
        <v>16.956270634586986</v>
      </c>
      <c r="H25" s="11">
        <f t="shared" si="13"/>
        <v>19.863337949120449</v>
      </c>
      <c r="I25" s="11">
        <f t="shared" si="13"/>
        <v>24.17916042200855</v>
      </c>
      <c r="J25" s="11">
        <f t="shared" si="13"/>
        <v>29.547086410684273</v>
      </c>
    </row>
    <row r="26" spans="1:12" x14ac:dyDescent="0.25">
      <c r="B26" s="66"/>
      <c r="C26" s="66"/>
      <c r="D26" s="66"/>
      <c r="E26" s="66"/>
      <c r="F26" s="66"/>
      <c r="G26" s="66"/>
      <c r="H26" s="84"/>
      <c r="I26" s="66"/>
      <c r="J26" s="66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5"/>
      <c r="C2" s="263">
        <v>2022</v>
      </c>
      <c r="D2" s="263">
        <f>C2+1</f>
        <v>2023</v>
      </c>
      <c r="E2" s="263">
        <f t="shared" ref="E2:J2" si="0">D2+1</f>
        <v>2024</v>
      </c>
      <c r="F2" s="263">
        <f t="shared" si="0"/>
        <v>2025</v>
      </c>
      <c r="G2" s="263">
        <f t="shared" si="0"/>
        <v>2026</v>
      </c>
      <c r="H2" s="263">
        <f t="shared" si="0"/>
        <v>2027</v>
      </c>
      <c r="I2" s="263">
        <f t="shared" si="0"/>
        <v>2028</v>
      </c>
      <c r="J2" s="263">
        <f t="shared" si="0"/>
        <v>2029</v>
      </c>
      <c r="K2" s="204"/>
      <c r="L2" s="204"/>
    </row>
    <row r="3" spans="1:13" s="2" customFormat="1" x14ac:dyDescent="0.25">
      <c r="A3" s="87"/>
      <c r="B3" s="11"/>
      <c r="C3" s="196"/>
      <c r="D3" s="196"/>
      <c r="E3" s="196"/>
      <c r="F3" s="196"/>
      <c r="G3" s="196"/>
      <c r="H3" s="196"/>
      <c r="I3" s="196"/>
      <c r="J3" s="196"/>
      <c r="K3" s="204"/>
      <c r="L3" s="204"/>
    </row>
    <row r="4" spans="1:13" s="2" customFormat="1" x14ac:dyDescent="0.25">
      <c r="A4" s="11"/>
      <c r="B4" s="4" t="s">
        <v>24</v>
      </c>
      <c r="C4" s="30"/>
      <c r="D4" s="56"/>
      <c r="E4" s="60"/>
      <c r="F4" s="111">
        <f>Assumptions!F22</f>
        <v>0.05</v>
      </c>
      <c r="G4" s="111">
        <f>Assumptions!G22</f>
        <v>0.05</v>
      </c>
      <c r="H4" s="111">
        <f>Assumptions!H22</f>
        <v>0.05</v>
      </c>
      <c r="I4" s="111">
        <f>Assumptions!I22</f>
        <v>0.05</v>
      </c>
      <c r="J4" s="111">
        <f>Assumptions!J22</f>
        <v>0.05</v>
      </c>
      <c r="K4" s="29"/>
      <c r="L4" s="29"/>
    </row>
    <row r="5" spans="1:13" s="2" customFormat="1" x14ac:dyDescent="0.25">
      <c r="A5" s="11"/>
      <c r="B5" s="4" t="s">
        <v>25</v>
      </c>
      <c r="C5" s="30"/>
      <c r="D5" s="57"/>
      <c r="E5" s="61"/>
      <c r="F5" s="111">
        <f>Assumptions!F23</f>
        <v>0.05</v>
      </c>
      <c r="G5" s="111">
        <f>Assumptions!G23</f>
        <v>0.05</v>
      </c>
      <c r="H5" s="111">
        <f>Assumptions!H23</f>
        <v>0.05</v>
      </c>
      <c r="I5" s="111">
        <f>Assumptions!I23</f>
        <v>0.05</v>
      </c>
      <c r="J5" s="111">
        <f>Assumptions!J23</f>
        <v>0.05</v>
      </c>
      <c r="K5" s="29"/>
      <c r="L5" s="29"/>
    </row>
    <row r="6" spans="1:13" s="2" customFormat="1" x14ac:dyDescent="0.25">
      <c r="A6" s="11"/>
      <c r="B6" s="4" t="s">
        <v>26</v>
      </c>
      <c r="C6" s="30"/>
      <c r="D6" s="56"/>
      <c r="E6" s="60"/>
      <c r="F6" s="111">
        <f>Assumptions!F24</f>
        <v>0.04</v>
      </c>
      <c r="G6" s="111">
        <f>Assumptions!G24</f>
        <v>0.04</v>
      </c>
      <c r="H6" s="111">
        <f>Assumptions!H24</f>
        <v>0.04</v>
      </c>
      <c r="I6" s="111">
        <f>Assumptions!I24</f>
        <v>0.04</v>
      </c>
      <c r="J6" s="111">
        <f>Assumptions!J24</f>
        <v>0.04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9"/>
      <c r="G7" s="109"/>
      <c r="H7" s="109"/>
      <c r="I7" s="110"/>
      <c r="J7" s="110"/>
      <c r="K7" s="205"/>
      <c r="L7" s="205"/>
    </row>
    <row r="8" spans="1:13" s="2" customFormat="1" x14ac:dyDescent="0.25">
      <c r="A8" s="11"/>
      <c r="B8" s="4" t="s">
        <v>27</v>
      </c>
      <c r="C8" s="30"/>
      <c r="D8" s="58"/>
      <c r="E8" s="62"/>
      <c r="F8" s="112">
        <f>Assumptions!F26</f>
        <v>0</v>
      </c>
      <c r="G8" s="112">
        <f>Assumptions!G26</f>
        <v>0</v>
      </c>
      <c r="H8" s="112">
        <f>Assumptions!H26</f>
        <v>0</v>
      </c>
      <c r="I8" s="112">
        <f>Assumptions!I26</f>
        <v>0</v>
      </c>
      <c r="J8" s="112">
        <f>Assumptions!J26</f>
        <v>0</v>
      </c>
      <c r="K8" s="206"/>
      <c r="L8" s="206"/>
    </row>
    <row r="9" spans="1:13" s="2" customFormat="1" x14ac:dyDescent="0.25">
      <c r="A9" s="11"/>
      <c r="B9" s="4" t="s">
        <v>28</v>
      </c>
      <c r="C9" s="30"/>
      <c r="D9" s="58"/>
      <c r="E9" s="62"/>
      <c r="F9" s="112">
        <f>Assumptions!F27</f>
        <v>0</v>
      </c>
      <c r="G9" s="112">
        <f>Assumptions!G27</f>
        <v>0</v>
      </c>
      <c r="H9" s="112">
        <f>Assumptions!H27</f>
        <v>0</v>
      </c>
      <c r="I9" s="112">
        <f>Assumptions!I27</f>
        <v>0</v>
      </c>
      <c r="J9" s="112">
        <f>Assumptions!J27</f>
        <v>0</v>
      </c>
      <c r="K9" s="206"/>
      <c r="L9" s="206"/>
    </row>
    <row r="10" spans="1:13" s="2" customFormat="1" ht="18.75" x14ac:dyDescent="0.3">
      <c r="A10" s="33"/>
      <c r="B10" s="3"/>
      <c r="C10" s="53"/>
      <c r="D10" s="53"/>
      <c r="E10" s="53"/>
      <c r="F10" s="108"/>
      <c r="G10" s="108"/>
      <c r="H10" s="108"/>
      <c r="I10" s="108"/>
      <c r="J10" s="108"/>
      <c r="K10" s="53"/>
      <c r="L10" s="53"/>
    </row>
    <row r="11" spans="1:13" x14ac:dyDescent="0.25">
      <c r="A11" s="20" t="s">
        <v>29</v>
      </c>
      <c r="B11" s="54"/>
      <c r="C11" s="254">
        <f>C2</f>
        <v>2022</v>
      </c>
      <c r="D11" s="254">
        <f t="shared" ref="D11:J11" si="1">D2</f>
        <v>2023</v>
      </c>
      <c r="E11" s="254">
        <f t="shared" si="1"/>
        <v>2024</v>
      </c>
      <c r="F11" s="254">
        <f t="shared" si="1"/>
        <v>2025</v>
      </c>
      <c r="G11" s="254">
        <f t="shared" si="1"/>
        <v>2026</v>
      </c>
      <c r="H11" s="254">
        <f t="shared" si="1"/>
        <v>2027</v>
      </c>
      <c r="I11" s="254">
        <f t="shared" si="1"/>
        <v>2028</v>
      </c>
      <c r="J11" s="254">
        <f t="shared" si="1"/>
        <v>2029</v>
      </c>
      <c r="K11" s="207"/>
      <c r="L11" s="207"/>
      <c r="M11" s="47"/>
    </row>
    <row r="12" spans="1:13" x14ac:dyDescent="0.25">
      <c r="B12" s="4" t="s">
        <v>30</v>
      </c>
      <c r="E12" s="27"/>
      <c r="F12" s="4">
        <v>0</v>
      </c>
      <c r="G12" s="4">
        <v>0</v>
      </c>
      <c r="H12" s="4">
        <v>0</v>
      </c>
      <c r="I12" s="4">
        <v>0</v>
      </c>
      <c r="J12" s="4">
        <v>0</v>
      </c>
      <c r="M12" s="47"/>
    </row>
    <row r="13" spans="1:13" x14ac:dyDescent="0.25">
      <c r="B13" s="4" t="s">
        <v>31</v>
      </c>
      <c r="E13" s="28"/>
      <c r="I13" s="4"/>
      <c r="J13" s="4"/>
      <c r="M13" s="47"/>
    </row>
    <row r="14" spans="1:13" x14ac:dyDescent="0.25">
      <c r="B14" s="4" t="s">
        <v>32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62" t="s">
        <v>33</v>
      </c>
      <c r="B16" s="19"/>
      <c r="C16" s="254">
        <f t="shared" ref="C16:J16" si="2">C11</f>
        <v>2022</v>
      </c>
      <c r="D16" s="254">
        <f t="shared" si="2"/>
        <v>2023</v>
      </c>
      <c r="E16" s="254">
        <f t="shared" si="2"/>
        <v>2024</v>
      </c>
      <c r="F16" s="254">
        <f t="shared" si="2"/>
        <v>2025</v>
      </c>
      <c r="G16" s="254">
        <f t="shared" ref="G16:J16" si="3">G11</f>
        <v>2026</v>
      </c>
      <c r="H16" s="254">
        <f t="shared" si="3"/>
        <v>2027</v>
      </c>
      <c r="I16" s="254">
        <f t="shared" si="3"/>
        <v>2028</v>
      </c>
      <c r="J16" s="254">
        <f t="shared" si="3"/>
        <v>2029</v>
      </c>
      <c r="K16" s="204"/>
      <c r="L16" s="204"/>
      <c r="M16" s="47"/>
    </row>
    <row r="17" spans="1:13" x14ac:dyDescent="0.25">
      <c r="B17" s="4" t="s">
        <v>19</v>
      </c>
      <c r="E17" s="27"/>
      <c r="F17" s="4">
        <f>E20</f>
        <v>246.68299999999999</v>
      </c>
      <c r="G17" s="4">
        <f t="shared" ref="G17:J17" si="4">F20</f>
        <v>246.68299999999999</v>
      </c>
      <c r="H17" s="4">
        <f t="shared" si="4"/>
        <v>246.68299999999999</v>
      </c>
      <c r="I17" s="4">
        <f t="shared" si="4"/>
        <v>246.68299999999999</v>
      </c>
      <c r="J17" s="4">
        <f t="shared" si="4"/>
        <v>246.68299999999999</v>
      </c>
      <c r="M17" s="47"/>
    </row>
    <row r="18" spans="1:13" x14ac:dyDescent="0.25">
      <c r="B18" s="4" t="s">
        <v>34</v>
      </c>
      <c r="E18" s="27"/>
      <c r="F18" s="4">
        <f>F8</f>
        <v>0</v>
      </c>
      <c r="G18" s="4">
        <f t="shared" ref="G18:J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M18" s="47"/>
    </row>
    <row r="19" spans="1:13" x14ac:dyDescent="0.25">
      <c r="B19" s="4" t="s">
        <v>35</v>
      </c>
      <c r="E19" s="27"/>
      <c r="F19" s="4">
        <f>F9</f>
        <v>0</v>
      </c>
      <c r="G19" s="4">
        <f t="shared" ref="G19:J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</row>
    <row r="20" spans="1:13" x14ac:dyDescent="0.25">
      <c r="B20" s="4" t="s">
        <v>22</v>
      </c>
      <c r="C20" s="10"/>
      <c r="E20" s="27">
        <f>BalSheet!E35</f>
        <v>246.68299999999999</v>
      </c>
      <c r="F20" s="4">
        <f>SUM(F17:F19)</f>
        <v>246.68299999999999</v>
      </c>
      <c r="G20" s="4">
        <f t="shared" ref="G20:J20" si="7">SUM(G17:G19)</f>
        <v>246.68299999999999</v>
      </c>
      <c r="H20" s="4">
        <f t="shared" si="7"/>
        <v>246.68299999999999</v>
      </c>
      <c r="I20" s="4">
        <f t="shared" si="7"/>
        <v>246.68299999999999</v>
      </c>
      <c r="J20" s="4">
        <f t="shared" si="7"/>
        <v>246.68299999999999</v>
      </c>
    </row>
    <row r="21" spans="1:13" x14ac:dyDescent="0.25">
      <c r="B21" s="4" t="s">
        <v>31</v>
      </c>
      <c r="D21" s="48"/>
      <c r="E21" s="27"/>
      <c r="F21" s="8">
        <f>F5</f>
        <v>0.05</v>
      </c>
      <c r="G21" s="8">
        <f t="shared" ref="G21:J21" si="8">G5</f>
        <v>0.05</v>
      </c>
      <c r="H21" s="8">
        <f t="shared" si="8"/>
        <v>0.05</v>
      </c>
      <c r="I21" s="8">
        <f t="shared" si="8"/>
        <v>0.05</v>
      </c>
      <c r="J21" s="8">
        <f t="shared" si="8"/>
        <v>0.05</v>
      </c>
    </row>
    <row r="22" spans="1:13" x14ac:dyDescent="0.25">
      <c r="B22" s="4" t="s">
        <v>32</v>
      </c>
      <c r="E22" s="27"/>
      <c r="F22" s="4">
        <f>F20*-F21</f>
        <v>-12.334150000000001</v>
      </c>
      <c r="G22" s="4">
        <f t="shared" ref="G22:J22" si="9">G20*-G21</f>
        <v>-12.334150000000001</v>
      </c>
      <c r="H22" s="4">
        <f t="shared" si="9"/>
        <v>-12.334150000000001</v>
      </c>
      <c r="I22" s="4">
        <f t="shared" si="9"/>
        <v>-12.334150000000001</v>
      </c>
      <c r="J22" s="4">
        <f t="shared" si="9"/>
        <v>-12.334150000000001</v>
      </c>
    </row>
    <row r="23" spans="1:13" x14ac:dyDescent="0.25">
      <c r="E23" s="27"/>
      <c r="I23" s="4"/>
      <c r="J23" s="4"/>
    </row>
    <row r="24" spans="1:13" x14ac:dyDescent="0.25">
      <c r="A24" s="20" t="s">
        <v>36</v>
      </c>
      <c r="B24" s="42"/>
      <c r="C24" s="254">
        <f>C16</f>
        <v>2022</v>
      </c>
      <c r="D24" s="254">
        <f t="shared" ref="D24:J24" si="10">D16</f>
        <v>2023</v>
      </c>
      <c r="E24" s="254">
        <f t="shared" si="10"/>
        <v>2024</v>
      </c>
      <c r="F24" s="254">
        <f t="shared" si="10"/>
        <v>2025</v>
      </c>
      <c r="G24" s="254">
        <f t="shared" ref="G24:J24" si="11">G16</f>
        <v>2026</v>
      </c>
      <c r="H24" s="254">
        <f t="shared" si="11"/>
        <v>2027</v>
      </c>
      <c r="I24" s="254">
        <f t="shared" si="11"/>
        <v>2028</v>
      </c>
      <c r="J24" s="254">
        <f t="shared" si="11"/>
        <v>2029</v>
      </c>
      <c r="K24" s="204"/>
      <c r="L24" s="204"/>
    </row>
    <row r="25" spans="1:13" x14ac:dyDescent="0.25">
      <c r="A25" s="7"/>
      <c r="B25" s="4" t="s">
        <v>29</v>
      </c>
      <c r="E25" s="27"/>
      <c r="F25" s="4">
        <f>F12</f>
        <v>0</v>
      </c>
      <c r="G25" s="4">
        <f t="shared" ref="G25:J25" si="12">G12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</row>
    <row r="26" spans="1:13" x14ac:dyDescent="0.25">
      <c r="A26" s="7"/>
      <c r="B26" s="4" t="s">
        <v>37</v>
      </c>
      <c r="E26" s="27"/>
      <c r="F26" s="4">
        <f>F20</f>
        <v>246.68299999999999</v>
      </c>
      <c r="G26" s="4">
        <f t="shared" ref="G26:J26" si="13">G20</f>
        <v>246.68299999999999</v>
      </c>
      <c r="H26" s="4">
        <f t="shared" si="13"/>
        <v>246.68299999999999</v>
      </c>
      <c r="I26" s="4">
        <f t="shared" si="13"/>
        <v>246.68299999999999</v>
      </c>
      <c r="J26" s="4">
        <f t="shared" si="13"/>
        <v>246.68299999999999</v>
      </c>
    </row>
    <row r="27" spans="1:13" x14ac:dyDescent="0.25">
      <c r="A27" s="7"/>
      <c r="B27" s="11" t="s">
        <v>38</v>
      </c>
      <c r="D27" s="11"/>
      <c r="E27" s="24"/>
      <c r="F27" s="11">
        <f>SUM(F25:F26)</f>
        <v>246.68299999999999</v>
      </c>
      <c r="G27" s="11">
        <f t="shared" ref="G27:J27" si="14">SUM(G25:G26)</f>
        <v>246.68299999999999</v>
      </c>
      <c r="H27" s="11">
        <f t="shared" si="14"/>
        <v>246.68299999999999</v>
      </c>
      <c r="I27" s="11">
        <f t="shared" si="14"/>
        <v>246.68299999999999</v>
      </c>
      <c r="J27" s="11">
        <f t="shared" si="14"/>
        <v>246.68299999999999</v>
      </c>
      <c r="K27" s="11"/>
      <c r="L27" s="11"/>
    </row>
    <row r="28" spans="1:13" x14ac:dyDescent="0.25">
      <c r="A28" s="7"/>
      <c r="B28" s="4" t="s">
        <v>39</v>
      </c>
      <c r="E28" s="27"/>
      <c r="F28" s="4">
        <f>F22</f>
        <v>-12.334150000000001</v>
      </c>
      <c r="G28" s="4">
        <f t="shared" ref="G28:J28" si="15">G22</f>
        <v>-12.334150000000001</v>
      </c>
      <c r="H28" s="4">
        <f t="shared" si="15"/>
        <v>-12.334150000000001</v>
      </c>
      <c r="I28" s="4">
        <f t="shared" si="15"/>
        <v>-12.334150000000001</v>
      </c>
      <c r="J28" s="4">
        <f t="shared" si="15"/>
        <v>-12.334150000000001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40</v>
      </c>
      <c r="B30" s="42"/>
      <c r="C30" s="254">
        <f>C11</f>
        <v>2022</v>
      </c>
      <c r="D30" s="254">
        <f t="shared" ref="D30:J30" si="16">D11</f>
        <v>2023</v>
      </c>
      <c r="E30" s="254">
        <f t="shared" si="16"/>
        <v>2024</v>
      </c>
      <c r="F30" s="254">
        <f t="shared" si="16"/>
        <v>2025</v>
      </c>
      <c r="G30" s="254">
        <f t="shared" ref="G30:J30" si="17">G11</f>
        <v>2026</v>
      </c>
      <c r="H30" s="254">
        <f t="shared" si="17"/>
        <v>2027</v>
      </c>
      <c r="I30" s="254">
        <f t="shared" si="17"/>
        <v>2028</v>
      </c>
      <c r="J30" s="254">
        <f t="shared" si="17"/>
        <v>2029</v>
      </c>
      <c r="K30" s="204"/>
      <c r="L30" s="204"/>
    </row>
    <row r="31" spans="1:13" x14ac:dyDescent="0.25">
      <c r="A31" s="7"/>
      <c r="B31" s="4" t="s">
        <v>167</v>
      </c>
      <c r="E31" s="27"/>
      <c r="F31" s="4">
        <f>BalSheet!F17</f>
        <v>404.24961141024914</v>
      </c>
      <c r="G31" s="4">
        <f>BalSheet!G17</f>
        <v>519.04419153139884</v>
      </c>
      <c r="H31" s="4">
        <f>BalSheet!H17</f>
        <v>661.52897013225663</v>
      </c>
      <c r="I31" s="4">
        <f>BalSheet!I17</f>
        <v>843.81205706077458</v>
      </c>
      <c r="J31" s="4">
        <f>BalSheet!J17</f>
        <v>1078.1970178290605</v>
      </c>
    </row>
    <row r="32" spans="1:13" x14ac:dyDescent="0.25">
      <c r="B32" s="4" t="s">
        <v>31</v>
      </c>
      <c r="D32" s="48"/>
      <c r="E32" s="23"/>
      <c r="F32" s="5">
        <f>F6</f>
        <v>0.04</v>
      </c>
      <c r="G32" s="5">
        <f t="shared" ref="G32:J32" si="18">G6</f>
        <v>0.04</v>
      </c>
      <c r="H32" s="5">
        <f t="shared" si="18"/>
        <v>0.04</v>
      </c>
      <c r="I32" s="5">
        <f t="shared" si="18"/>
        <v>0.04</v>
      </c>
      <c r="J32" s="5">
        <f t="shared" si="18"/>
        <v>0.04</v>
      </c>
      <c r="K32" s="172"/>
      <c r="L32" s="172"/>
    </row>
    <row r="33" spans="2:10" x14ac:dyDescent="0.25">
      <c r="B33" s="4" t="s">
        <v>40</v>
      </c>
      <c r="E33" s="27"/>
      <c r="F33" s="4">
        <f>F31*F32</f>
        <v>16.169984456409967</v>
      </c>
      <c r="G33" s="4">
        <f t="shared" ref="G33:J33" si="19">G31*G32</f>
        <v>20.761767661255956</v>
      </c>
      <c r="H33" s="4">
        <f t="shared" si="19"/>
        <v>26.461158805290268</v>
      </c>
      <c r="I33" s="4">
        <f t="shared" si="19"/>
        <v>33.752482282430982</v>
      </c>
      <c r="J33" s="4">
        <f t="shared" si="19"/>
        <v>43.127880713162419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0"/>
  <sheetViews>
    <sheetView showGridLines="0" zoomScaleNormal="100" workbookViewId="0">
      <selection activeCell="F38" sqref="F15:J3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4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</row>
    <row r="3" spans="1:12" x14ac:dyDescent="0.25">
      <c r="A3" s="87"/>
      <c r="C3" s="100"/>
      <c r="D3" s="100"/>
      <c r="E3" s="100"/>
    </row>
    <row r="4" spans="1:12" x14ac:dyDescent="0.25">
      <c r="B4" s="30" t="s">
        <v>42</v>
      </c>
      <c r="C4" s="31"/>
      <c r="D4" s="31"/>
      <c r="E4" s="32"/>
      <c r="F4" s="176">
        <f>Assumptions!F10</f>
        <v>0.161</v>
      </c>
      <c r="G4" s="176">
        <f>Assumptions!G10</f>
        <v>0.13500000000000001</v>
      </c>
      <c r="H4" s="176">
        <f>Assumptions!H10</f>
        <v>0.14000000000000001</v>
      </c>
      <c r="I4" s="176">
        <f>Assumptions!I10</f>
        <v>0.15</v>
      </c>
      <c r="J4" s="176">
        <f>Assumptions!J10</f>
        <v>0.16</v>
      </c>
      <c r="K4" s="209"/>
      <c r="L4" s="209"/>
    </row>
    <row r="5" spans="1:12" x14ac:dyDescent="0.25">
      <c r="B5" s="30" t="s">
        <v>43</v>
      </c>
      <c r="C5" s="31"/>
      <c r="D5" s="31"/>
      <c r="E5" s="31"/>
      <c r="F5" s="176">
        <f>Assumptions!F11</f>
        <v>0.75352940425097081</v>
      </c>
      <c r="G5" s="176">
        <f>Assumptions!G11</f>
        <v>0.74852940425097081</v>
      </c>
      <c r="H5" s="176">
        <f>Assumptions!H11</f>
        <v>0.7435294042509708</v>
      </c>
      <c r="I5" s="176">
        <f>Assumptions!I11</f>
        <v>0.7385294042509708</v>
      </c>
      <c r="J5" s="176">
        <f>Assumptions!J11</f>
        <v>0.7335294042509708</v>
      </c>
      <c r="K5" s="209"/>
      <c r="L5" s="209"/>
    </row>
    <row r="6" spans="1:12" x14ac:dyDescent="0.25">
      <c r="B6" s="30" t="s">
        <v>44</v>
      </c>
      <c r="C6" s="31"/>
      <c r="D6" s="31"/>
      <c r="E6" s="31"/>
      <c r="F6" s="176">
        <f>Assumptions!F12</f>
        <v>0.20824468628653181</v>
      </c>
      <c r="G6" s="176">
        <f>Assumptions!G12</f>
        <v>0.20324468628653181</v>
      </c>
      <c r="H6" s="176">
        <f>Assumptions!H12</f>
        <v>0.1982446862865318</v>
      </c>
      <c r="I6" s="176">
        <f>Assumptions!I12</f>
        <v>0.1932446862865318</v>
      </c>
      <c r="J6" s="176">
        <f>Assumptions!J12</f>
        <v>0.18824468628653179</v>
      </c>
      <c r="K6" s="209"/>
      <c r="L6" s="209"/>
    </row>
    <row r="7" spans="1:12" x14ac:dyDescent="0.25">
      <c r="A7" s="87"/>
      <c r="B7" s="4" t="s">
        <v>45</v>
      </c>
      <c r="C7" s="30"/>
      <c r="D7" s="30"/>
      <c r="E7" s="30"/>
      <c r="F7" s="177">
        <f>Assumptions!F13</f>
        <v>0</v>
      </c>
      <c r="G7" s="177">
        <f>Assumptions!G13</f>
        <v>0</v>
      </c>
      <c r="H7" s="177">
        <f>Assumptions!H13</f>
        <v>0</v>
      </c>
      <c r="I7" s="177">
        <f>Assumptions!I13</f>
        <v>0</v>
      </c>
      <c r="J7" s="177">
        <f>Assumptions!J13</f>
        <v>0</v>
      </c>
      <c r="K7" s="210"/>
      <c r="L7" s="210"/>
    </row>
    <row r="8" spans="1:12" x14ac:dyDescent="0.25">
      <c r="A8" s="87"/>
      <c r="B8" s="4" t="s">
        <v>46</v>
      </c>
      <c r="C8" s="30"/>
      <c r="D8" s="30"/>
      <c r="E8" s="30"/>
      <c r="F8" s="178">
        <f>Assumptions!F14</f>
        <v>0</v>
      </c>
      <c r="G8" s="178">
        <f>Assumptions!G14</f>
        <v>0</v>
      </c>
      <c r="H8" s="178">
        <f>Assumptions!H14</f>
        <v>0</v>
      </c>
      <c r="I8" s="178">
        <f>Assumptions!I14</f>
        <v>0</v>
      </c>
      <c r="J8" s="178">
        <f>Assumptions!J14</f>
        <v>0</v>
      </c>
      <c r="K8" s="211"/>
      <c r="L8" s="211"/>
    </row>
    <row r="9" spans="1:12" x14ac:dyDescent="0.25">
      <c r="B9" s="4" t="s">
        <v>144</v>
      </c>
      <c r="F9" s="178">
        <f>Assumptions!F15</f>
        <v>0</v>
      </c>
      <c r="G9" s="178">
        <f>Assumptions!G15</f>
        <v>0</v>
      </c>
      <c r="H9" s="178">
        <f>Assumptions!H15</f>
        <v>0</v>
      </c>
      <c r="I9" s="178">
        <f>Assumptions!I15</f>
        <v>0</v>
      </c>
      <c r="J9" s="178">
        <f>Assumptions!J15</f>
        <v>0</v>
      </c>
      <c r="K9" s="211"/>
      <c r="L9" s="211"/>
    </row>
    <row r="10" spans="1:12" x14ac:dyDescent="0.25">
      <c r="B10" s="30" t="s">
        <v>47</v>
      </c>
      <c r="C10" s="43"/>
      <c r="D10" s="43"/>
      <c r="E10" s="43"/>
      <c r="F10" s="176">
        <f>Assumptions!F16</f>
        <v>0.24122868817810361</v>
      </c>
      <c r="G10" s="176">
        <f>Assumptions!G16</f>
        <v>0.24122868817810361</v>
      </c>
      <c r="H10" s="176">
        <f>Assumptions!H16</f>
        <v>0.24122868817810361</v>
      </c>
      <c r="I10" s="176">
        <f>Assumptions!I16</f>
        <v>0.24122868817810361</v>
      </c>
      <c r="J10" s="176">
        <f>Assumptions!J16</f>
        <v>0.24122868817810361</v>
      </c>
      <c r="K10" s="209"/>
      <c r="L10" s="209"/>
    </row>
    <row r="11" spans="1:12" x14ac:dyDescent="0.25">
      <c r="B11" s="4" t="s">
        <v>48</v>
      </c>
      <c r="C11" s="30"/>
      <c r="D11" s="30"/>
      <c r="E11" s="39"/>
      <c r="F11" s="178">
        <f>Assumptions!F17</f>
        <v>39.83</v>
      </c>
      <c r="G11" s="178">
        <f>Assumptions!G17</f>
        <v>39.83</v>
      </c>
      <c r="H11" s="178">
        <f>Assumptions!H17</f>
        <v>39.83</v>
      </c>
      <c r="I11" s="178">
        <f>Assumptions!I17</f>
        <v>39.83</v>
      </c>
      <c r="J11" s="178">
        <f>Assumptions!J17</f>
        <v>39.83</v>
      </c>
      <c r="K11" s="211"/>
      <c r="L11" s="211"/>
    </row>
    <row r="12" spans="1:12" x14ac:dyDescent="0.25">
      <c r="B12" s="4" t="s">
        <v>49</v>
      </c>
      <c r="C12" s="30"/>
      <c r="D12" s="30"/>
      <c r="E12" s="39"/>
      <c r="F12" s="178">
        <f>Assumptions!F18</f>
        <v>44.203000000000003</v>
      </c>
      <c r="G12" s="178">
        <f>Assumptions!G18</f>
        <v>44.203000000000003</v>
      </c>
      <c r="H12" s="178">
        <f>Assumptions!H18</f>
        <v>44.203000000000003</v>
      </c>
      <c r="I12" s="178">
        <f>Assumptions!I18</f>
        <v>44.203000000000003</v>
      </c>
      <c r="J12" s="178">
        <f>Assumptions!J18</f>
        <v>44.203000000000003</v>
      </c>
      <c r="K12" s="211"/>
      <c r="L12" s="211"/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9" t="s">
        <v>41</v>
      </c>
      <c r="B14" s="180"/>
      <c r="C14" s="151">
        <f>C34</f>
        <v>44926</v>
      </c>
      <c r="D14" s="151">
        <f t="shared" ref="D14:J14" si="1">D34</f>
        <v>45291</v>
      </c>
      <c r="E14" s="151">
        <f t="shared" si="1"/>
        <v>45657</v>
      </c>
      <c r="F14" s="151">
        <f t="shared" si="1"/>
        <v>46022</v>
      </c>
      <c r="G14" s="151">
        <f t="shared" si="1"/>
        <v>46022</v>
      </c>
      <c r="H14" s="151">
        <f t="shared" si="1"/>
        <v>46022</v>
      </c>
      <c r="I14" s="151">
        <f t="shared" si="1"/>
        <v>46022</v>
      </c>
      <c r="J14" s="151">
        <f t="shared" si="1"/>
        <v>46022</v>
      </c>
      <c r="K14" s="207"/>
      <c r="L14" s="207"/>
    </row>
    <row r="15" spans="1:12" x14ac:dyDescent="0.25">
      <c r="B15" s="4" t="s">
        <v>50</v>
      </c>
      <c r="C15" s="98">
        <v>900.48599999999999</v>
      </c>
      <c r="D15" s="124">
        <f>1087.533</f>
        <v>1087.5329999999999</v>
      </c>
      <c r="E15" s="22">
        <v>1252.6079999999999</v>
      </c>
      <c r="F15" s="4">
        <f>E15*(1+F4)</f>
        <v>1454.2778880000001</v>
      </c>
      <c r="G15" s="4">
        <f t="shared" ref="G15:J15" si="2">F15*(1+G4)</f>
        <v>1650.6054028800002</v>
      </c>
      <c r="H15" s="4">
        <f t="shared" si="2"/>
        <v>1881.6901592832003</v>
      </c>
      <c r="I15" s="4">
        <f t="shared" si="2"/>
        <v>2163.9436831756802</v>
      </c>
      <c r="J15" s="4">
        <f t="shared" si="2"/>
        <v>2510.174672483789</v>
      </c>
    </row>
    <row r="16" spans="1:12" x14ac:dyDescent="0.25">
      <c r="B16" s="4" t="s">
        <v>156</v>
      </c>
      <c r="C16" s="124">
        <f>261.584+257.358+129.65+68.508</f>
        <v>717.1</v>
      </c>
      <c r="D16" s="124">
        <f>305.041+304.254+149.449+79.846</f>
        <v>838.59000000000015</v>
      </c>
      <c r="E16" s="22">
        <f>339.94+178.381+93.069+338.75</f>
        <v>950.14</v>
      </c>
      <c r="F16" s="174">
        <f>F15*F5</f>
        <v>1095.8411505600002</v>
      </c>
      <c r="G16" s="174">
        <f t="shared" ref="G16:J16" si="3">G15*G5</f>
        <v>1235.5266788712001</v>
      </c>
      <c r="H16" s="174">
        <f t="shared" si="3"/>
        <v>1399.0919631167524</v>
      </c>
      <c r="I16" s="174">
        <f t="shared" si="3"/>
        <v>1598.1360391683866</v>
      </c>
      <c r="J16" s="174">
        <f t="shared" si="3"/>
        <v>1841.2869320729094</v>
      </c>
      <c r="K16" s="208"/>
      <c r="L16" s="208"/>
    </row>
    <row r="17" spans="1:12" x14ac:dyDescent="0.25">
      <c r="B17" s="4" t="s">
        <v>51</v>
      </c>
      <c r="C17" s="124">
        <f>120.009+15.05+72.796</f>
        <v>207.85500000000002</v>
      </c>
      <c r="D17" s="124">
        <f>129.542+91.242+19.231</f>
        <v>240.01499999999999</v>
      </c>
      <c r="E17" s="22">
        <f>149.097+102.468+15.547</f>
        <v>267.11200000000002</v>
      </c>
      <c r="F17" s="174">
        <f>F15*F6</f>
        <v>302.84564256000004</v>
      </c>
      <c r="G17" s="174">
        <f t="shared" ref="G17:J17" si="4">G15*G6</f>
        <v>335.47677729120005</v>
      </c>
      <c r="H17" s="174">
        <f t="shared" si="4"/>
        <v>373.03507531555209</v>
      </c>
      <c r="I17" s="174">
        <f t="shared" si="4"/>
        <v>418.17061819700649</v>
      </c>
      <c r="J17" s="174">
        <f t="shared" si="4"/>
        <v>472.52704374610852</v>
      </c>
      <c r="K17" s="208"/>
      <c r="L17" s="208"/>
    </row>
    <row r="18" spans="1:12" s="11" customFormat="1" x14ac:dyDescent="0.25">
      <c r="A18" s="11" t="s">
        <v>124</v>
      </c>
      <c r="B18" s="17" t="s">
        <v>54</v>
      </c>
      <c r="C18" s="18">
        <f>C15-SUM(C16:C17)</f>
        <v>-24.469000000000051</v>
      </c>
      <c r="D18" s="18">
        <f>D15-SUM(D16:D17)</f>
        <v>8.9279999999998836</v>
      </c>
      <c r="E18" s="18">
        <f>E15-SUM(E16:E17)</f>
        <v>35.355999999999995</v>
      </c>
      <c r="F18" s="18">
        <f>F15-SUM(F16:F17)</f>
        <v>55.591094879999901</v>
      </c>
      <c r="G18" s="18">
        <f t="shared" ref="G18:J18" si="5">G15-SUM(G16:G17)</f>
        <v>79.601946717599958</v>
      </c>
      <c r="H18" s="18">
        <f t="shared" si="5"/>
        <v>109.56312085089576</v>
      </c>
      <c r="I18" s="18">
        <f t="shared" si="5"/>
        <v>147.63702581028724</v>
      </c>
      <c r="J18" s="18">
        <f t="shared" si="5"/>
        <v>196.36069666477124</v>
      </c>
    </row>
    <row r="19" spans="1:12" s="11" customFormat="1" x14ac:dyDescent="0.25">
      <c r="E19" s="35"/>
    </row>
    <row r="20" spans="1:12" s="11" customFormat="1" x14ac:dyDescent="0.25">
      <c r="B20" s="4" t="s">
        <v>15</v>
      </c>
      <c r="C20" s="125">
        <f>72.796</f>
        <v>72.796000000000006</v>
      </c>
      <c r="D20" s="125">
        <v>91.242000000000004</v>
      </c>
      <c r="E20" s="25">
        <v>149.09700000000001</v>
      </c>
      <c r="F20" s="4">
        <f>Calcs!F8</f>
        <v>131.67939754002663</v>
      </c>
      <c r="G20" s="4">
        <f>Calcs!G8</f>
        <v>134.1564250132727</v>
      </c>
      <c r="H20" s="4">
        <f>Calcs!H8</f>
        <v>137.91836342475412</v>
      </c>
      <c r="I20" s="4">
        <f>Calcs!I8</f>
        <v>142.96390004093098</v>
      </c>
      <c r="J20" s="4">
        <f>Calcs!J8</f>
        <v>149.41676568559041</v>
      </c>
      <c r="K20" s="4"/>
      <c r="L20" s="4"/>
    </row>
    <row r="21" spans="1:12" s="11" customFormat="1" x14ac:dyDescent="0.25">
      <c r="B21" s="4" t="s">
        <v>53</v>
      </c>
      <c r="C21" s="98">
        <v>0</v>
      </c>
      <c r="D21" s="98">
        <v>0</v>
      </c>
      <c r="E21" s="126">
        <v>0</v>
      </c>
      <c r="F21" s="4">
        <f>F7</f>
        <v>0</v>
      </c>
      <c r="G21" s="4">
        <f t="shared" ref="G21:J21" si="6">G7</f>
        <v>0</v>
      </c>
      <c r="H21" s="4">
        <f t="shared" si="6"/>
        <v>0</v>
      </c>
      <c r="I21" s="4">
        <f t="shared" si="6"/>
        <v>0</v>
      </c>
      <c r="J21" s="4">
        <f t="shared" si="6"/>
        <v>0</v>
      </c>
      <c r="K21" s="4"/>
      <c r="L21" s="4"/>
    </row>
    <row r="22" spans="1:12" s="129" customFormat="1" x14ac:dyDescent="0.25">
      <c r="A22" s="129" t="s">
        <v>124</v>
      </c>
      <c r="B22" s="130" t="s">
        <v>52</v>
      </c>
      <c r="C22" s="131">
        <f>SUM(C18,C20:C21)</f>
        <v>48.326999999999956</v>
      </c>
      <c r="D22" s="131">
        <f t="shared" ref="D22:F22" si="7">SUM(D18,D20:D21)</f>
        <v>100.16999999999989</v>
      </c>
      <c r="E22" s="131">
        <f t="shared" si="7"/>
        <v>184.453</v>
      </c>
      <c r="F22" s="131">
        <f t="shared" si="7"/>
        <v>187.27049242002653</v>
      </c>
      <c r="G22" s="131">
        <f t="shared" ref="G22:J22" si="8">SUM(G18,G20:G21)</f>
        <v>213.75837173087265</v>
      </c>
      <c r="H22" s="131">
        <f t="shared" si="8"/>
        <v>247.48148427564988</v>
      </c>
      <c r="I22" s="131">
        <f t="shared" si="8"/>
        <v>290.60092585121822</v>
      </c>
      <c r="J22" s="131">
        <f t="shared" si="8"/>
        <v>345.77746235036165</v>
      </c>
    </row>
    <row r="23" spans="1:12" s="11" customFormat="1" x14ac:dyDescent="0.25">
      <c r="C23" s="13"/>
      <c r="D23" s="4"/>
      <c r="E23" s="36"/>
      <c r="F23" s="4"/>
      <c r="G23" s="4"/>
      <c r="H23" s="4"/>
      <c r="I23" s="4"/>
      <c r="J23" s="4"/>
      <c r="K23" s="13"/>
      <c r="L23" s="13"/>
    </row>
    <row r="24" spans="1:12" s="11" customFormat="1" x14ac:dyDescent="0.25">
      <c r="B24" s="4" t="s">
        <v>55</v>
      </c>
      <c r="C24" s="96">
        <v>-2.4249999999999998</v>
      </c>
      <c r="D24" s="96">
        <v>-3.0070000000000001</v>
      </c>
      <c r="E24" s="97">
        <v>-32.368000000000002</v>
      </c>
      <c r="F24" s="4">
        <f>F8</f>
        <v>0</v>
      </c>
      <c r="G24" s="4">
        <f t="shared" ref="G24:J24" si="9">G8</f>
        <v>0</v>
      </c>
      <c r="H24" s="4">
        <f t="shared" si="9"/>
        <v>0</v>
      </c>
      <c r="I24" s="4">
        <f t="shared" si="9"/>
        <v>0</v>
      </c>
      <c r="J24" s="4">
        <f t="shared" si="9"/>
        <v>0</v>
      </c>
      <c r="K24" s="4"/>
      <c r="L24" s="4"/>
    </row>
    <row r="25" spans="1:12" s="11" customFormat="1" x14ac:dyDescent="0.25">
      <c r="B25" s="4" t="s">
        <v>56</v>
      </c>
      <c r="C25" s="96">
        <v>4.1269999999999998</v>
      </c>
      <c r="D25" s="96">
        <v>12.776</v>
      </c>
      <c r="E25" s="97">
        <v>13.250999999999999</v>
      </c>
      <c r="F25" s="4">
        <f>F9</f>
        <v>0</v>
      </c>
      <c r="G25" s="4">
        <f t="shared" ref="G25:J25" si="10">G9</f>
        <v>0</v>
      </c>
      <c r="H25" s="4">
        <f t="shared" si="10"/>
        <v>0</v>
      </c>
      <c r="I25" s="4">
        <f t="shared" si="10"/>
        <v>0</v>
      </c>
      <c r="J25" s="4">
        <f t="shared" si="10"/>
        <v>0</v>
      </c>
      <c r="K25" s="4"/>
      <c r="L25" s="4"/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/>
      <c r="D27" s="9"/>
      <c r="E27" s="45"/>
      <c r="F27" s="9">
        <f>IF(circ=1,Debt!F33,0)</f>
        <v>0</v>
      </c>
      <c r="G27" s="9">
        <f>IF(circ=1,Debt!G33,0)</f>
        <v>0</v>
      </c>
      <c r="H27" s="9">
        <f>IF(circ=1,Debt!H33,0)</f>
        <v>0</v>
      </c>
      <c r="I27" s="9">
        <f>IF(circ=1,Debt!I33,0)</f>
        <v>0</v>
      </c>
      <c r="J27" s="9">
        <f>IF(circ=1,Debt!J33,0)</f>
        <v>0</v>
      </c>
      <c r="K27" s="184"/>
      <c r="L27" s="184"/>
    </row>
    <row r="28" spans="1:12" x14ac:dyDescent="0.25">
      <c r="B28" s="4" t="s">
        <v>32</v>
      </c>
      <c r="C28" s="9">
        <v>-1.518</v>
      </c>
      <c r="D28" s="9">
        <v>-1.7170000000000001</v>
      </c>
      <c r="E28" s="45">
        <v>-2.0449999999999999</v>
      </c>
      <c r="F28" s="9">
        <f>IF(circ=1,Debt!F22,0)</f>
        <v>0</v>
      </c>
      <c r="G28" s="9">
        <f>IF(circ=1,Debt!G22,0)</f>
        <v>0</v>
      </c>
      <c r="H28" s="9">
        <f>IF(circ=1,Debt!H22,0)</f>
        <v>0</v>
      </c>
      <c r="I28" s="9">
        <f>IF(circ=1,Debt!I22,0)</f>
        <v>0</v>
      </c>
      <c r="J28" s="9">
        <f>IF(circ=1,Debt!J22,0)</f>
        <v>0</v>
      </c>
      <c r="K28" s="184"/>
      <c r="L28" s="184"/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124</v>
      </c>
      <c r="B30" s="17" t="s">
        <v>84</v>
      </c>
      <c r="C30" s="18">
        <f t="shared" ref="C30:D30" si="11">C18+SUM(C25:C28)</f>
        <v>-21.860000000000049</v>
      </c>
      <c r="D30" s="18">
        <f t="shared" si="11"/>
        <v>19.986999999999881</v>
      </c>
      <c r="E30" s="18">
        <f>E18+SUM(E24:E28)</f>
        <v>14.193999999999988</v>
      </c>
      <c r="F30" s="18">
        <f>F18+SUM(F24:F28)</f>
        <v>55.591094879999901</v>
      </c>
      <c r="G30" s="18">
        <f t="shared" ref="G30:J30" si="12">G18+SUM(G24:G28)</f>
        <v>79.601946717599958</v>
      </c>
      <c r="H30" s="18">
        <f t="shared" si="12"/>
        <v>109.56312085089576</v>
      </c>
      <c r="I30" s="18">
        <f t="shared" si="12"/>
        <v>147.63702581028724</v>
      </c>
      <c r="J30" s="18">
        <f t="shared" si="12"/>
        <v>196.36069666477124</v>
      </c>
    </row>
    <row r="31" spans="1:12" x14ac:dyDescent="0.25">
      <c r="E31" s="37"/>
      <c r="H31" s="4"/>
    </row>
    <row r="32" spans="1:12" x14ac:dyDescent="0.25">
      <c r="B32" s="4" t="s">
        <v>57</v>
      </c>
      <c r="C32" s="133">
        <v>-1.18</v>
      </c>
      <c r="D32" s="4">
        <v>0.72599999999999998</v>
      </c>
      <c r="E32" s="59">
        <v>3.4239999999999999</v>
      </c>
      <c r="F32" s="4">
        <f>F10*F30</f>
        <v>13.410166892286869</v>
      </c>
      <c r="G32" s="4">
        <f t="shared" ref="G32:J32" si="13">G10*G30</f>
        <v>19.202273183109938</v>
      </c>
      <c r="H32" s="4">
        <f t="shared" si="13"/>
        <v>26.429767915560614</v>
      </c>
      <c r="I32" s="4">
        <f t="shared" si="13"/>
        <v>35.614286062732418</v>
      </c>
      <c r="J32" s="4">
        <f t="shared" si="13"/>
        <v>47.367833266181293</v>
      </c>
    </row>
    <row r="33" spans="1:12" s="11" customFormat="1" x14ac:dyDescent="0.25">
      <c r="A33" s="11" t="s">
        <v>124</v>
      </c>
      <c r="B33" s="17" t="s">
        <v>58</v>
      </c>
      <c r="C33" s="18">
        <f>C30-C32</f>
        <v>-20.680000000000049</v>
      </c>
      <c r="D33" s="34">
        <f t="shared" ref="D33:F33" si="14">D30-D32</f>
        <v>19.260999999999882</v>
      </c>
      <c r="E33" s="18">
        <f t="shared" si="14"/>
        <v>10.769999999999989</v>
      </c>
      <c r="F33" s="18">
        <f t="shared" si="14"/>
        <v>42.180927987713034</v>
      </c>
      <c r="G33" s="18">
        <f t="shared" ref="G33:J33" si="15">G30-G32</f>
        <v>60.39967353449002</v>
      </c>
      <c r="H33" s="18">
        <f t="shared" si="15"/>
        <v>83.133352935335139</v>
      </c>
      <c r="I33" s="18">
        <f t="shared" si="15"/>
        <v>112.02273974755482</v>
      </c>
      <c r="J33" s="18">
        <f t="shared" si="15"/>
        <v>148.99286339858995</v>
      </c>
    </row>
    <row r="34" spans="1:12" x14ac:dyDescent="0.25">
      <c r="A34" s="20" t="s">
        <v>59</v>
      </c>
      <c r="B34" s="19"/>
      <c r="C34" s="55">
        <v>44926</v>
      </c>
      <c r="D34" s="55">
        <v>45291</v>
      </c>
      <c r="E34" s="55">
        <v>45657</v>
      </c>
      <c r="F34" s="55">
        <v>46022</v>
      </c>
      <c r="G34" s="55">
        <v>46022</v>
      </c>
      <c r="H34" s="55">
        <v>46022</v>
      </c>
      <c r="I34" s="55">
        <v>46022</v>
      </c>
      <c r="J34" s="55">
        <v>46022</v>
      </c>
      <c r="K34" s="204"/>
      <c r="L34" s="204"/>
    </row>
    <row r="35" spans="1:12" x14ac:dyDescent="0.25">
      <c r="B35" s="4" t="s">
        <v>48</v>
      </c>
      <c r="C35" s="10">
        <v>39.237000000000002</v>
      </c>
      <c r="D35" s="10">
        <v>39.418999999999997</v>
      </c>
      <c r="E35" s="22">
        <v>39.83</v>
      </c>
      <c r="F35" s="175">
        <f>F11</f>
        <v>39.83</v>
      </c>
      <c r="G35" s="175">
        <f t="shared" ref="G35:J35" si="16">G11</f>
        <v>39.83</v>
      </c>
      <c r="H35" s="175">
        <f t="shared" si="16"/>
        <v>39.83</v>
      </c>
      <c r="I35" s="175">
        <f t="shared" si="16"/>
        <v>39.83</v>
      </c>
      <c r="J35" s="175">
        <f t="shared" si="16"/>
        <v>39.83</v>
      </c>
      <c r="K35" s="208"/>
      <c r="L35" s="208"/>
    </row>
    <row r="36" spans="1:12" x14ac:dyDescent="0.25">
      <c r="B36" s="4" t="s">
        <v>49</v>
      </c>
      <c r="C36" s="10">
        <v>39.237000000000002</v>
      </c>
      <c r="D36" s="10">
        <v>43.899000000000001</v>
      </c>
      <c r="E36" s="22">
        <v>44.203000000000003</v>
      </c>
      <c r="F36" s="124">
        <v>44.203000000000003</v>
      </c>
      <c r="G36" s="124">
        <v>44.203000000000003</v>
      </c>
      <c r="H36" s="124">
        <v>44.203000000000003</v>
      </c>
      <c r="I36" s="124">
        <v>44.203000000000003</v>
      </c>
      <c r="J36" s="124">
        <v>44.203000000000003</v>
      </c>
      <c r="K36" s="208"/>
      <c r="L36" s="208"/>
    </row>
    <row r="37" spans="1:12" x14ac:dyDescent="0.25">
      <c r="B37" s="4" t="s">
        <v>60</v>
      </c>
      <c r="C37" s="182">
        <f>C33/C35</f>
        <v>-0.52705354639753421</v>
      </c>
      <c r="D37" s="182">
        <f>D33/D35</f>
        <v>0.48862223800704946</v>
      </c>
      <c r="E37" s="183">
        <f>E33/E35</f>
        <v>0.27039919658548806</v>
      </c>
      <c r="F37" s="174">
        <f>F33/F35</f>
        <v>1.0590240519134582</v>
      </c>
      <c r="G37" s="174">
        <f t="shared" ref="G37:J37" si="17">G33/G35</f>
        <v>1.5164366943130811</v>
      </c>
      <c r="H37" s="174">
        <f t="shared" si="17"/>
        <v>2.0872044422629963</v>
      </c>
      <c r="I37" s="174">
        <f t="shared" si="17"/>
        <v>2.8125217109604526</v>
      </c>
      <c r="J37" s="174">
        <f t="shared" si="17"/>
        <v>3.7407196434494088</v>
      </c>
      <c r="K37" s="208"/>
      <c r="L37" s="208"/>
    </row>
    <row r="38" spans="1:12" s="11" customFormat="1" x14ac:dyDescent="0.25">
      <c r="A38" s="11" t="s">
        <v>124</v>
      </c>
      <c r="B38" s="17" t="s">
        <v>61</v>
      </c>
      <c r="C38" s="181">
        <f>C33/C36</f>
        <v>-0.52705354639753421</v>
      </c>
      <c r="D38" s="181">
        <f>D33/D36</f>
        <v>0.43875714708763031</v>
      </c>
      <c r="E38" s="181">
        <f>E33/E36</f>
        <v>0.24364862113431188</v>
      </c>
      <c r="F38" s="181">
        <f>F33/F36</f>
        <v>0.95425486930102099</v>
      </c>
      <c r="G38" s="181">
        <f t="shared" ref="G38:J38" si="18">G33/G36</f>
        <v>1.3664157078589692</v>
      </c>
      <c r="H38" s="181">
        <f t="shared" si="18"/>
        <v>1.880717438529854</v>
      </c>
      <c r="I38" s="181">
        <f t="shared" si="18"/>
        <v>2.5342791156155648</v>
      </c>
      <c r="J38" s="181">
        <f t="shared" si="18"/>
        <v>3.3706504852292816</v>
      </c>
      <c r="K38" s="212"/>
      <c r="L38" s="212"/>
    </row>
    <row r="39" spans="1:12" x14ac:dyDescent="0.25">
      <c r="C39" s="14"/>
      <c r="D39" s="14"/>
      <c r="E39" s="38"/>
      <c r="F39" s="14"/>
      <c r="G39" s="14"/>
      <c r="H39" s="14"/>
      <c r="I39" s="14"/>
      <c r="J39" s="14"/>
    </row>
    <row r="40" spans="1:12" x14ac:dyDescent="0.25">
      <c r="D40" s="14"/>
      <c r="E40" s="14"/>
      <c r="F40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4"/>
      <c r="C2" s="265">
        <v>2022</v>
      </c>
      <c r="D2" s="265">
        <f>C2+1</f>
        <v>2023</v>
      </c>
      <c r="E2" s="265">
        <f t="shared" ref="E2:J2" si="0">D2+1</f>
        <v>2024</v>
      </c>
      <c r="F2" s="265">
        <f t="shared" si="0"/>
        <v>2025</v>
      </c>
      <c r="G2" s="265">
        <f t="shared" si="0"/>
        <v>2026</v>
      </c>
      <c r="H2" s="265">
        <f t="shared" si="0"/>
        <v>2027</v>
      </c>
      <c r="I2" s="265">
        <f t="shared" si="0"/>
        <v>2028</v>
      </c>
      <c r="J2" s="265">
        <f t="shared" si="0"/>
        <v>2029</v>
      </c>
      <c r="K2" s="213"/>
      <c r="L2" s="213"/>
    </row>
    <row r="3" spans="1:12" x14ac:dyDescent="0.25">
      <c r="K3" s="6"/>
      <c r="L3" s="6"/>
    </row>
    <row r="4" spans="1:12" x14ac:dyDescent="0.25">
      <c r="B4" s="4" t="s">
        <v>139</v>
      </c>
      <c r="C4" s="43"/>
      <c r="D4" s="43"/>
      <c r="E4" s="44"/>
      <c r="F4" s="103">
        <f>Assumptions!F37</f>
        <v>0.02</v>
      </c>
      <c r="G4" s="103">
        <f>F4</f>
        <v>0.02</v>
      </c>
      <c r="H4" s="103">
        <f t="shared" ref="H4:J4" si="1">G4</f>
        <v>0.02</v>
      </c>
      <c r="I4" s="103">
        <f t="shared" si="1"/>
        <v>0.02</v>
      </c>
      <c r="J4" s="103">
        <f t="shared" si="1"/>
        <v>0.02</v>
      </c>
      <c r="K4" s="171"/>
      <c r="L4" s="171"/>
    </row>
    <row r="5" spans="1:12" x14ac:dyDescent="0.25">
      <c r="B5" s="4" t="s">
        <v>152</v>
      </c>
      <c r="C5" s="43"/>
      <c r="D5" s="43"/>
      <c r="E5" s="44"/>
      <c r="F5" s="103">
        <f>Assumptions!F38</f>
        <v>1.5716808450848153E-2</v>
      </c>
      <c r="G5" s="103">
        <f>Assumptions!G38</f>
        <v>1.5716808450848153E-2</v>
      </c>
      <c r="H5" s="103">
        <f>Assumptions!H38</f>
        <v>1.5716808450848153E-2</v>
      </c>
      <c r="I5" s="103">
        <f>Assumptions!I38</f>
        <v>1.5716808450848153E-2</v>
      </c>
      <c r="J5" s="103">
        <f>Assumptions!J38</f>
        <v>1.5716808450848153E-2</v>
      </c>
      <c r="K5" s="171"/>
      <c r="L5" s="171"/>
    </row>
    <row r="6" spans="1:12" x14ac:dyDescent="0.25">
      <c r="B6" s="4" t="s">
        <v>63</v>
      </c>
      <c r="C6" s="43"/>
      <c r="D6" s="43"/>
      <c r="E6" s="44"/>
      <c r="F6" s="103">
        <f>Assumptions!F39</f>
        <v>6.3295935335845243E-3</v>
      </c>
      <c r="G6" s="103">
        <f>Assumptions!G39</f>
        <v>6.3295935335845243E-3</v>
      </c>
      <c r="H6" s="103">
        <f>Assumptions!H39</f>
        <v>6.3295935335845243E-3</v>
      </c>
      <c r="I6" s="103">
        <f>Assumptions!I39</f>
        <v>6.3295935335845243E-3</v>
      </c>
      <c r="J6" s="103">
        <f>Assumptions!J39</f>
        <v>6.3295935335845243E-3</v>
      </c>
      <c r="K6" s="171"/>
      <c r="L6" s="171"/>
    </row>
    <row r="7" spans="1:12" x14ac:dyDescent="0.25">
      <c r="B7" s="4" t="s">
        <v>64</v>
      </c>
      <c r="C7" s="43"/>
      <c r="D7" s="43"/>
      <c r="E7" s="44"/>
      <c r="F7" s="103">
        <f>Assumptions!F40</f>
        <v>1.7404487277743717E-2</v>
      </c>
      <c r="G7" s="103">
        <f>Assumptions!G40</f>
        <v>1.7404487277743717E-2</v>
      </c>
      <c r="H7" s="103">
        <f>Assumptions!H40</f>
        <v>1.7404487277743717E-2</v>
      </c>
      <c r="I7" s="103">
        <f>Assumptions!I40</f>
        <v>1.7404487277743717E-2</v>
      </c>
      <c r="J7" s="103">
        <f>Assumptions!J40</f>
        <v>1.7404487277743717E-2</v>
      </c>
      <c r="K7" s="171"/>
      <c r="L7" s="171"/>
    </row>
    <row r="8" spans="1:12" x14ac:dyDescent="0.25">
      <c r="A8" s="7"/>
      <c r="C8" s="30"/>
      <c r="D8" s="30"/>
      <c r="E8" s="30"/>
      <c r="F8" s="104"/>
      <c r="G8" s="104"/>
      <c r="H8" s="104"/>
      <c r="I8" s="104"/>
      <c r="J8" s="104"/>
      <c r="K8" s="171"/>
      <c r="L8" s="171"/>
    </row>
    <row r="9" spans="1:12" x14ac:dyDescent="0.25">
      <c r="B9" s="4" t="s">
        <v>65</v>
      </c>
      <c r="C9" s="43"/>
      <c r="D9" s="43"/>
      <c r="E9" s="44"/>
      <c r="F9" s="103">
        <f>Assumptions!F43</f>
        <v>0.28144798692008999</v>
      </c>
      <c r="G9" s="103">
        <f>Assumptions!G43</f>
        <v>0.28144798692008999</v>
      </c>
      <c r="H9" s="103">
        <f>Assumptions!H43</f>
        <v>0.28144798692008999</v>
      </c>
      <c r="I9" s="103">
        <f>Assumptions!I43</f>
        <v>0.28144798692008999</v>
      </c>
      <c r="J9" s="103">
        <f>Assumptions!J43</f>
        <v>0.28144798692008999</v>
      </c>
      <c r="K9" s="171"/>
      <c r="L9" s="171"/>
    </row>
    <row r="10" spans="1:12" x14ac:dyDescent="0.25">
      <c r="C10" s="30"/>
      <c r="D10" s="30"/>
      <c r="E10" s="30"/>
      <c r="F10" s="104"/>
      <c r="G10" s="104"/>
      <c r="H10" s="104"/>
      <c r="I10" s="104"/>
      <c r="J10" s="104"/>
      <c r="K10" s="171"/>
      <c r="L10" s="171"/>
    </row>
    <row r="11" spans="1:12" x14ac:dyDescent="0.25">
      <c r="B11" s="4" t="s">
        <v>151</v>
      </c>
      <c r="C11" s="43"/>
      <c r="D11" s="43"/>
      <c r="E11" s="44"/>
      <c r="F11" s="103">
        <f>Assumptions!F47</f>
        <v>0.11791525459405983</v>
      </c>
      <c r="G11" s="103">
        <f>Assumptions!G47</f>
        <v>0.11791525459405983</v>
      </c>
      <c r="H11" s="103">
        <f>Assumptions!H47</f>
        <v>0.11791525459405983</v>
      </c>
      <c r="I11" s="103">
        <f>Assumptions!I47</f>
        <v>0.11791525459405983</v>
      </c>
      <c r="J11" s="103">
        <f>Assumptions!J47</f>
        <v>0.11791525459405983</v>
      </c>
      <c r="K11" s="171"/>
      <c r="L11" s="171"/>
    </row>
    <row r="12" spans="1:12" x14ac:dyDescent="0.25">
      <c r="B12" s="4" t="s">
        <v>66</v>
      </c>
      <c r="C12" s="43"/>
      <c r="D12" s="43"/>
      <c r="E12" s="26"/>
      <c r="F12" s="103">
        <f>Assumptions!F48</f>
        <v>6.0096215256488866E-2</v>
      </c>
      <c r="G12" s="103">
        <f>Assumptions!G48</f>
        <v>6.0096215256488866E-2</v>
      </c>
      <c r="H12" s="103">
        <f>Assumptions!H48</f>
        <v>6.0096215256488866E-2</v>
      </c>
      <c r="I12" s="103">
        <f>Assumptions!I48</f>
        <v>6.0096215256488866E-2</v>
      </c>
      <c r="J12" s="103">
        <f>Assumptions!J48</f>
        <v>6.0096215256488866E-2</v>
      </c>
      <c r="K12" s="171"/>
      <c r="L12" s="171"/>
    </row>
    <row r="13" spans="1:12" x14ac:dyDescent="0.25">
      <c r="B13" s="4" t="s">
        <v>67</v>
      </c>
      <c r="C13" s="43"/>
      <c r="D13" s="43"/>
      <c r="E13" s="44"/>
      <c r="F13" s="257">
        <f>Assumptions!F49</f>
        <v>0.61419773783977116</v>
      </c>
      <c r="G13" s="257">
        <f>Assumptions!G49</f>
        <v>0.61419773783977116</v>
      </c>
      <c r="H13" s="257">
        <f>Assumptions!H49</f>
        <v>0.61419773783977116</v>
      </c>
      <c r="I13" s="257">
        <f>Assumptions!I49</f>
        <v>0.61419773783977116</v>
      </c>
      <c r="J13" s="257">
        <f>Assumptions!J49</f>
        <v>0.61419773783977116</v>
      </c>
      <c r="K13" s="171"/>
      <c r="L13" s="171"/>
    </row>
    <row r="14" spans="1:12" x14ac:dyDescent="0.25">
      <c r="C14" s="43"/>
      <c r="D14" s="43"/>
      <c r="E14" s="43"/>
      <c r="F14" s="104"/>
      <c r="G14" s="104"/>
      <c r="H14" s="104"/>
      <c r="I14" s="104"/>
      <c r="J14" s="104"/>
      <c r="K14" s="171"/>
      <c r="L14" s="171"/>
    </row>
    <row r="15" spans="1:12" ht="15" customHeight="1" x14ac:dyDescent="0.25">
      <c r="A15" s="179" t="s">
        <v>62</v>
      </c>
      <c r="B15" s="180"/>
      <c r="C15" s="254">
        <f>C2</f>
        <v>2022</v>
      </c>
      <c r="D15" s="254">
        <f>D2</f>
        <v>2023</v>
      </c>
      <c r="E15" s="254">
        <f>E2</f>
        <v>2024</v>
      </c>
      <c r="F15" s="254">
        <f>F2</f>
        <v>2025</v>
      </c>
      <c r="G15" s="254">
        <f>G2</f>
        <v>2026</v>
      </c>
      <c r="H15" s="254">
        <f>H2</f>
        <v>2027</v>
      </c>
      <c r="I15" s="254">
        <f>I2</f>
        <v>2028</v>
      </c>
      <c r="J15" s="254">
        <f>J2</f>
        <v>2029</v>
      </c>
      <c r="K15" s="207"/>
      <c r="L15" s="207"/>
    </row>
    <row r="16" spans="1:12" x14ac:dyDescent="0.25">
      <c r="B16" s="4" t="s">
        <v>157</v>
      </c>
      <c r="C16" s="186">
        <f>2%*IncState!C15</f>
        <v>18.009720000000002</v>
      </c>
      <c r="D16" s="98">
        <f>2%*IncState!D15</f>
        <v>21.75066</v>
      </c>
      <c r="E16" s="187">
        <f>2%*IncState!E15</f>
        <v>25.052160000000001</v>
      </c>
      <c r="F16" s="4">
        <f>F4*IncState!F15</f>
        <v>29.08555776</v>
      </c>
      <c r="G16" s="4">
        <f>G4*IncState!G15</f>
        <v>33.012108057600003</v>
      </c>
      <c r="H16" s="4">
        <f>H4*IncState!H15</f>
        <v>37.633803185664007</v>
      </c>
      <c r="I16" s="4">
        <f>I4*IncState!I15</f>
        <v>43.278873663513608</v>
      </c>
      <c r="J16" s="4">
        <f>J4*IncState!J15</f>
        <v>50.203493449675783</v>
      </c>
    </row>
    <row r="17" spans="1:12" x14ac:dyDescent="0.25">
      <c r="B17" s="4" t="s">
        <v>158</v>
      </c>
      <c r="C17" s="186">
        <f>230.521+80.707-C16</f>
        <v>293.21827999999994</v>
      </c>
      <c r="D17" s="186">
        <f>224.653-D16+68.561</f>
        <v>271.46334000000002</v>
      </c>
      <c r="E17" s="187">
        <f>320.714-E16</f>
        <v>295.66183999999998</v>
      </c>
      <c r="F17" s="4">
        <f>MAX(CashFlow!F23,0)</f>
        <v>404.24961141024914</v>
      </c>
      <c r="G17" s="4">
        <f>MAX(CashFlow!G23,0)</f>
        <v>519.04419153139884</v>
      </c>
      <c r="H17" s="4">
        <f>MAX(CashFlow!H23,0)</f>
        <v>661.52897013225663</v>
      </c>
      <c r="I17" s="4">
        <f>MAX(CashFlow!I23,0)</f>
        <v>843.81205706077458</v>
      </c>
      <c r="J17" s="4">
        <f>MAX(CashFlow!J23,0)</f>
        <v>1078.1970178290605</v>
      </c>
    </row>
    <row r="18" spans="1:12" x14ac:dyDescent="0.25">
      <c r="B18" s="4" t="s">
        <v>68</v>
      </c>
      <c r="C18" s="188">
        <v>13.877000000000001</v>
      </c>
      <c r="D18" s="188">
        <v>16.847000000000001</v>
      </c>
      <c r="E18" s="189">
        <v>19.687000000000001</v>
      </c>
      <c r="F18" s="4">
        <f>F5*IncState!F15</f>
        <v>22.856607000000004</v>
      </c>
      <c r="G18" s="4">
        <f>G5*IncState!G15</f>
        <v>25.942248945000006</v>
      </c>
      <c r="H18" s="4">
        <f>H5*IncState!H15</f>
        <v>29.57416379730001</v>
      </c>
      <c r="I18" s="4">
        <f>I5*IncState!I15</f>
        <v>34.010288366895011</v>
      </c>
      <c r="J18" s="4">
        <f>J5*IncState!J15</f>
        <v>39.45193450559821</v>
      </c>
    </row>
    <row r="19" spans="1:12" x14ac:dyDescent="0.25">
      <c r="B19" s="4" t="s">
        <v>69</v>
      </c>
      <c r="C19" s="188">
        <v>4.1840000000000002</v>
      </c>
      <c r="D19" s="188">
        <v>5.4039999999999999</v>
      </c>
      <c r="E19" s="189">
        <v>6.0140000000000002</v>
      </c>
      <c r="F19" s="4">
        <f>F6*IncState!F16</f>
        <v>6.936229060420402</v>
      </c>
      <c r="G19" s="4">
        <f>G6*IncState!G16</f>
        <v>7.8203816771543115</v>
      </c>
      <c r="H19" s="4">
        <f>H6*IncState!H16</f>
        <v>8.8556834426338735</v>
      </c>
      <c r="I19" s="4">
        <f>I6*IncState!I16</f>
        <v>10.115551539308603</v>
      </c>
      <c r="J19" s="4">
        <f>J6*IncState!J16</f>
        <v>11.654597858722374</v>
      </c>
    </row>
    <row r="20" spans="1:12" x14ac:dyDescent="0.25">
      <c r="B20" s="4" t="s">
        <v>70</v>
      </c>
      <c r="C20" s="188">
        <v>14.699</v>
      </c>
      <c r="D20" s="188">
        <v>18.966999999999999</v>
      </c>
      <c r="E20" s="189">
        <v>21.800999999999998</v>
      </c>
      <c r="F20" s="4">
        <f>F7*IncState!F15</f>
        <v>25.310961000000002</v>
      </c>
      <c r="G20" s="4">
        <f>G7*IncState!G15</f>
        <v>28.727940735000004</v>
      </c>
      <c r="H20" s="4">
        <f>H7*IncState!H15</f>
        <v>32.74985243790001</v>
      </c>
      <c r="I20" s="4">
        <f>I7*IncState!I15</f>
        <v>37.662330303585009</v>
      </c>
      <c r="J20" s="4">
        <f>J7*IncState!J15</f>
        <v>43.688303152158603</v>
      </c>
    </row>
    <row r="21" spans="1:12" s="11" customFormat="1" x14ac:dyDescent="0.25">
      <c r="B21" s="11" t="s">
        <v>71</v>
      </c>
      <c r="C21" s="11">
        <f>SUM(C16:C20)</f>
        <v>343.988</v>
      </c>
      <c r="D21" s="11">
        <f>SUM(D16:D20)</f>
        <v>334.43199999999996</v>
      </c>
      <c r="E21" s="24">
        <f t="shared" ref="E21" si="2">SUM(E16:E20)</f>
        <v>368.21600000000001</v>
      </c>
      <c r="F21" s="11">
        <f>SUM(F16:F20)</f>
        <v>488.43896623066962</v>
      </c>
      <c r="G21" s="11">
        <f t="shared" ref="G21:J21" si="3">SUM(G16:G20)</f>
        <v>614.54687094615315</v>
      </c>
      <c r="H21" s="11">
        <f t="shared" si="3"/>
        <v>770.34247299575452</v>
      </c>
      <c r="I21" s="11">
        <f t="shared" si="3"/>
        <v>968.87910093407686</v>
      </c>
      <c r="J21" s="11">
        <f t="shared" si="3"/>
        <v>1223.1953467952155</v>
      </c>
    </row>
    <row r="22" spans="1:12" x14ac:dyDescent="0.25">
      <c r="A22" s="7"/>
      <c r="E22" s="27"/>
      <c r="I22" s="4"/>
      <c r="J22" s="4"/>
    </row>
    <row r="23" spans="1:12" x14ac:dyDescent="0.25">
      <c r="B23" s="4" t="s">
        <v>72</v>
      </c>
      <c r="C23" s="188">
        <f>467.031+367.488</f>
        <v>834.51900000000001</v>
      </c>
      <c r="D23" s="188">
        <f>530.995+398.296</f>
        <v>929.29099999999994</v>
      </c>
      <c r="E23" s="189">
        <f>551.6+424.611</f>
        <v>976.21100000000001</v>
      </c>
      <c r="F23" s="4">
        <f>Calcs!F9</f>
        <v>994.57455201997323</v>
      </c>
      <c r="G23" s="4">
        <f>Calcs!G9</f>
        <v>1022.4638477429004</v>
      </c>
      <c r="H23" s="4">
        <f>Calcs!H9</f>
        <v>1059.8691551609984</v>
      </c>
      <c r="I23" s="4">
        <f>Calcs!I9</f>
        <v>1107.7077581734688</v>
      </c>
      <c r="J23" s="4">
        <f>Calcs!J9</f>
        <v>1167.071022667405</v>
      </c>
    </row>
    <row r="24" spans="1:12" x14ac:dyDescent="0.25">
      <c r="B24" s="4" t="s">
        <v>159</v>
      </c>
      <c r="C24" s="188">
        <v>317.62599999999998</v>
      </c>
      <c r="D24" s="188">
        <f>326.208</f>
        <v>326.20800000000003</v>
      </c>
      <c r="E24" s="189">
        <v>0</v>
      </c>
      <c r="F24" s="132">
        <f>E24-IncState!F21</f>
        <v>0</v>
      </c>
      <c r="G24" s="132">
        <f>F24-IncState!G21</f>
        <v>0</v>
      </c>
      <c r="H24" s="132">
        <f>G24-IncState!H21</f>
        <v>0</v>
      </c>
      <c r="I24" s="132">
        <f>H24-IncState!I21</f>
        <v>0</v>
      </c>
      <c r="J24" s="132">
        <f>I24-IncState!J21</f>
        <v>0</v>
      </c>
      <c r="K24" s="132"/>
      <c r="L24" s="132"/>
    </row>
    <row r="25" spans="1:12" x14ac:dyDescent="0.25">
      <c r="B25" s="4" t="s">
        <v>160</v>
      </c>
      <c r="C25" s="188">
        <v>15.817</v>
      </c>
      <c r="D25" s="188">
        <v>15.926</v>
      </c>
      <c r="E25" s="189">
        <f>341.586+10.958</f>
        <v>352.54400000000004</v>
      </c>
      <c r="F25" s="4">
        <f>F9*IncState!F15</f>
        <v>409.30358400000011</v>
      </c>
      <c r="G25" s="4">
        <f>G9*IncState!G15</f>
        <v>464.55956784000017</v>
      </c>
      <c r="H25" s="4">
        <f>H9*IncState!H15</f>
        <v>529.59790733760019</v>
      </c>
      <c r="I25" s="4">
        <f>I9*IncState!I15</f>
        <v>609.03759343824015</v>
      </c>
      <c r="J25" s="4">
        <f>J9*IncState!J15</f>
        <v>706.48360838835856</v>
      </c>
    </row>
    <row r="26" spans="1:12" s="11" customFormat="1" x14ac:dyDescent="0.25">
      <c r="B26" s="11" t="s">
        <v>73</v>
      </c>
      <c r="C26" s="11">
        <f>SUM(C23:C25)</f>
        <v>1167.962</v>
      </c>
      <c r="D26" s="11">
        <f>SUM(D23:D25)</f>
        <v>1271.425</v>
      </c>
      <c r="E26" s="24">
        <f>SUM(E23:E25)</f>
        <v>1328.7550000000001</v>
      </c>
      <c r="F26" s="11">
        <f>SUM(F23:F25)</f>
        <v>1403.8781360199732</v>
      </c>
      <c r="G26" s="11">
        <f t="shared" ref="G26:J26" si="4">SUM(G23:G25)</f>
        <v>1487.0234155829005</v>
      </c>
      <c r="H26" s="11">
        <f t="shared" si="4"/>
        <v>1589.4670624985986</v>
      </c>
      <c r="I26" s="11">
        <f t="shared" si="4"/>
        <v>1716.7453516117089</v>
      </c>
      <c r="J26" s="11">
        <f t="shared" si="4"/>
        <v>1873.5546310557636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124</v>
      </c>
      <c r="B28" s="17" t="s">
        <v>74</v>
      </c>
      <c r="C28" s="18">
        <f>SUM(C26,C21)</f>
        <v>1511.95</v>
      </c>
      <c r="D28" s="18">
        <f>SUM(D26,D21)</f>
        <v>1605.857</v>
      </c>
      <c r="E28" s="18">
        <f>SUM(E26,E21)</f>
        <v>1696.971</v>
      </c>
      <c r="F28" s="18">
        <f>SUM(F26,F21)</f>
        <v>1892.3171022506428</v>
      </c>
      <c r="G28" s="18">
        <f t="shared" ref="G28:J28" si="5">SUM(G26,G21)</f>
        <v>2101.5702865290536</v>
      </c>
      <c r="H28" s="18">
        <f t="shared" si="5"/>
        <v>2359.809535494353</v>
      </c>
      <c r="I28" s="18">
        <f t="shared" si="5"/>
        <v>2685.624452545786</v>
      </c>
      <c r="J28" s="18">
        <f t="shared" si="5"/>
        <v>3096.7499778509791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75</v>
      </c>
      <c r="C30" s="9">
        <v>0</v>
      </c>
      <c r="D30" s="9">
        <v>0</v>
      </c>
      <c r="E30" s="45">
        <v>0</v>
      </c>
      <c r="F30" s="4">
        <f>MIN(CashFlow!F23,0)</f>
        <v>0</v>
      </c>
      <c r="G30" s="4">
        <f>MIN(CashFlow!G23,0)</f>
        <v>0</v>
      </c>
      <c r="H30" s="4">
        <f>MIN(CashFlow!H23,0)</f>
        <v>0</v>
      </c>
      <c r="I30" s="4">
        <f>MIN(CashFlow!I23,0)</f>
        <v>0</v>
      </c>
      <c r="J30" s="4">
        <f>MIN(CashFlow!J23,0)</f>
        <v>0</v>
      </c>
    </row>
    <row r="31" spans="1:12" x14ac:dyDescent="0.25">
      <c r="B31" s="4" t="s">
        <v>150</v>
      </c>
      <c r="C31" s="188">
        <f>20.407+47.945+17.576</f>
        <v>85.927999999999997</v>
      </c>
      <c r="D31" s="9">
        <f>22.273+54.742+20.945</f>
        <v>97.960000000000008</v>
      </c>
      <c r="E31" s="45">
        <f>23.609+63.005+25.422</f>
        <v>112.036</v>
      </c>
      <c r="F31" s="4">
        <f>F11*IncState!F16</f>
        <v>129.21638826292985</v>
      </c>
      <c r="G31" s="4">
        <f>G11*IncState!G16</f>
        <v>145.68744289685077</v>
      </c>
      <c r="H31" s="4">
        <f>H11*IncState!H16</f>
        <v>164.97428503141481</v>
      </c>
      <c r="I31" s="4">
        <f>I11*IncState!I16</f>
        <v>188.44461793448266</v>
      </c>
      <c r="J31" s="4">
        <f>J11*IncState!J16</f>
        <v>217.11581737609245</v>
      </c>
    </row>
    <row r="32" spans="1:12" x14ac:dyDescent="0.25">
      <c r="B32" s="4" t="s">
        <v>76</v>
      </c>
      <c r="C32" s="188">
        <f>42.238+19.552</f>
        <v>61.79</v>
      </c>
      <c r="D32" s="9">
        <f>49.004+17.103</f>
        <v>66.106999999999999</v>
      </c>
      <c r="E32" s="45">
        <f>55.739+19.538</f>
        <v>75.277000000000001</v>
      </c>
      <c r="F32" s="4">
        <f>F12*IncState!F15</f>
        <v>87.396597000000014</v>
      </c>
      <c r="G32" s="4">
        <f>G12*IncState!G15</f>
        <v>99.19513759500002</v>
      </c>
      <c r="H32" s="4">
        <f>H12*IncState!H15</f>
        <v>113.08245685830002</v>
      </c>
      <c r="I32" s="4">
        <f>I12*IncState!I15</f>
        <v>130.04482538704502</v>
      </c>
      <c r="J32" s="4">
        <f>J12*IncState!J15</f>
        <v>150.85199744897221</v>
      </c>
    </row>
    <row r="33" spans="1:12" s="11" customFormat="1" x14ac:dyDescent="0.25">
      <c r="B33" s="11" t="s">
        <v>77</v>
      </c>
      <c r="C33" s="11">
        <f t="shared" ref="C33:E33" si="6">SUM(C30:C32)</f>
        <v>147.71799999999999</v>
      </c>
      <c r="D33" s="11">
        <f t="shared" si="6"/>
        <v>164.06700000000001</v>
      </c>
      <c r="E33" s="24">
        <f t="shared" si="6"/>
        <v>187.31299999999999</v>
      </c>
      <c r="F33" s="11">
        <f>SUM(F30:F32)</f>
        <v>216.61298526292987</v>
      </c>
      <c r="G33" s="11">
        <f t="shared" ref="G33:J33" si="7">SUM(G30:G32)</f>
        <v>244.88258049185077</v>
      </c>
      <c r="H33" s="11">
        <f t="shared" si="7"/>
        <v>278.05674188971483</v>
      </c>
      <c r="I33" s="11">
        <f t="shared" si="7"/>
        <v>318.48944332152769</v>
      </c>
      <c r="J33" s="11">
        <f t="shared" si="7"/>
        <v>367.96781482506469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78</v>
      </c>
      <c r="C35" s="188">
        <v>244.589</v>
      </c>
      <c r="D35" s="9">
        <f>245.636</f>
        <v>245.636</v>
      </c>
      <c r="E35" s="45">
        <v>246.68299999999999</v>
      </c>
      <c r="F35" s="4">
        <f>Debt!F20</f>
        <v>246.68299999999999</v>
      </c>
      <c r="G35" s="4">
        <f>Debt!G20</f>
        <v>246.68299999999999</v>
      </c>
      <c r="H35" s="4">
        <f>Debt!H20</f>
        <v>246.68299999999999</v>
      </c>
      <c r="I35" s="4">
        <f>Debt!I20</f>
        <v>246.68299999999999</v>
      </c>
      <c r="J35" s="4">
        <f>Debt!J20</f>
        <v>246.68299999999999</v>
      </c>
    </row>
    <row r="36" spans="1:12" x14ac:dyDescent="0.25">
      <c r="B36" s="4" t="s">
        <v>79</v>
      </c>
      <c r="C36" s="188">
        <f>427.227+234.893+20.687</f>
        <v>682.80700000000002</v>
      </c>
      <c r="D36" s="9">
        <f>464.533+235.613+26.638</f>
        <v>726.78399999999999</v>
      </c>
      <c r="E36" s="45">
        <f>494.499+247.017+27.833</f>
        <v>769.34900000000005</v>
      </c>
      <c r="F36" s="4">
        <f>F13*IncState!F15</f>
        <v>893.21418900000015</v>
      </c>
      <c r="G36" s="4">
        <f>G13*IncState!G15</f>
        <v>1013.7981045150002</v>
      </c>
      <c r="H36" s="4">
        <f>H13*IncState!H15</f>
        <v>1155.7298391471004</v>
      </c>
      <c r="I36" s="4">
        <f>I13*IncState!I15</f>
        <v>1329.0893150191653</v>
      </c>
      <c r="J36" s="4">
        <f>J13*IncState!J15</f>
        <v>1541.7436054222317</v>
      </c>
    </row>
    <row r="37" spans="1:12" x14ac:dyDescent="0.25">
      <c r="B37" s="11" t="s">
        <v>80</v>
      </c>
      <c r="C37" s="11">
        <f t="shared" ref="C37:E37" si="8">SUM(C35:C36)</f>
        <v>927.39599999999996</v>
      </c>
      <c r="D37" s="11">
        <f t="shared" si="8"/>
        <v>972.42</v>
      </c>
      <c r="E37" s="24">
        <f t="shared" si="8"/>
        <v>1016.032</v>
      </c>
      <c r="F37" s="11">
        <f>SUM(F35:F36)</f>
        <v>1139.8971890000003</v>
      </c>
      <c r="G37" s="11">
        <f t="shared" ref="G37:J37" si="9">SUM(G35:G36)</f>
        <v>1260.4811045150002</v>
      </c>
      <c r="H37" s="11">
        <f t="shared" si="9"/>
        <v>1402.4128391471004</v>
      </c>
      <c r="I37" s="11">
        <f t="shared" si="9"/>
        <v>1575.7723150191653</v>
      </c>
      <c r="J37" s="11">
        <f t="shared" si="9"/>
        <v>1788.4266054222317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90">
        <v>436.83600000000001</v>
      </c>
      <c r="D39" s="190">
        <v>469.37</v>
      </c>
      <c r="E39" s="218">
        <v>493.62599999999998</v>
      </c>
      <c r="F39" s="4">
        <f>Calcs!F16</f>
        <v>535.80692798771304</v>
      </c>
      <c r="G39" s="4">
        <f>Calcs!G16</f>
        <v>596.20660152220307</v>
      </c>
      <c r="H39" s="4">
        <f>Calcs!H16</f>
        <v>679.33995445753817</v>
      </c>
      <c r="I39" s="4">
        <f>Calcs!I16</f>
        <v>791.36269420509302</v>
      </c>
      <c r="J39" s="4">
        <f>Calcs!J16</f>
        <v>940.355557603683</v>
      </c>
    </row>
    <row r="40" spans="1:12" s="11" customFormat="1" x14ac:dyDescent="0.25">
      <c r="A40" s="11" t="s">
        <v>124</v>
      </c>
      <c r="B40" s="17" t="s">
        <v>81</v>
      </c>
      <c r="C40" s="18">
        <f>SUM(C39,C37,C33)</f>
        <v>1511.95</v>
      </c>
      <c r="D40" s="18">
        <f>SUM(D39,D37,D33)</f>
        <v>1605.857</v>
      </c>
      <c r="E40" s="18">
        <f t="shared" ref="E40:F40" si="10">SUM(E39,E37,E33)</f>
        <v>1696.971</v>
      </c>
      <c r="F40" s="18">
        <f t="shared" si="10"/>
        <v>1892.3171022506433</v>
      </c>
      <c r="G40" s="18">
        <f t="shared" ref="G40:J40" si="11">SUM(G39,G37,G33)</f>
        <v>2101.5702865290541</v>
      </c>
      <c r="H40" s="18">
        <f t="shared" si="11"/>
        <v>2359.8095354943534</v>
      </c>
      <c r="I40" s="18">
        <f t="shared" si="11"/>
        <v>2685.624452545786</v>
      </c>
      <c r="J40" s="18">
        <f t="shared" si="11"/>
        <v>3096.7499778509791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124</v>
      </c>
      <c r="B42" s="11" t="s">
        <v>82</v>
      </c>
      <c r="C42" s="46">
        <f>C40-C28</f>
        <v>0</v>
      </c>
      <c r="D42" s="46">
        <f t="shared" ref="D42:J42" si="12">D40-D28</f>
        <v>0</v>
      </c>
      <c r="E42" s="152">
        <f t="shared" si="12"/>
        <v>0</v>
      </c>
      <c r="F42" s="46">
        <f t="shared" si="12"/>
        <v>0</v>
      </c>
      <c r="G42" s="46">
        <f t="shared" ref="G42:J42" si="13">G40-G28</f>
        <v>0</v>
      </c>
      <c r="H42" s="46">
        <f t="shared" si="13"/>
        <v>0</v>
      </c>
      <c r="I42" s="46">
        <f t="shared" si="13"/>
        <v>0</v>
      </c>
      <c r="J42" s="46">
        <f t="shared" si="13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6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9" t="s">
        <v>83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B3" s="4" t="s">
        <v>155</v>
      </c>
      <c r="F3" s="4">
        <f>IncState!F33</f>
        <v>42.180927987713034</v>
      </c>
      <c r="G3" s="4">
        <f>IncState!G33</f>
        <v>60.39967353449002</v>
      </c>
      <c r="H3" s="4">
        <f>IncState!H33</f>
        <v>83.133352935335139</v>
      </c>
      <c r="I3" s="4">
        <f>IncState!I33</f>
        <v>112.02273974755482</v>
      </c>
      <c r="J3" s="4">
        <f>IncState!J33</f>
        <v>148.99286339858995</v>
      </c>
    </row>
    <row r="4" spans="1:12" x14ac:dyDescent="0.25">
      <c r="B4" s="4" t="s">
        <v>15</v>
      </c>
      <c r="F4" s="4">
        <f>IncState!F20</f>
        <v>131.67939754002663</v>
      </c>
      <c r="G4" s="4">
        <f>IncState!G20</f>
        <v>134.1564250132727</v>
      </c>
      <c r="H4" s="4">
        <f>IncState!H20</f>
        <v>137.91836342475412</v>
      </c>
      <c r="I4" s="4">
        <f>IncState!I20</f>
        <v>142.96390004093098</v>
      </c>
      <c r="J4" s="4">
        <f>IncState!J20</f>
        <v>149.41676568559041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</row>
    <row r="6" spans="1:12" x14ac:dyDescent="0.25">
      <c r="B6" s="4" t="s">
        <v>89</v>
      </c>
      <c r="F6" s="4">
        <f>Calcs!F25</f>
        <v>17.664790442509485</v>
      </c>
      <c r="G6" s="4">
        <f>Calcs!G25</f>
        <v>16.956270634586986</v>
      </c>
      <c r="H6" s="4">
        <f>Calcs!H25</f>
        <v>19.863337949120449</v>
      </c>
      <c r="I6" s="4">
        <f>Calcs!I25</f>
        <v>24.17916042200855</v>
      </c>
      <c r="J6" s="4">
        <f>Calcs!J25</f>
        <v>29.547086410684273</v>
      </c>
    </row>
    <row r="7" spans="1:12" x14ac:dyDescent="0.25">
      <c r="B7" s="4" t="s">
        <v>184</v>
      </c>
      <c r="F7" s="4">
        <f>BalSheet!E25-BalSheet!F25</f>
        <v>-56.759584000000075</v>
      </c>
      <c r="G7" s="4">
        <f>BalSheet!F25-BalSheet!G25</f>
        <v>-55.255983840000056</v>
      </c>
      <c r="H7" s="4">
        <f>BalSheet!G25-BalSheet!H25</f>
        <v>-65.03833949760002</v>
      </c>
      <c r="I7" s="4">
        <f>BalSheet!H25-BalSheet!I25</f>
        <v>-79.43968610063996</v>
      </c>
      <c r="J7" s="4">
        <f>BalSheet!I25-BalSheet!J25</f>
        <v>-97.446014950118411</v>
      </c>
    </row>
    <row r="8" spans="1:12" x14ac:dyDescent="0.25">
      <c r="B8" s="4" t="s">
        <v>185</v>
      </c>
      <c r="F8" s="4">
        <f>BalSheet!F36-BalSheet!E36</f>
        <v>123.8651890000001</v>
      </c>
      <c r="G8" s="4">
        <f>BalSheet!G36-BalSheet!F36</f>
        <v>120.58391551500006</v>
      </c>
      <c r="H8" s="4">
        <f>BalSheet!H36-BalSheet!G36</f>
        <v>141.93173463210019</v>
      </c>
      <c r="I8" s="4">
        <f>BalSheet!I36-BalSheet!H36</f>
        <v>173.35947587206488</v>
      </c>
      <c r="J8" s="4">
        <f>BalSheet!J36-BalSheet!I36</f>
        <v>212.6542904030664</v>
      </c>
    </row>
    <row r="9" spans="1:12" s="11" customFormat="1" x14ac:dyDescent="0.25">
      <c r="B9" s="11" t="s">
        <v>186</v>
      </c>
      <c r="F9" s="11">
        <f>SUM(F3:F8)</f>
        <v>258.63072097024917</v>
      </c>
      <c r="G9" s="11">
        <f t="shared" ref="G9:J9" si="1">SUM(G3:G8)</f>
        <v>276.84030085734969</v>
      </c>
      <c r="H9" s="11">
        <f t="shared" si="1"/>
        <v>317.80844944370983</v>
      </c>
      <c r="I9" s="11">
        <f t="shared" si="1"/>
        <v>373.08558998191927</v>
      </c>
      <c r="J9" s="11">
        <f t="shared" si="1"/>
        <v>443.16499094781261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-150.04294956000001</v>
      </c>
      <c r="G11" s="4">
        <f>-Calcs!G7</f>
        <v>-162.0457207362</v>
      </c>
      <c r="H11" s="4">
        <f>-Calcs!H7</f>
        <v>-175.32367084285201</v>
      </c>
      <c r="I11" s="4">
        <f>-Calcs!I7</f>
        <v>-190.80250305340138</v>
      </c>
      <c r="J11" s="4">
        <f>-Calcs!J7</f>
        <v>-208.78003017952665</v>
      </c>
    </row>
    <row r="12" spans="1:12" s="11" customFormat="1" x14ac:dyDescent="0.25">
      <c r="B12" s="11" t="s">
        <v>187</v>
      </c>
      <c r="F12" s="11">
        <f>SUM(F11)</f>
        <v>-150.04294956000001</v>
      </c>
      <c r="G12" s="11">
        <f t="shared" ref="G12:J12" si="2">SUM(G11)</f>
        <v>-162.0457207362</v>
      </c>
      <c r="H12" s="11">
        <f t="shared" si="2"/>
        <v>-175.32367084285201</v>
      </c>
      <c r="I12" s="11">
        <f t="shared" si="2"/>
        <v>-190.80250305340138</v>
      </c>
      <c r="J12" s="11">
        <f t="shared" si="2"/>
        <v>-208.78003017952665</v>
      </c>
    </row>
    <row r="13" spans="1:12" x14ac:dyDescent="0.25">
      <c r="I13" s="4"/>
      <c r="J13" s="4"/>
    </row>
    <row r="14" spans="1:12" x14ac:dyDescent="0.25">
      <c r="B14" s="4" t="s">
        <v>188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2" x14ac:dyDescent="0.25">
      <c r="B15" s="4" t="s">
        <v>189</v>
      </c>
      <c r="F15" s="4">
        <f>Calcs!F11</f>
        <v>0</v>
      </c>
      <c r="G15" s="4">
        <f>Calcs!G11</f>
        <v>0</v>
      </c>
      <c r="H15" s="4">
        <f>Calcs!H11</f>
        <v>0</v>
      </c>
      <c r="I15" s="4">
        <f>Calcs!I11</f>
        <v>0</v>
      </c>
      <c r="J15" s="4">
        <f>Calcs!J11</f>
        <v>0</v>
      </c>
    </row>
    <row r="16" spans="1:12" x14ac:dyDescent="0.25">
      <c r="B16" s="4" t="s">
        <v>190</v>
      </c>
      <c r="F16" s="4">
        <f>SUM(Debt!F8:F9)</f>
        <v>0</v>
      </c>
      <c r="G16" s="4">
        <f>SUM(Debt!G8:G9)</f>
        <v>0</v>
      </c>
      <c r="H16" s="4">
        <f>SUM(Debt!H8:H9)</f>
        <v>0</v>
      </c>
      <c r="I16" s="4">
        <f>SUM(Debt!I8:I9)</f>
        <v>0</v>
      </c>
      <c r="J16" s="4">
        <f>SUM(Debt!J8:J9)</f>
        <v>0</v>
      </c>
    </row>
    <row r="17" spans="2:10" s="11" customFormat="1" x14ac:dyDescent="0.25">
      <c r="B17" s="11" t="s">
        <v>191</v>
      </c>
      <c r="F17" s="11">
        <f>SUM(F14:F16)</f>
        <v>0</v>
      </c>
      <c r="G17" s="11">
        <f t="shared" ref="G17:J17" si="3">SUM(G14:G16)</f>
        <v>0</v>
      </c>
      <c r="H17" s="11">
        <f t="shared" si="3"/>
        <v>0</v>
      </c>
      <c r="I17" s="11">
        <f t="shared" si="3"/>
        <v>0</v>
      </c>
      <c r="J17" s="11">
        <f t="shared" si="3"/>
        <v>0</v>
      </c>
    </row>
    <row r="18" spans="2:10" x14ac:dyDescent="0.25">
      <c r="I18" s="4"/>
      <c r="J18" s="4"/>
    </row>
    <row r="19" spans="2:10" x14ac:dyDescent="0.25">
      <c r="B19" s="4" t="s">
        <v>192</v>
      </c>
      <c r="F19" s="4">
        <f>SUM(F17,F12,F9)</f>
        <v>108.58777141024916</v>
      </c>
      <c r="G19" s="4">
        <f t="shared" ref="G19:J19" si="4">SUM(G17,G12,G9)</f>
        <v>114.79458012114969</v>
      </c>
      <c r="H19" s="4">
        <f t="shared" si="4"/>
        <v>142.48477860085782</v>
      </c>
      <c r="I19" s="4">
        <f t="shared" si="4"/>
        <v>182.28308692851789</v>
      </c>
      <c r="J19" s="4">
        <f t="shared" si="4"/>
        <v>234.38496076828596</v>
      </c>
    </row>
    <row r="20" spans="2:10" x14ac:dyDescent="0.25">
      <c r="I20" s="4"/>
      <c r="J20" s="4"/>
    </row>
    <row r="21" spans="2:10" x14ac:dyDescent="0.25">
      <c r="B21" s="4" t="s">
        <v>193</v>
      </c>
      <c r="F21" s="4">
        <f>BalSheet!E17</f>
        <v>295.66183999999998</v>
      </c>
      <c r="G21" s="4">
        <f>BalSheet!F17</f>
        <v>404.24961141024914</v>
      </c>
      <c r="H21" s="4">
        <f>BalSheet!G17</f>
        <v>519.04419153139884</v>
      </c>
      <c r="I21" s="4">
        <f>BalSheet!H17</f>
        <v>661.52897013225663</v>
      </c>
      <c r="J21" s="4">
        <f>BalSheet!I17</f>
        <v>843.81205706077458</v>
      </c>
    </row>
    <row r="22" spans="2:10" x14ac:dyDescent="0.25">
      <c r="B22" s="4" t="str">
        <f>B19</f>
        <v>Net changes in cash</v>
      </c>
      <c r="F22" s="4">
        <f>F19</f>
        <v>108.58777141024916</v>
      </c>
      <c r="G22" s="4">
        <f t="shared" ref="G22:J22" si="5">G19</f>
        <v>114.79458012114969</v>
      </c>
      <c r="H22" s="4">
        <f t="shared" si="5"/>
        <v>142.48477860085782</v>
      </c>
      <c r="I22" s="4">
        <f t="shared" si="5"/>
        <v>182.28308692851789</v>
      </c>
      <c r="J22" s="4">
        <f t="shared" si="5"/>
        <v>234.38496076828596</v>
      </c>
    </row>
    <row r="23" spans="2:10" x14ac:dyDescent="0.25">
      <c r="B23" s="4" t="s">
        <v>194</v>
      </c>
      <c r="F23" s="4">
        <f>SUM(F21:F22)</f>
        <v>404.24961141024914</v>
      </c>
      <c r="G23" s="4">
        <f t="shared" ref="G23:J23" si="6">SUM(G21:G22)</f>
        <v>519.04419153139884</v>
      </c>
      <c r="H23" s="4">
        <f t="shared" si="6"/>
        <v>661.52897013225663</v>
      </c>
      <c r="I23" s="4">
        <f t="shared" si="6"/>
        <v>843.81205706077458</v>
      </c>
      <c r="J23" s="4">
        <f t="shared" si="6"/>
        <v>1078.1970178290605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5" t="str">
        <f>CoName</f>
        <v>Shake Shack,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9" t="s">
        <v>86</v>
      </c>
      <c r="B2" s="180"/>
      <c r="C2" s="185">
        <v>2022</v>
      </c>
      <c r="D2" s="185">
        <f>C2+1</f>
        <v>2023</v>
      </c>
      <c r="E2" s="185">
        <f t="shared" ref="E2:J2" si="0">D2+1</f>
        <v>2024</v>
      </c>
      <c r="F2" s="185">
        <f t="shared" si="0"/>
        <v>2025</v>
      </c>
      <c r="G2" s="185">
        <f t="shared" si="0"/>
        <v>2026</v>
      </c>
      <c r="H2" s="185">
        <f t="shared" si="0"/>
        <v>2027</v>
      </c>
      <c r="I2" s="185">
        <f t="shared" si="0"/>
        <v>2028</v>
      </c>
      <c r="J2" s="185">
        <f t="shared" si="0"/>
        <v>2029</v>
      </c>
      <c r="K2" s="207"/>
      <c r="L2" s="207"/>
    </row>
    <row r="3" spans="1:12" x14ac:dyDescent="0.25">
      <c r="A3" s="11" t="s">
        <v>124</v>
      </c>
      <c r="B3" s="4" t="s">
        <v>87</v>
      </c>
      <c r="D3" s="237"/>
      <c r="E3" s="23"/>
      <c r="F3" s="238">
        <f>IncState!F15</f>
        <v>1454.2778880000001</v>
      </c>
      <c r="G3" s="238">
        <f>IncState!G15</f>
        <v>1650.6054028800002</v>
      </c>
      <c r="H3" s="238">
        <f>IncState!H15</f>
        <v>1881.6901592832003</v>
      </c>
      <c r="I3" s="238">
        <f>IncState!I15</f>
        <v>2163.9436831756802</v>
      </c>
      <c r="J3" s="238">
        <f>IncState!J15</f>
        <v>2510.174672483789</v>
      </c>
      <c r="K3" s="215"/>
      <c r="L3" s="215"/>
    </row>
    <row r="4" spans="1:12" x14ac:dyDescent="0.25">
      <c r="B4" s="4" t="s">
        <v>54</v>
      </c>
      <c r="E4" s="27"/>
      <c r="F4" s="4">
        <f>IncState!F18</f>
        <v>55.591094879999901</v>
      </c>
      <c r="G4" s="4">
        <f>IncState!G18</f>
        <v>79.601946717599958</v>
      </c>
      <c r="H4" s="4">
        <f>IncState!H18</f>
        <v>109.56312085089576</v>
      </c>
      <c r="I4" s="4">
        <f>IncState!I18</f>
        <v>147.63702581028724</v>
      </c>
      <c r="J4" s="4">
        <f>IncState!J18</f>
        <v>196.36069666477124</v>
      </c>
    </row>
    <row r="5" spans="1:12" x14ac:dyDescent="0.25">
      <c r="B5" s="30" t="s">
        <v>92</v>
      </c>
      <c r="C5" s="30"/>
      <c r="D5" s="30"/>
      <c r="E5" s="39"/>
      <c r="F5" s="43">
        <f>Assumptions!F16</f>
        <v>0.24122868817810361</v>
      </c>
      <c r="G5" s="43">
        <f>Assumptions!G16</f>
        <v>0.24122868817810361</v>
      </c>
      <c r="H5" s="43">
        <f>Assumptions!H16</f>
        <v>0.24122868817810361</v>
      </c>
      <c r="I5" s="43">
        <f>Assumptions!I16</f>
        <v>0.24122868817810361</v>
      </c>
      <c r="J5" s="43">
        <f>Assumptions!J16</f>
        <v>0.24122868817810361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72"/>
      <c r="L6" s="172"/>
    </row>
    <row r="7" spans="1:12" x14ac:dyDescent="0.25">
      <c r="A7" s="24" t="s">
        <v>124</v>
      </c>
      <c r="B7" s="21" t="s">
        <v>88</v>
      </c>
      <c r="C7" s="119"/>
      <c r="D7" s="119"/>
      <c r="E7" s="119"/>
      <c r="F7" s="134">
        <f t="shared" ref="F7:J7" si="1">F4*(1-F5)</f>
        <v>42.180927987713034</v>
      </c>
      <c r="G7" s="134">
        <f t="shared" ref="G7:J7" si="2">G4*(1-G5)</f>
        <v>60.39967353449002</v>
      </c>
      <c r="H7" s="134">
        <f t="shared" si="2"/>
        <v>83.133352935335139</v>
      </c>
      <c r="I7" s="134">
        <f t="shared" si="2"/>
        <v>112.02273974755482</v>
      </c>
      <c r="J7" s="134">
        <f t="shared" si="2"/>
        <v>148.99286339858995</v>
      </c>
      <c r="K7" s="215"/>
      <c r="L7" s="215"/>
    </row>
    <row r="8" spans="1:12" x14ac:dyDescent="0.25">
      <c r="B8" s="4" t="s">
        <v>15</v>
      </c>
      <c r="C8" s="119"/>
      <c r="D8" s="119"/>
      <c r="E8" s="120"/>
      <c r="F8" s="135">
        <f>CashFlow!F4</f>
        <v>131.67939754002663</v>
      </c>
      <c r="G8" s="135">
        <f>CashFlow!G4</f>
        <v>134.1564250132727</v>
      </c>
      <c r="H8" s="135">
        <f>CashFlow!H4</f>
        <v>137.91836342475412</v>
      </c>
      <c r="I8" s="135">
        <f>CashFlow!I4</f>
        <v>142.96390004093098</v>
      </c>
      <c r="J8" s="135">
        <f>CashFlow!J4</f>
        <v>149.41676568559041</v>
      </c>
      <c r="K8" s="214"/>
      <c r="L8" s="214"/>
    </row>
    <row r="9" spans="1:12" x14ac:dyDescent="0.25">
      <c r="B9" s="4" t="s">
        <v>53</v>
      </c>
      <c r="C9" s="5"/>
      <c r="D9" s="5"/>
      <c r="E9" s="23"/>
      <c r="F9" s="136">
        <f>CashFlow!F5</f>
        <v>0</v>
      </c>
      <c r="G9" s="136">
        <f>CashFlow!G5</f>
        <v>0</v>
      </c>
      <c r="H9" s="136">
        <f>CashFlow!H5</f>
        <v>0</v>
      </c>
      <c r="I9" s="136">
        <f>CashFlow!I5</f>
        <v>0</v>
      </c>
      <c r="J9" s="136">
        <f>CashFlow!J5</f>
        <v>0</v>
      </c>
      <c r="K9" s="214"/>
      <c r="L9" s="214"/>
    </row>
    <row r="10" spans="1:12" x14ac:dyDescent="0.25">
      <c r="B10" s="4" t="s">
        <v>89</v>
      </c>
      <c r="C10" s="5"/>
      <c r="D10" s="5"/>
      <c r="E10" s="23"/>
      <c r="F10" s="136">
        <f>CashFlow!F6</f>
        <v>17.664790442509485</v>
      </c>
      <c r="G10" s="136">
        <f>CashFlow!G6</f>
        <v>16.956270634586986</v>
      </c>
      <c r="H10" s="136">
        <f>CashFlow!H6</f>
        <v>19.863337949120449</v>
      </c>
      <c r="I10" s="136">
        <f>CashFlow!I6</f>
        <v>24.17916042200855</v>
      </c>
      <c r="J10" s="136">
        <f>CashFlow!J6</f>
        <v>29.547086410684273</v>
      </c>
      <c r="K10" s="214"/>
      <c r="L10" s="214"/>
    </row>
    <row r="11" spans="1:12" x14ac:dyDescent="0.25">
      <c r="B11" s="4" t="s">
        <v>162</v>
      </c>
      <c r="C11" s="5"/>
      <c r="D11" s="5"/>
      <c r="E11" s="23"/>
      <c r="F11" s="136">
        <f>CashFlow!F7</f>
        <v>-56.759584000000075</v>
      </c>
      <c r="G11" s="136">
        <f>CashFlow!G7</f>
        <v>-55.255983840000056</v>
      </c>
      <c r="H11" s="136">
        <f>CashFlow!H7</f>
        <v>-65.03833949760002</v>
      </c>
      <c r="I11" s="136">
        <f>CashFlow!I7</f>
        <v>-79.43968610063996</v>
      </c>
      <c r="J11" s="136">
        <f>CashFlow!J7</f>
        <v>-97.446014950118411</v>
      </c>
      <c r="K11" s="214"/>
      <c r="L11" s="214"/>
    </row>
    <row r="12" spans="1:12" x14ac:dyDescent="0.25">
      <c r="B12" s="4" t="s">
        <v>163</v>
      </c>
      <c r="E12" s="27"/>
      <c r="F12" s="136">
        <f>CashFlow!F8</f>
        <v>123.8651890000001</v>
      </c>
      <c r="G12" s="136">
        <f>CashFlow!G8</f>
        <v>120.58391551500006</v>
      </c>
      <c r="H12" s="136">
        <f>CashFlow!H8</f>
        <v>141.93173463210019</v>
      </c>
      <c r="I12" s="136">
        <f>CashFlow!I8</f>
        <v>173.35947587206488</v>
      </c>
      <c r="J12" s="136">
        <f>CashFlow!J8</f>
        <v>212.6542904030664</v>
      </c>
      <c r="K12" s="214"/>
      <c r="L12" s="214"/>
    </row>
    <row r="13" spans="1:12" x14ac:dyDescent="0.25">
      <c r="B13" s="4" t="s">
        <v>90</v>
      </c>
      <c r="E13" s="27"/>
      <c r="F13" s="132">
        <f>CashFlow!F12</f>
        <v>-150.04294956000001</v>
      </c>
      <c r="G13" s="132">
        <f>CashFlow!G12</f>
        <v>-162.0457207362</v>
      </c>
      <c r="H13" s="132">
        <f>CashFlow!H12</f>
        <v>-175.32367084285201</v>
      </c>
      <c r="I13" s="132">
        <f>CashFlow!I12</f>
        <v>-190.80250305340138</v>
      </c>
      <c r="J13" s="132">
        <f>CashFlow!J12</f>
        <v>-208.78003017952665</v>
      </c>
      <c r="K13" s="132"/>
      <c r="L13" s="132"/>
    </row>
    <row r="14" spans="1:12" x14ac:dyDescent="0.25">
      <c r="E14" s="63"/>
      <c r="F14" s="137"/>
      <c r="G14" s="137"/>
      <c r="H14" s="137"/>
      <c r="I14" s="137"/>
      <c r="J14" s="137"/>
      <c r="K14" s="137"/>
      <c r="L14" s="137"/>
    </row>
    <row r="15" spans="1:12" s="11" customFormat="1" x14ac:dyDescent="0.25">
      <c r="A15" s="24" t="s">
        <v>124</v>
      </c>
      <c r="B15" s="34" t="s">
        <v>91</v>
      </c>
      <c r="C15" s="34"/>
      <c r="D15" s="34"/>
      <c r="E15" s="34"/>
      <c r="F15" s="34">
        <f>SUM(F7:F13)</f>
        <v>108.58777141024916</v>
      </c>
      <c r="G15" s="34">
        <f t="shared" ref="G15:J15" si="3">SUM(G7:G13)</f>
        <v>114.79458012114969</v>
      </c>
      <c r="H15" s="34">
        <f t="shared" si="3"/>
        <v>142.48477860085782</v>
      </c>
      <c r="I15" s="34">
        <f t="shared" si="3"/>
        <v>182.28308692851789</v>
      </c>
      <c r="J15" s="34">
        <f t="shared" si="3"/>
        <v>234.38496076828596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4"/>
      <c r="J16" s="84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13" sqref="E13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5" t="str">
        <f>CoName</f>
        <v>Shake Shack, Inc.</v>
      </c>
    </row>
    <row r="2" spans="1:13" x14ac:dyDescent="0.25">
      <c r="G2" s="147"/>
    </row>
    <row r="3" spans="1:13" x14ac:dyDescent="0.25">
      <c r="A3" s="27" t="s">
        <v>124</v>
      </c>
      <c r="B3" s="162" t="s">
        <v>100</v>
      </c>
      <c r="C3" s="163"/>
      <c r="D3" s="163"/>
      <c r="E3" s="164"/>
      <c r="F3" s="11"/>
      <c r="G3" s="77" t="s">
        <v>108</v>
      </c>
      <c r="H3" s="77" t="s">
        <v>103</v>
      </c>
      <c r="I3" s="77" t="s">
        <v>104</v>
      </c>
      <c r="J3" s="77" t="s">
        <v>105</v>
      </c>
      <c r="K3" s="77" t="s">
        <v>106</v>
      </c>
      <c r="L3" s="77" t="s">
        <v>111</v>
      </c>
      <c r="M3" s="77" t="s">
        <v>107</v>
      </c>
    </row>
    <row r="4" spans="1:13" x14ac:dyDescent="0.25">
      <c r="A4" s="27"/>
      <c r="B4" s="258" t="s">
        <v>164</v>
      </c>
      <c r="C4" s="67"/>
      <c r="D4" s="72"/>
      <c r="E4" s="259">
        <f>Assumptions!F16</f>
        <v>0.24122868817810361</v>
      </c>
      <c r="G4" s="139"/>
      <c r="H4" s="140"/>
      <c r="I4" s="80"/>
      <c r="J4" s="81"/>
      <c r="K4" s="142"/>
      <c r="L4" s="153">
        <f>E4</f>
        <v>0.24122868817810361</v>
      </c>
      <c r="M4" s="143">
        <f>H4/((1+K4*(1-L4)))</f>
        <v>0</v>
      </c>
    </row>
    <row r="5" spans="1:13" x14ac:dyDescent="0.25">
      <c r="A5" s="27"/>
      <c r="B5" s="67" t="s">
        <v>93</v>
      </c>
      <c r="C5" s="67"/>
      <c r="D5" s="72"/>
      <c r="E5" s="138">
        <v>4.1000000000000002E-2</v>
      </c>
      <c r="G5" s="139"/>
      <c r="H5" s="140"/>
      <c r="I5" s="80"/>
      <c r="J5" s="81"/>
      <c r="K5" s="142"/>
      <c r="L5" s="153">
        <f>L4</f>
        <v>0.24122868817810361</v>
      </c>
      <c r="M5" s="143">
        <f t="shared" ref="M5:M7" si="0">H5/((1+K5*(1-L5)))</f>
        <v>0</v>
      </c>
    </row>
    <row r="6" spans="1:13" x14ac:dyDescent="0.25">
      <c r="A6" s="27"/>
      <c r="B6" s="67" t="s">
        <v>94</v>
      </c>
      <c r="C6" s="67"/>
      <c r="D6" s="72"/>
      <c r="E6" s="138">
        <v>0.05</v>
      </c>
      <c r="G6" s="139"/>
      <c r="H6" s="141"/>
      <c r="I6" s="82"/>
      <c r="J6" s="81"/>
      <c r="K6" s="142"/>
      <c r="L6" s="153">
        <f t="shared" ref="L6:L7" si="1">L5</f>
        <v>0.24122868817810361</v>
      </c>
      <c r="M6" s="143">
        <f t="shared" si="0"/>
        <v>0</v>
      </c>
    </row>
    <row r="7" spans="1:13" x14ac:dyDescent="0.25">
      <c r="A7" s="27"/>
      <c r="B7" s="67" t="s">
        <v>95</v>
      </c>
      <c r="C7" s="67"/>
      <c r="D7" s="72"/>
      <c r="E7" s="220">
        <v>1</v>
      </c>
      <c r="G7" s="139"/>
      <c r="H7" s="141"/>
      <c r="I7" s="82"/>
      <c r="J7" s="83"/>
      <c r="K7" s="142"/>
      <c r="L7" s="153">
        <f t="shared" si="1"/>
        <v>0.24122868817810361</v>
      </c>
      <c r="M7" s="143">
        <f t="shared" si="0"/>
        <v>0</v>
      </c>
    </row>
    <row r="8" spans="1:13" x14ac:dyDescent="0.25">
      <c r="A8" s="27"/>
      <c r="B8" s="67" t="s">
        <v>96</v>
      </c>
      <c r="C8" s="67"/>
      <c r="D8" s="72"/>
      <c r="E8" s="138">
        <f>E5+E6*E7</f>
        <v>9.0999999999999998E-2</v>
      </c>
      <c r="L8" s="66"/>
    </row>
    <row r="9" spans="1:13" x14ac:dyDescent="0.25">
      <c r="A9" s="27"/>
      <c r="B9" s="68" t="s">
        <v>97</v>
      </c>
      <c r="C9" s="68"/>
      <c r="D9" s="73"/>
      <c r="E9" s="144">
        <f>1-E10</f>
        <v>0.7752955754481663</v>
      </c>
      <c r="G9" s="4" t="s">
        <v>109</v>
      </c>
      <c r="L9" s="27"/>
      <c r="M9" s="219">
        <f>AVERAGE(M4:M7)</f>
        <v>0</v>
      </c>
    </row>
    <row r="10" spans="1:13" x14ac:dyDescent="0.25">
      <c r="A10" s="27"/>
      <c r="B10" s="69" t="s">
        <v>98</v>
      </c>
      <c r="C10" s="69"/>
      <c r="D10" s="74"/>
      <c r="E10" s="145">
        <f>MAIN!F8/MAIN!F6</f>
        <v>0.22470442455183373</v>
      </c>
      <c r="M10" s="66"/>
    </row>
    <row r="11" spans="1:13" x14ac:dyDescent="0.25">
      <c r="A11" s="27"/>
      <c r="B11" s="161" t="s">
        <v>176</v>
      </c>
      <c r="C11" s="70"/>
      <c r="D11" s="75"/>
      <c r="E11" s="146">
        <f>Assumptions!F23</f>
        <v>0.05</v>
      </c>
      <c r="G11" s="4" t="s">
        <v>110</v>
      </c>
      <c r="L11" s="27"/>
      <c r="M11" s="219">
        <f>M9*(1+E10*(1-E4))</f>
        <v>0</v>
      </c>
    </row>
    <row r="12" spans="1:13" x14ac:dyDescent="0.25">
      <c r="A12" s="27"/>
      <c r="B12" s="71" t="s">
        <v>99</v>
      </c>
      <c r="C12" s="71"/>
      <c r="D12" s="76"/>
      <c r="E12" s="146">
        <f>E11*(1-E4)</f>
        <v>3.7938565591094819E-2</v>
      </c>
      <c r="M12" s="66"/>
    </row>
    <row r="13" spans="1:13" s="11" customFormat="1" x14ac:dyDescent="0.25">
      <c r="A13" s="24" t="s">
        <v>124</v>
      </c>
      <c r="B13" s="162" t="s">
        <v>100</v>
      </c>
      <c r="C13" s="163"/>
      <c r="D13" s="164"/>
      <c r="E13" s="158">
        <f>WACC!E8*WACC!E9+WACC!E12*WACC!E10</f>
        <v>7.9076860915252095E-2</v>
      </c>
      <c r="F13" s="4"/>
    </row>
    <row r="14" spans="1:13" s="11" customFormat="1" x14ac:dyDescent="0.25">
      <c r="A14" s="24"/>
      <c r="B14" s="77" t="s">
        <v>101</v>
      </c>
      <c r="C14" s="77"/>
      <c r="D14" s="114"/>
      <c r="E14" s="148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H25" sqref="H25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2" width="11.7109375" style="4" customWidth="1"/>
    <col min="13" max="16384" width="9" style="4"/>
  </cols>
  <sheetData>
    <row r="1" spans="1:14" ht="19.5" x14ac:dyDescent="0.3">
      <c r="A1" s="255" t="str">
        <f>CoName</f>
        <v>Shake Shack,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112</v>
      </c>
      <c r="B2" s="19"/>
      <c r="C2" s="42"/>
      <c r="D2" s="77">
        <v>0.5</v>
      </c>
      <c r="E2" s="77">
        <f>D2+1</f>
        <v>1.5</v>
      </c>
      <c r="F2" s="77">
        <f t="shared" ref="F2:H2" si="0">E2+1</f>
        <v>2.5</v>
      </c>
      <c r="G2" s="77">
        <f t="shared" si="0"/>
        <v>3.5</v>
      </c>
      <c r="H2" s="77">
        <f t="shared" si="0"/>
        <v>4.5</v>
      </c>
      <c r="I2" s="159"/>
      <c r="J2" s="159"/>
      <c r="K2" s="159"/>
      <c r="L2" s="159"/>
      <c r="M2" s="159"/>
      <c r="N2" s="159"/>
    </row>
    <row r="3" spans="1:14" x14ac:dyDescent="0.25">
      <c r="B3" s="4" t="s">
        <v>181</v>
      </c>
      <c r="D3" s="8">
        <f>1/(1+$K$17)^D2</f>
        <v>0.96266195830680346</v>
      </c>
      <c r="E3" s="8">
        <f t="shared" ref="E3:H3" si="1">1/(1+$K$17)^E2</f>
        <v>0.89211620893278387</v>
      </c>
      <c r="F3" s="8">
        <f t="shared" si="1"/>
        <v>0.82674018992132592</v>
      </c>
      <c r="G3" s="8">
        <f t="shared" si="1"/>
        <v>0.76615505332965883</v>
      </c>
      <c r="H3" s="8">
        <f t="shared" si="1"/>
        <v>0.71000971393253776</v>
      </c>
      <c r="I3" s="8"/>
      <c r="J3" s="8"/>
      <c r="K3" s="8"/>
    </row>
    <row r="4" spans="1:14" x14ac:dyDescent="0.25">
      <c r="B4" s="4" t="s">
        <v>182</v>
      </c>
      <c r="D4" s="4">
        <f>D3*'Free Cash Flow'!F15</f>
        <v>104.53331667396198</v>
      </c>
      <c r="E4" s="4">
        <f>E3*'Free Cash Flow'!G15</f>
        <v>102.41010562371078</v>
      </c>
      <c r="F4" s="4">
        <f>F3*'Free Cash Flow'!H15</f>
        <v>117.79789292137127</v>
      </c>
      <c r="G4" s="4">
        <f>G3*'Free Cash Flow'!I15</f>
        <v>139.65710818681347</v>
      </c>
      <c r="H4" s="4">
        <f>H3*'Free Cash Flow'!J15</f>
        <v>166.4155989451798</v>
      </c>
      <c r="I4" s="4">
        <f>(H4*(1+K18))/(K17-K18)</f>
        <v>3154.324900369711</v>
      </c>
    </row>
    <row r="5" spans="1:14" x14ac:dyDescent="0.25">
      <c r="G5" s="147"/>
    </row>
    <row r="6" spans="1:14" x14ac:dyDescent="0.25">
      <c r="A6" s="77" t="s">
        <v>113</v>
      </c>
      <c r="B6" s="19"/>
      <c r="C6" s="42"/>
      <c r="D6" s="86"/>
      <c r="E6" s="77" t="s">
        <v>169</v>
      </c>
      <c r="F6" s="19"/>
      <c r="G6" s="42"/>
      <c r="H6" s="86" t="s">
        <v>165</v>
      </c>
    </row>
    <row r="7" spans="1:14" x14ac:dyDescent="0.25">
      <c r="B7" s="4" t="s">
        <v>114</v>
      </c>
      <c r="C7" s="4">
        <f>SUM(D4:H4)</f>
        <v>630.81402235103735</v>
      </c>
      <c r="E7" s="4" t="s">
        <v>114</v>
      </c>
      <c r="G7" s="4">
        <f>C7</f>
        <v>630.81402235103735</v>
      </c>
    </row>
    <row r="8" spans="1:14" x14ac:dyDescent="0.25">
      <c r="B8" s="4" t="s">
        <v>115</v>
      </c>
      <c r="C8" s="4">
        <f>I4*H3</f>
        <v>2239.6013201617793</v>
      </c>
      <c r="E8" s="4" t="s">
        <v>170</v>
      </c>
      <c r="G8" s="4">
        <f>G10*H3*IncState!J22</f>
        <v>3682.5803569154868</v>
      </c>
    </row>
    <row r="9" spans="1:14" x14ac:dyDescent="0.25">
      <c r="B9" s="4" t="s">
        <v>116</v>
      </c>
      <c r="C9" s="4">
        <f>SUM(C7:C8)</f>
        <v>2870.4153425128166</v>
      </c>
      <c r="E9" s="4" t="s">
        <v>116</v>
      </c>
      <c r="G9" s="4">
        <f>SUM(G7:G8)</f>
        <v>4313.3943792665241</v>
      </c>
    </row>
    <row r="10" spans="1:14" x14ac:dyDescent="0.25">
      <c r="C10" s="85"/>
      <c r="E10" s="4" t="s">
        <v>117</v>
      </c>
      <c r="G10" s="85">
        <v>15</v>
      </c>
    </row>
    <row r="11" spans="1:14" x14ac:dyDescent="0.25">
      <c r="I11" s="159"/>
    </row>
    <row r="12" spans="1:14" x14ac:dyDescent="0.25">
      <c r="B12" s="27" t="s">
        <v>118</v>
      </c>
      <c r="C12" s="37">
        <f>MAIN!F7</f>
        <v>357.75700000000001</v>
      </c>
      <c r="E12" s="27" t="s">
        <v>118</v>
      </c>
      <c r="F12" s="156"/>
      <c r="G12" s="37">
        <f>C12</f>
        <v>357.75700000000001</v>
      </c>
      <c r="I12" s="159"/>
    </row>
    <row r="13" spans="1:14" x14ac:dyDescent="0.25">
      <c r="B13" s="27" t="s">
        <v>119</v>
      </c>
      <c r="C13" s="37">
        <f>MAIN!F8</f>
        <v>787.7170000000001</v>
      </c>
      <c r="E13" s="27" t="s">
        <v>119</v>
      </c>
      <c r="F13" s="156"/>
      <c r="G13" s="37">
        <f t="shared" ref="G13:G14" si="2">C13</f>
        <v>787.7170000000001</v>
      </c>
    </row>
    <row r="14" spans="1:14" x14ac:dyDescent="0.25">
      <c r="B14" s="27" t="s">
        <v>120</v>
      </c>
      <c r="C14" s="79">
        <v>0</v>
      </c>
      <c r="E14" s="4" t="s">
        <v>120</v>
      </c>
      <c r="F14" s="27"/>
      <c r="G14" s="37">
        <f t="shared" si="2"/>
        <v>0</v>
      </c>
    </row>
    <row r="15" spans="1:14" x14ac:dyDescent="0.25">
      <c r="B15" s="4" t="s">
        <v>121</v>
      </c>
      <c r="C15" s="66">
        <f>C9+C12-SUM(C13:C14)</f>
        <v>2440.4553425128165</v>
      </c>
      <c r="E15" s="4" t="s">
        <v>121</v>
      </c>
      <c r="G15" s="66">
        <f>G9+G12-SUM(G13:G14)</f>
        <v>3883.4343792665236</v>
      </c>
    </row>
    <row r="17" spans="1:17" x14ac:dyDescent="0.25">
      <c r="B17" s="4" t="s">
        <v>122</v>
      </c>
      <c r="C17" s="4">
        <f>MAIN!F5</f>
        <v>42.688378</v>
      </c>
      <c r="E17" s="4" t="s">
        <v>122</v>
      </c>
      <c r="G17" s="4">
        <f>C17</f>
        <v>42.688378</v>
      </c>
      <c r="I17" s="162" t="s">
        <v>100</v>
      </c>
      <c r="J17" s="163"/>
      <c r="K17" s="158">
        <f>WACC!E13</f>
        <v>7.9076860915252095E-2</v>
      </c>
    </row>
    <row r="18" spans="1:17" x14ac:dyDescent="0.25">
      <c r="A18" s="4" t="s">
        <v>124</v>
      </c>
      <c r="B18" s="149" t="s">
        <v>123</v>
      </c>
      <c r="C18" s="157">
        <f>C15/C17</f>
        <v>57.169081067282917</v>
      </c>
      <c r="E18" s="149" t="s">
        <v>123</v>
      </c>
      <c r="F18" s="156"/>
      <c r="G18" s="157">
        <f>G15/G17</f>
        <v>90.971701460911063</v>
      </c>
      <c r="I18" s="77" t="s">
        <v>101</v>
      </c>
      <c r="J18" s="77"/>
      <c r="K18" s="148">
        <v>2.5000000000000001E-2</v>
      </c>
    </row>
    <row r="19" spans="1:17" x14ac:dyDescent="0.25">
      <c r="C19" s="21"/>
    </row>
    <row r="20" spans="1:17" x14ac:dyDescent="0.25">
      <c r="A20" s="115" t="s">
        <v>145</v>
      </c>
      <c r="B20" s="19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216"/>
    </row>
    <row r="21" spans="1:17" x14ac:dyDescent="0.25">
      <c r="B21" s="116"/>
      <c r="C21" s="116"/>
      <c r="D21" s="116"/>
      <c r="E21" s="116"/>
      <c r="F21" s="116"/>
      <c r="G21" s="116"/>
      <c r="H21" s="116"/>
      <c r="I21" s="116"/>
    </row>
    <row r="22" spans="1:17" x14ac:dyDescent="0.25">
      <c r="B22" s="116"/>
      <c r="C22" s="116" t="s">
        <v>146</v>
      </c>
      <c r="D22" s="116"/>
      <c r="E22" s="117">
        <v>5.0000000000000001E-3</v>
      </c>
      <c r="F22" s="116"/>
      <c r="G22" s="116"/>
      <c r="H22" s="116" t="s">
        <v>146</v>
      </c>
      <c r="I22" s="116"/>
      <c r="J22" s="117">
        <v>5.0000000000000001E-3</v>
      </c>
    </row>
    <row r="23" spans="1:17" x14ac:dyDescent="0.25">
      <c r="B23" s="116"/>
      <c r="C23" s="116" t="s">
        <v>147</v>
      </c>
      <c r="D23" s="116"/>
      <c r="E23" s="150">
        <v>2.5000000000000001E-3</v>
      </c>
      <c r="F23" s="116"/>
      <c r="G23" s="116"/>
      <c r="H23" s="116" t="s">
        <v>168</v>
      </c>
      <c r="I23" s="116"/>
      <c r="J23" s="155">
        <v>2</v>
      </c>
    </row>
    <row r="24" spans="1:17" x14ac:dyDescent="0.25">
      <c r="B24" s="116"/>
      <c r="C24" s="116"/>
      <c r="D24" s="116"/>
      <c r="E24" s="167"/>
      <c r="F24" s="116"/>
      <c r="G24" s="116"/>
      <c r="H24" s="116"/>
      <c r="I24" s="116"/>
      <c r="J24" s="166"/>
    </row>
    <row r="25" spans="1:17" x14ac:dyDescent="0.25">
      <c r="B25" s="116"/>
      <c r="C25" s="240"/>
      <c r="D25" s="240"/>
      <c r="E25" s="240" t="s">
        <v>195</v>
      </c>
      <c r="F25" s="240"/>
      <c r="H25" s="240"/>
      <c r="I25" s="169"/>
      <c r="J25" s="169" t="s">
        <v>196</v>
      </c>
      <c r="K25" s="169"/>
      <c r="P25" s="169"/>
    </row>
    <row r="26" spans="1:17" x14ac:dyDescent="0.25">
      <c r="B26" s="159"/>
      <c r="C26" s="269">
        <f>C18</f>
        <v>57.169081067282917</v>
      </c>
      <c r="D26" s="241">
        <f>E26-E23</f>
        <v>2.2500000000000003E-2</v>
      </c>
      <c r="E26" s="241">
        <v>2.5000000000000001E-2</v>
      </c>
      <c r="F26" s="241">
        <f>E26+E23</f>
        <v>2.75E-2</v>
      </c>
      <c r="G26" s="239"/>
      <c r="H26" s="269">
        <f>G18</f>
        <v>90.971701460911063</v>
      </c>
      <c r="I26" s="273">
        <f>J26-J23</f>
        <v>13</v>
      </c>
      <c r="J26" s="273">
        <v>15</v>
      </c>
      <c r="K26" s="225">
        <f>J26+J23</f>
        <v>17</v>
      </c>
    </row>
    <row r="27" spans="1:17" x14ac:dyDescent="0.25">
      <c r="B27" s="159"/>
      <c r="C27" s="228">
        <f>C28+$E$22</f>
        <v>8.9076860915252104E-2</v>
      </c>
      <c r="D27" s="268">
        <f t="dataTable" ref="D27:F31" dt2D="1" dtr="1" r1="K18" r2="K17"/>
        <v>43.458635620105483</v>
      </c>
      <c r="E27" s="270">
        <v>45.08443632546301</v>
      </c>
      <c r="F27" s="267">
        <v>46.842250962774251</v>
      </c>
      <c r="G27" s="241"/>
      <c r="H27" s="226">
        <f t="shared" ref="H27:H28" si="3">C27</f>
        <v>8.9076860915252104E-2</v>
      </c>
      <c r="I27" s="268">
        <f t="dataTable" ref="I27:K31" dt2D="1" dtr="1" r1="G10" r2="K17" ca="1"/>
        <v>76.059942178303288</v>
      </c>
      <c r="J27" s="272">
        <v>87.094466996349723</v>
      </c>
      <c r="K27" s="268">
        <v>98.128991814396173</v>
      </c>
      <c r="N27" s="242"/>
      <c r="P27" s="169"/>
    </row>
    <row r="28" spans="1:17" x14ac:dyDescent="0.25">
      <c r="B28" s="159"/>
      <c r="C28" s="228">
        <f>C29+$E$22</f>
        <v>8.40768609152521E-2</v>
      </c>
      <c r="D28" s="268">
        <v>48.606899658606331</v>
      </c>
      <c r="E28" s="270">
        <v>50.584982806272407</v>
      </c>
      <c r="F28" s="268">
        <v>52.73787974845331</v>
      </c>
      <c r="G28" s="169"/>
      <c r="H28" s="226">
        <f t="shared" si="3"/>
        <v>8.40768609152521E-2</v>
      </c>
      <c r="I28" s="268">
        <v>77.743525597419847</v>
      </c>
      <c r="J28" s="272">
        <v>89.008927459555267</v>
      </c>
      <c r="K28" s="268">
        <v>100.27432932169066</v>
      </c>
      <c r="N28" s="243"/>
      <c r="O28" s="47"/>
      <c r="P28" s="47"/>
      <c r="Q28" s="47"/>
    </row>
    <row r="29" spans="1:17" x14ac:dyDescent="0.25">
      <c r="C29" s="228">
        <v>7.9076860915252095E-2</v>
      </c>
      <c r="D29" s="272">
        <v>54.728514055073859</v>
      </c>
      <c r="E29" s="271">
        <v>57.169081067282917</v>
      </c>
      <c r="F29" s="272">
        <v>59.846243227868598</v>
      </c>
      <c r="G29" s="244"/>
      <c r="H29" s="226">
        <f>C29</f>
        <v>7.9076860915252095E-2</v>
      </c>
      <c r="I29" s="272">
        <v>79.469490853251102</v>
      </c>
      <c r="J29" s="272">
        <v>90.971701460911063</v>
      </c>
      <c r="K29" s="272">
        <v>102.47391206857101</v>
      </c>
      <c r="N29" s="246"/>
      <c r="O29" s="165"/>
      <c r="P29" s="165"/>
      <c r="Q29" s="165"/>
    </row>
    <row r="30" spans="1:17" x14ac:dyDescent="0.25">
      <c r="C30" s="228">
        <f>C29-$E$22</f>
        <v>7.4076860915252091E-2</v>
      </c>
      <c r="D30" s="268">
        <v>62.110805674707429</v>
      </c>
      <c r="E30" s="272">
        <v>65.172385092652391</v>
      </c>
      <c r="F30" s="268">
        <v>68.56262335082225</v>
      </c>
      <c r="G30" s="245"/>
      <c r="H30" s="226">
        <f t="shared" ref="H30:H31" si="4">C30</f>
        <v>7.4076860915252091E-2</v>
      </c>
      <c r="I30" s="268">
        <v>81.239117454084735</v>
      </c>
      <c r="J30" s="272">
        <v>92.984249458941107</v>
      </c>
      <c r="K30" s="267">
        <v>104.72938146379751</v>
      </c>
      <c r="M30" s="47"/>
      <c r="N30" s="165"/>
      <c r="O30" s="85"/>
      <c r="P30" s="85"/>
      <c r="Q30" s="85"/>
    </row>
    <row r="31" spans="1:17" x14ac:dyDescent="0.25">
      <c r="C31" s="228">
        <f>C30-$E$22</f>
        <v>6.9076860915252086E-2</v>
      </c>
      <c r="D31" s="268">
        <v>71.164770867557579</v>
      </c>
      <c r="E31" s="272">
        <v>75.083162009532444</v>
      </c>
      <c r="F31" s="268">
        <v>79.472775732495563</v>
      </c>
      <c r="G31" s="245"/>
      <c r="H31" s="226">
        <f t="shared" si="4"/>
        <v>6.9076860915252086E-2</v>
      </c>
      <c r="I31" s="268">
        <v>83.05372986959128</v>
      </c>
      <c r="J31" s="272">
        <v>95.048083272773539</v>
      </c>
      <c r="K31" s="267">
        <v>107.04243667595578</v>
      </c>
      <c r="M31" s="47"/>
      <c r="N31" s="165"/>
      <c r="O31" s="85"/>
      <c r="P31" s="85"/>
      <c r="Q31" s="85"/>
    </row>
    <row r="32" spans="1:17" x14ac:dyDescent="0.25">
      <c r="D32" s="47"/>
      <c r="E32" s="147"/>
      <c r="F32" s="226"/>
      <c r="G32" s="245"/>
      <c r="H32" s="227"/>
      <c r="I32" s="227"/>
      <c r="J32" s="227"/>
      <c r="K32" s="247"/>
      <c r="L32" s="147"/>
      <c r="M32" s="47"/>
      <c r="N32" s="165"/>
      <c r="O32" s="85"/>
      <c r="P32" s="85"/>
      <c r="Q32" s="85"/>
    </row>
    <row r="33" spans="2:17" x14ac:dyDescent="0.25">
      <c r="D33" s="47"/>
      <c r="E33" s="222"/>
      <c r="F33" s="226"/>
      <c r="G33" s="245"/>
      <c r="H33" s="227"/>
      <c r="I33" s="227"/>
      <c r="J33" s="227"/>
      <c r="K33" s="242"/>
      <c r="M33" s="47"/>
      <c r="N33" s="165"/>
      <c r="O33" s="85"/>
      <c r="P33" s="85"/>
      <c r="Q33" s="85"/>
    </row>
    <row r="34" spans="2:17" x14ac:dyDescent="0.25">
      <c r="D34" s="47"/>
      <c r="E34" s="222"/>
      <c r="F34" s="226"/>
      <c r="G34" s="245"/>
      <c r="H34" s="227"/>
      <c r="I34" s="227"/>
      <c r="J34" s="227"/>
      <c r="K34" s="242"/>
      <c r="M34" s="47"/>
      <c r="N34" s="165"/>
      <c r="O34" s="85"/>
      <c r="P34" s="85"/>
      <c r="Q34" s="85"/>
    </row>
    <row r="35" spans="2:17" x14ac:dyDescent="0.25">
      <c r="B35" s="248"/>
      <c r="C35" s="248"/>
      <c r="D35" s="248"/>
      <c r="E35" s="249"/>
      <c r="F35" s="250"/>
      <c r="G35" s="249"/>
    </row>
    <row r="36" spans="2:17" x14ac:dyDescent="0.25">
      <c r="B36" s="116"/>
      <c r="C36" s="116"/>
      <c r="D36" s="116"/>
      <c r="E36" s="116"/>
      <c r="F36" s="240"/>
      <c r="G36" s="240"/>
      <c r="H36" s="240"/>
      <c r="I36" s="169"/>
      <c r="J36" s="169"/>
      <c r="P36" s="169"/>
    </row>
    <row r="37" spans="2:17" x14ac:dyDescent="0.25">
      <c r="F37" s="228"/>
      <c r="G37" s="228"/>
      <c r="H37" s="226"/>
      <c r="I37" s="226"/>
      <c r="J37" s="226"/>
      <c r="M37" s="169"/>
      <c r="O37" s="85"/>
      <c r="P37" s="85"/>
      <c r="Q37" s="85"/>
    </row>
    <row r="38" spans="2:17" x14ac:dyDescent="0.25">
      <c r="E38" s="47"/>
      <c r="F38" s="225"/>
      <c r="G38" s="251"/>
      <c r="H38" s="245"/>
      <c r="I38" s="245"/>
      <c r="J38" s="245"/>
      <c r="L38" s="85"/>
      <c r="M38" s="85"/>
      <c r="N38" s="252"/>
      <c r="O38" s="168"/>
      <c r="P38" s="168"/>
      <c r="Q38" s="168"/>
    </row>
    <row r="39" spans="2:17" x14ac:dyDescent="0.25">
      <c r="E39" s="47"/>
      <c r="F39" s="226"/>
      <c r="G39" s="245"/>
      <c r="H39" s="225"/>
      <c r="I39" s="225"/>
      <c r="J39" s="225"/>
      <c r="K39" s="47"/>
      <c r="M39" s="47"/>
      <c r="N39" s="165"/>
      <c r="O39" s="253"/>
      <c r="P39" s="253"/>
      <c r="Q39" s="253"/>
    </row>
    <row r="40" spans="2:17" x14ac:dyDescent="0.25">
      <c r="D40" s="8"/>
      <c r="E40" s="47"/>
      <c r="F40" s="226"/>
      <c r="G40" s="245"/>
      <c r="H40" s="225"/>
      <c r="I40" s="225"/>
      <c r="J40" s="225"/>
      <c r="K40" s="8"/>
      <c r="L40" s="47"/>
      <c r="M40" s="47"/>
      <c r="N40" s="165"/>
      <c r="O40" s="253"/>
      <c r="P40" s="253"/>
      <c r="Q40" s="253"/>
    </row>
    <row r="41" spans="2:17" x14ac:dyDescent="0.25">
      <c r="D41" s="8"/>
      <c r="E41" s="147"/>
      <c r="F41" s="226"/>
      <c r="G41" s="245"/>
      <c r="H41" s="225"/>
      <c r="I41" s="225"/>
      <c r="J41" s="225"/>
      <c r="K41" s="8"/>
      <c r="L41" s="147"/>
      <c r="M41" s="47"/>
      <c r="N41" s="165"/>
      <c r="O41" s="253"/>
      <c r="P41" s="253"/>
      <c r="Q41" s="253"/>
    </row>
    <row r="42" spans="2:17" x14ac:dyDescent="0.25">
      <c r="D42" s="8"/>
      <c r="E42" s="47"/>
      <c r="F42" s="226"/>
      <c r="G42" s="245"/>
      <c r="H42" s="225"/>
      <c r="I42" s="225"/>
      <c r="J42" s="225"/>
      <c r="K42" s="8"/>
      <c r="L42" s="47"/>
      <c r="M42" s="47"/>
      <c r="N42" s="165"/>
      <c r="O42" s="253"/>
      <c r="P42" s="253"/>
      <c r="Q42" s="253"/>
    </row>
    <row r="43" spans="2:17" x14ac:dyDescent="0.25">
      <c r="D43" s="8"/>
      <c r="E43" s="8"/>
      <c r="F43" s="226"/>
      <c r="G43" s="245"/>
      <c r="H43" s="225"/>
      <c r="I43" s="225"/>
      <c r="J43" s="225"/>
      <c r="K43" s="8"/>
      <c r="L43" s="47"/>
      <c r="M43" s="47"/>
      <c r="N43" s="165"/>
      <c r="O43" s="253"/>
      <c r="P43" s="253"/>
      <c r="Q43" s="253"/>
    </row>
    <row r="44" spans="2:17" x14ac:dyDescent="0.25">
      <c r="D44" s="8"/>
      <c r="E44" s="8"/>
      <c r="F44" s="85"/>
      <c r="G44" s="85"/>
      <c r="H44" s="85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openxmlformats.org/package/2006/metadata/core-properties"/>
    <ds:schemaRef ds:uri="http://purl.org/dc/terms/"/>
    <ds:schemaRef ds:uri="http://www.w3.org/XML/1998/namespace"/>
    <ds:schemaRef ds:uri="88a26cf8-717e-46a4-ac0d-03f11284dc6b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2025-12-09T19:08:04Z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