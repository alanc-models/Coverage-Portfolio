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Coverages/"/>
    </mc:Choice>
  </mc:AlternateContent>
  <xr:revisionPtr revIDLastSave="765" documentId="8_{A1F601E3-7502-46CA-962D-798F386A369C}" xr6:coauthVersionLast="47" xr6:coauthVersionMax="47" xr10:uidLastSave="{8393D85F-145B-430B-A166-A5E36C34093E}"/>
  <bookViews>
    <workbookView xWindow="5775" yWindow="4290" windowWidth="23715" windowHeight="14400" tabRatio="808" xr2:uid="{00000000-000D-0000-FFFF-FFFF00000000}"/>
  </bookViews>
  <sheets>
    <sheet name="MAIN" sheetId="3" r:id="rId1"/>
    <sheet name="Assumptions" sheetId="13" r:id="rId2"/>
    <sheet name="Revenue" sheetId="32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 iterate="1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3" l="1"/>
  <c r="G17" i="13" s="1"/>
  <c r="H17" i="13" s="1"/>
  <c r="I17" i="13" s="1"/>
  <c r="J17" i="13" s="1"/>
  <c r="F33" i="13"/>
  <c r="N11" i="12"/>
  <c r="H16" i="13"/>
  <c r="G16" i="13"/>
  <c r="G12" i="13"/>
  <c r="H12" i="13" s="1"/>
  <c r="I12" i="13" s="1"/>
  <c r="J12" i="13" s="1"/>
  <c r="F12" i="13"/>
  <c r="G11" i="13"/>
  <c r="H11" i="13"/>
  <c r="I11" i="13" s="1"/>
  <c r="J11" i="13" s="1"/>
  <c r="F11" i="13"/>
  <c r="R4" i="32"/>
  <c r="S4" i="32" s="1"/>
  <c r="T4" i="32" s="1"/>
  <c r="P16" i="12"/>
  <c r="P15" i="12"/>
  <c r="K16" i="12"/>
  <c r="J4" i="11"/>
  <c r="I4" i="11"/>
  <c r="Q8" i="12"/>
  <c r="I12" i="12"/>
  <c r="N12" i="12" s="1"/>
  <c r="I10" i="12"/>
  <c r="N10" i="12" s="1"/>
  <c r="J8" i="12"/>
  <c r="L8" i="12"/>
  <c r="G14" i="12"/>
  <c r="C17" i="12"/>
  <c r="G17" i="12" s="1"/>
  <c r="C13" i="12"/>
  <c r="G13" i="12" s="1"/>
  <c r="C12" i="12"/>
  <c r="G12" i="12" s="1"/>
  <c r="J7" i="11"/>
  <c r="I7" i="11"/>
  <c r="K7" i="11" s="1"/>
  <c r="J6" i="11"/>
  <c r="I6" i="11"/>
  <c r="J5" i="11"/>
  <c r="K5" i="11" s="1"/>
  <c r="I5" i="11"/>
  <c r="K6" i="11"/>
  <c r="K4" i="11"/>
  <c r="G9" i="10"/>
  <c r="H9" i="10"/>
  <c r="I9" i="10"/>
  <c r="J9" i="10"/>
  <c r="F9" i="10"/>
  <c r="F8" i="10"/>
  <c r="G5" i="9"/>
  <c r="H5" i="9"/>
  <c r="I5" i="9"/>
  <c r="J5" i="9"/>
  <c r="G32" i="6"/>
  <c r="H32" i="6"/>
  <c r="I32" i="6"/>
  <c r="J32" i="6"/>
  <c r="F13" i="5"/>
  <c r="G37" i="8"/>
  <c r="H37" i="8" s="1"/>
  <c r="I37" i="8" s="1"/>
  <c r="J37" i="8" s="1"/>
  <c r="G25" i="8"/>
  <c r="H25" i="8"/>
  <c r="I25" i="8"/>
  <c r="J25" i="8"/>
  <c r="G26" i="8"/>
  <c r="H26" i="8"/>
  <c r="I26" i="8"/>
  <c r="J26" i="8"/>
  <c r="G22" i="7"/>
  <c r="H22" i="7"/>
  <c r="I22" i="7"/>
  <c r="J22" i="7"/>
  <c r="G25" i="7"/>
  <c r="H25" i="7"/>
  <c r="I25" i="7"/>
  <c r="J25" i="7"/>
  <c r="G26" i="7"/>
  <c r="H26" i="7"/>
  <c r="I26" i="7"/>
  <c r="J26" i="7"/>
  <c r="G28" i="7"/>
  <c r="H28" i="7"/>
  <c r="I28" i="7"/>
  <c r="J28" i="7"/>
  <c r="G29" i="7"/>
  <c r="H29" i="7"/>
  <c r="I29" i="7"/>
  <c r="J29" i="7"/>
  <c r="G38" i="7"/>
  <c r="H38" i="7"/>
  <c r="I38" i="7"/>
  <c r="J38" i="7"/>
  <c r="F29" i="7"/>
  <c r="F28" i="7"/>
  <c r="F32" i="6"/>
  <c r="F19" i="9"/>
  <c r="E24" i="5"/>
  <c r="E23" i="5"/>
  <c r="E22" i="5"/>
  <c r="E21" i="5"/>
  <c r="E20" i="5"/>
  <c r="E19" i="5"/>
  <c r="E18" i="5"/>
  <c r="F5" i="9"/>
  <c r="F4" i="9"/>
  <c r="E16" i="5"/>
  <c r="F37" i="8"/>
  <c r="F26" i="8"/>
  <c r="F25" i="8"/>
  <c r="F21" i="7"/>
  <c r="F10" i="5"/>
  <c r="F8" i="5"/>
  <c r="F6" i="5"/>
  <c r="E9" i="5"/>
  <c r="F38" i="7"/>
  <c r="F26" i="7"/>
  <c r="F25" i="7"/>
  <c r="F22" i="7"/>
  <c r="Q6" i="32"/>
  <c r="R6" i="32" s="1"/>
  <c r="S6" i="32" s="1"/>
  <c r="T6" i="32" s="1"/>
  <c r="E33" i="13"/>
  <c r="D33" i="13"/>
  <c r="C33" i="13"/>
  <c r="E54" i="13"/>
  <c r="D54" i="13"/>
  <c r="C54" i="13"/>
  <c r="E53" i="13"/>
  <c r="D53" i="13"/>
  <c r="C53" i="13"/>
  <c r="E52" i="13"/>
  <c r="F52" i="13" s="1"/>
  <c r="F12" i="8" s="1"/>
  <c r="D52" i="13"/>
  <c r="C52" i="13"/>
  <c r="E45" i="13"/>
  <c r="F45" i="13" s="1"/>
  <c r="D45" i="13"/>
  <c r="C45" i="13"/>
  <c r="E48" i="13"/>
  <c r="D48" i="13"/>
  <c r="C48" i="13"/>
  <c r="E47" i="13"/>
  <c r="D47" i="13"/>
  <c r="C47" i="13"/>
  <c r="E44" i="13"/>
  <c r="D44" i="13"/>
  <c r="C44" i="13"/>
  <c r="E43" i="13"/>
  <c r="D43" i="13"/>
  <c r="C43" i="13"/>
  <c r="E42" i="13"/>
  <c r="D42" i="13"/>
  <c r="C42" i="13"/>
  <c r="E38" i="13"/>
  <c r="D38" i="13"/>
  <c r="C38" i="13"/>
  <c r="E37" i="13"/>
  <c r="D37" i="13"/>
  <c r="C37" i="13"/>
  <c r="D32" i="13"/>
  <c r="E32" i="13"/>
  <c r="F32" i="13" s="1"/>
  <c r="G32" i="13" s="1"/>
  <c r="H32" i="13" s="1"/>
  <c r="I32" i="13" s="1"/>
  <c r="J32" i="13" s="1"/>
  <c r="C31" i="13"/>
  <c r="D31" i="13"/>
  <c r="E31" i="13"/>
  <c r="F24" i="13"/>
  <c r="E24" i="13"/>
  <c r="D24" i="13"/>
  <c r="C24" i="13"/>
  <c r="E18" i="13"/>
  <c r="D18" i="13"/>
  <c r="C18" i="13"/>
  <c r="E17" i="13"/>
  <c r="D17" i="13"/>
  <c r="C17" i="13"/>
  <c r="E16" i="13"/>
  <c r="D16" i="13"/>
  <c r="C16" i="13"/>
  <c r="E19" i="7"/>
  <c r="D19" i="7"/>
  <c r="C19" i="7"/>
  <c r="E12" i="13"/>
  <c r="D12" i="13"/>
  <c r="C12" i="13"/>
  <c r="C10" i="13"/>
  <c r="D10" i="13"/>
  <c r="E10" i="13"/>
  <c r="N5" i="32"/>
  <c r="N3" i="32"/>
  <c r="O3" i="32" s="1"/>
  <c r="O4" i="32" s="1"/>
  <c r="M8" i="32"/>
  <c r="L8" i="32"/>
  <c r="K8" i="32"/>
  <c r="M6" i="32"/>
  <c r="L6" i="32"/>
  <c r="K6" i="32"/>
  <c r="L4" i="32"/>
  <c r="K4" i="32"/>
  <c r="M4" i="32"/>
  <c r="J8" i="32"/>
  <c r="J6" i="32"/>
  <c r="J4" i="32"/>
  <c r="E8" i="32"/>
  <c r="D8" i="32"/>
  <c r="E6" i="32"/>
  <c r="D6" i="32"/>
  <c r="D4" i="32"/>
  <c r="E4" i="32"/>
  <c r="I5" i="32"/>
  <c r="I3" i="32"/>
  <c r="I7" i="32" s="1"/>
  <c r="M7" i="32"/>
  <c r="L7" i="32"/>
  <c r="K7" i="32"/>
  <c r="J7" i="32"/>
  <c r="H7" i="32"/>
  <c r="G7" i="32"/>
  <c r="F7" i="32"/>
  <c r="E7" i="32"/>
  <c r="D7" i="32"/>
  <c r="C7" i="32"/>
  <c r="P2" i="32"/>
  <c r="Q2" i="32" s="1"/>
  <c r="R2" i="32" s="1"/>
  <c r="S2" i="32" s="1"/>
  <c r="T2" i="32" s="1"/>
  <c r="A1" i="32"/>
  <c r="C38" i="8"/>
  <c r="C39" i="8" s="1"/>
  <c r="C34" i="8"/>
  <c r="C33" i="8"/>
  <c r="C27" i="8"/>
  <c r="C28" i="8" s="1"/>
  <c r="C24" i="8"/>
  <c r="C19" i="8"/>
  <c r="C18" i="8"/>
  <c r="C21" i="8" s="1"/>
  <c r="D38" i="8"/>
  <c r="D39" i="8" s="1"/>
  <c r="E38" i="8"/>
  <c r="D34" i="8"/>
  <c r="D33" i="8"/>
  <c r="E33" i="8"/>
  <c r="E34" i="8"/>
  <c r="E35" i="8"/>
  <c r="D27" i="8"/>
  <c r="D24" i="8"/>
  <c r="E27" i="8"/>
  <c r="E25" i="8"/>
  <c r="E24" i="8"/>
  <c r="D21" i="8"/>
  <c r="E21" i="8"/>
  <c r="D17" i="8"/>
  <c r="D18" i="8" s="1"/>
  <c r="C17" i="8"/>
  <c r="E17" i="8"/>
  <c r="C16" i="7"/>
  <c r="C11" i="13" s="1"/>
  <c r="D16" i="7"/>
  <c r="D11" i="13" s="1"/>
  <c r="E16" i="7"/>
  <c r="E11" i="13" s="1"/>
  <c r="E17" i="7"/>
  <c r="C18" i="7"/>
  <c r="C31" i="7" s="1"/>
  <c r="F7" i="3"/>
  <c r="G8" i="7"/>
  <c r="H8" i="7"/>
  <c r="I8" i="7"/>
  <c r="J8" i="7"/>
  <c r="G9" i="7"/>
  <c r="H9" i="7"/>
  <c r="I9" i="7"/>
  <c r="J9" i="7"/>
  <c r="A1" i="10"/>
  <c r="D28" i="8"/>
  <c r="C35" i="8"/>
  <c r="E39" i="8"/>
  <c r="C10" i="5"/>
  <c r="C17" i="5" s="1"/>
  <c r="D2" i="5"/>
  <c r="E2" i="5" s="1"/>
  <c r="F6" i="3"/>
  <c r="F9" i="3" s="1"/>
  <c r="F13" i="13"/>
  <c r="F7" i="7" s="1"/>
  <c r="F31" i="13"/>
  <c r="F3" i="5" s="1"/>
  <c r="J11" i="6"/>
  <c r="J30" i="6" s="1"/>
  <c r="I11" i="6"/>
  <c r="I30" i="6" s="1"/>
  <c r="H11" i="6"/>
  <c r="H16" i="6" s="1"/>
  <c r="H24" i="6" s="1"/>
  <c r="G11" i="6"/>
  <c r="G16" i="6" s="1"/>
  <c r="G24" i="6" s="1"/>
  <c r="F11" i="6"/>
  <c r="F30" i="6" s="1"/>
  <c r="E11" i="6"/>
  <c r="E16" i="6" s="1"/>
  <c r="E24" i="6" s="1"/>
  <c r="D11" i="6"/>
  <c r="D16" i="6" s="1"/>
  <c r="D24" i="6" s="1"/>
  <c r="C11" i="6"/>
  <c r="C30" i="6" s="1"/>
  <c r="F23" i="13"/>
  <c r="G23" i="13" s="1"/>
  <c r="F22" i="13"/>
  <c r="F4" i="6" s="1"/>
  <c r="F6" i="6"/>
  <c r="F47" i="13"/>
  <c r="G47" i="13" s="1"/>
  <c r="F44" i="13"/>
  <c r="F6" i="8" s="1"/>
  <c r="G44" i="13"/>
  <c r="H44" i="13" s="1"/>
  <c r="D2" i="10"/>
  <c r="E2" i="10" s="1"/>
  <c r="F2" i="10" s="1"/>
  <c r="G2" i="10" s="1"/>
  <c r="H2" i="10" s="1"/>
  <c r="I2" i="10" s="1"/>
  <c r="J2" i="10" s="1"/>
  <c r="D2" i="9"/>
  <c r="E2" i="9"/>
  <c r="F2" i="9" s="1"/>
  <c r="G2" i="9" s="1"/>
  <c r="H2" i="9" s="1"/>
  <c r="I2" i="9" s="1"/>
  <c r="J2" i="9" s="1"/>
  <c r="J16" i="8"/>
  <c r="I16" i="8"/>
  <c r="H16" i="8"/>
  <c r="G16" i="8"/>
  <c r="F16" i="8"/>
  <c r="E16" i="8"/>
  <c r="D16" i="8"/>
  <c r="C16" i="8"/>
  <c r="F9" i="7"/>
  <c r="J14" i="7"/>
  <c r="I14" i="7"/>
  <c r="H14" i="7"/>
  <c r="G14" i="7"/>
  <c r="F14" i="7"/>
  <c r="E14" i="7"/>
  <c r="D14" i="7"/>
  <c r="C14" i="7"/>
  <c r="D18" i="7"/>
  <c r="D31" i="7" s="1"/>
  <c r="A1" i="3"/>
  <c r="A1" i="13"/>
  <c r="A1" i="5"/>
  <c r="A1" i="6"/>
  <c r="A1" i="7"/>
  <c r="A1" i="8"/>
  <c r="A1" i="9"/>
  <c r="A1" i="11"/>
  <c r="A1" i="12"/>
  <c r="F8" i="6"/>
  <c r="B20" i="5"/>
  <c r="B19" i="5"/>
  <c r="F9" i="6"/>
  <c r="G9" i="6"/>
  <c r="H9" i="6"/>
  <c r="I9" i="6"/>
  <c r="J9" i="6"/>
  <c r="J8" i="6"/>
  <c r="I8" i="6"/>
  <c r="H8" i="6"/>
  <c r="G8" i="6"/>
  <c r="E2" i="12"/>
  <c r="F2" i="12"/>
  <c r="G2" i="12" s="1"/>
  <c r="H2" i="12" s="1"/>
  <c r="F8" i="7"/>
  <c r="G33" i="13" l="1"/>
  <c r="F11" i="5"/>
  <c r="P3" i="32"/>
  <c r="I9" i="12"/>
  <c r="N9" i="12" s="1"/>
  <c r="I13" i="12"/>
  <c r="N13" i="12" s="1"/>
  <c r="O8" i="12"/>
  <c r="E18" i="8"/>
  <c r="E22" i="8" s="1"/>
  <c r="D22" i="8"/>
  <c r="N7" i="32"/>
  <c r="O5" i="32"/>
  <c r="O7" i="32" s="1"/>
  <c r="C42" i="8"/>
  <c r="C22" i="8"/>
  <c r="C30" i="8" s="1"/>
  <c r="D35" i="8"/>
  <c r="D42" i="8"/>
  <c r="E28" i="8"/>
  <c r="C34" i="7"/>
  <c r="D34" i="7"/>
  <c r="D23" i="7"/>
  <c r="G30" i="6"/>
  <c r="E30" i="6"/>
  <c r="F5" i="6"/>
  <c r="F10" i="8"/>
  <c r="G10" i="7"/>
  <c r="G5" i="10" s="1"/>
  <c r="G5" i="6"/>
  <c r="H23" i="13"/>
  <c r="G24" i="13"/>
  <c r="G6" i="6" s="1"/>
  <c r="G52" i="13"/>
  <c r="G13" i="13"/>
  <c r="G22" i="13"/>
  <c r="G4" i="6" s="1"/>
  <c r="D10" i="5"/>
  <c r="D17" i="5" s="1"/>
  <c r="E10" i="5"/>
  <c r="E17" i="5" s="1"/>
  <c r="F2" i="5"/>
  <c r="F16" i="6"/>
  <c r="F24" i="6" s="1"/>
  <c r="D30" i="6"/>
  <c r="J16" i="6"/>
  <c r="J24" i="6" s="1"/>
  <c r="D30" i="8"/>
  <c r="C16" i="6"/>
  <c r="C24" i="6" s="1"/>
  <c r="I16" i="6"/>
  <c r="I24" i="6" s="1"/>
  <c r="H30" i="6"/>
  <c r="E42" i="8"/>
  <c r="G10" i="8"/>
  <c r="H47" i="13"/>
  <c r="H10" i="8" s="1"/>
  <c r="G31" i="13"/>
  <c r="F4" i="5"/>
  <c r="G4" i="5" s="1"/>
  <c r="H4" i="5" s="1"/>
  <c r="I4" i="5" s="1"/>
  <c r="J4" i="5" s="1"/>
  <c r="H6" i="8"/>
  <c r="I44" i="13"/>
  <c r="G6" i="8"/>
  <c r="C23" i="7"/>
  <c r="F7" i="8"/>
  <c r="G45" i="13"/>
  <c r="F42" i="13"/>
  <c r="F53" i="13"/>
  <c r="F43" i="13"/>
  <c r="E18" i="7"/>
  <c r="E31" i="7" s="1"/>
  <c r="F48" i="13"/>
  <c r="F54" i="13"/>
  <c r="H33" i="13" l="1"/>
  <c r="G11" i="5"/>
  <c r="F14" i="9"/>
  <c r="F15" i="9" s="1"/>
  <c r="F15" i="5"/>
  <c r="O6" i="32"/>
  <c r="P5" i="32"/>
  <c r="Q5" i="32" s="1"/>
  <c r="R5" i="32" s="1"/>
  <c r="S5" i="32" s="1"/>
  <c r="P7" i="32"/>
  <c r="P8" i="32" s="1"/>
  <c r="G6" i="13" s="1"/>
  <c r="Q3" i="32"/>
  <c r="D40" i="7"/>
  <c r="D39" i="7"/>
  <c r="C40" i="7"/>
  <c r="C39" i="7"/>
  <c r="E30" i="8"/>
  <c r="N8" i="32"/>
  <c r="O8" i="32"/>
  <c r="F6" i="13" s="1"/>
  <c r="C44" i="8"/>
  <c r="D44" i="8"/>
  <c r="E44" i="8"/>
  <c r="H24" i="13"/>
  <c r="I24" i="13" s="1"/>
  <c r="H10" i="7"/>
  <c r="H5" i="10" s="1"/>
  <c r="I16" i="13"/>
  <c r="H5" i="6"/>
  <c r="I23" i="13"/>
  <c r="I47" i="13"/>
  <c r="H22" i="13"/>
  <c r="H13" i="13"/>
  <c r="G7" i="7"/>
  <c r="G12" i="8"/>
  <c r="H52" i="13"/>
  <c r="G2" i="5"/>
  <c r="F17" i="5"/>
  <c r="H31" i="13"/>
  <c r="G3" i="5"/>
  <c r="H4" i="6"/>
  <c r="I22" i="13"/>
  <c r="J47" i="13"/>
  <c r="I10" i="8"/>
  <c r="I6" i="8"/>
  <c r="J44" i="13"/>
  <c r="F5" i="8"/>
  <c r="G43" i="13"/>
  <c r="G42" i="13"/>
  <c r="H42" i="13" s="1"/>
  <c r="I42" i="13" s="1"/>
  <c r="J42" i="13" s="1"/>
  <c r="F4" i="8"/>
  <c r="F14" i="8"/>
  <c r="G54" i="13"/>
  <c r="G48" i="13"/>
  <c r="F9" i="8"/>
  <c r="E34" i="7"/>
  <c r="E23" i="7"/>
  <c r="F13" i="8"/>
  <c r="G53" i="13"/>
  <c r="G7" i="8"/>
  <c r="H45" i="13"/>
  <c r="H11" i="5" l="1"/>
  <c r="I33" i="13"/>
  <c r="G15" i="5"/>
  <c r="G14" i="9"/>
  <c r="G15" i="9" s="1"/>
  <c r="G10" i="13"/>
  <c r="G4" i="7" s="1"/>
  <c r="G8" i="13"/>
  <c r="G7" i="13"/>
  <c r="F7" i="13"/>
  <c r="F8" i="13"/>
  <c r="R3" i="32"/>
  <c r="Q7" i="32"/>
  <c r="Q8" i="32" s="1"/>
  <c r="H6" i="13" s="1"/>
  <c r="T5" i="32"/>
  <c r="E40" i="7"/>
  <c r="E39" i="7"/>
  <c r="H6" i="6"/>
  <c r="I10" i="7"/>
  <c r="I5" i="10" s="1"/>
  <c r="J16" i="13"/>
  <c r="J23" i="13"/>
  <c r="I5" i="6"/>
  <c r="H12" i="8"/>
  <c r="I52" i="13"/>
  <c r="G5" i="7"/>
  <c r="I13" i="13"/>
  <c r="H7" i="7"/>
  <c r="G6" i="7"/>
  <c r="H2" i="5"/>
  <c r="G10" i="5"/>
  <c r="G17" i="5" s="1"/>
  <c r="I4" i="6"/>
  <c r="J22" i="13"/>
  <c r="I31" i="13"/>
  <c r="H3" i="5"/>
  <c r="J10" i="8"/>
  <c r="J24" i="13"/>
  <c r="I6" i="6"/>
  <c r="J6" i="8"/>
  <c r="H53" i="13"/>
  <c r="G13" i="8"/>
  <c r="F5" i="7"/>
  <c r="H48" i="13"/>
  <c r="G9" i="8"/>
  <c r="H54" i="13"/>
  <c r="G14" i="8"/>
  <c r="I45" i="13"/>
  <c r="H7" i="8"/>
  <c r="F6" i="7"/>
  <c r="G4" i="8"/>
  <c r="H43" i="13"/>
  <c r="G5" i="8"/>
  <c r="H15" i="5" l="1"/>
  <c r="H14" i="9"/>
  <c r="H15" i="9" s="1"/>
  <c r="J33" i="13"/>
  <c r="J11" i="5" s="1"/>
  <c r="I11" i="5"/>
  <c r="H7" i="13"/>
  <c r="H10" i="13"/>
  <c r="H4" i="7" s="1"/>
  <c r="H8" i="13"/>
  <c r="S3" i="32"/>
  <c r="R7" i="32"/>
  <c r="R8" i="32" s="1"/>
  <c r="I6" i="13" s="1"/>
  <c r="J10" i="7"/>
  <c r="J5" i="10" s="1"/>
  <c r="J5" i="6"/>
  <c r="H6" i="7"/>
  <c r="J13" i="13"/>
  <c r="I7" i="7"/>
  <c r="H5" i="7"/>
  <c r="J52" i="13"/>
  <c r="I12" i="8"/>
  <c r="I2" i="5"/>
  <c r="H10" i="5"/>
  <c r="H17" i="5" s="1"/>
  <c r="I3" i="5"/>
  <c r="J31" i="13"/>
  <c r="J4" i="6"/>
  <c r="J6" i="6"/>
  <c r="J45" i="13"/>
  <c r="I7" i="8"/>
  <c r="H14" i="8"/>
  <c r="I54" i="13"/>
  <c r="I48" i="13"/>
  <c r="H9" i="8"/>
  <c r="I43" i="13"/>
  <c r="H5" i="8"/>
  <c r="H4" i="8"/>
  <c r="L4" i="11"/>
  <c r="L5" i="11" s="1"/>
  <c r="L6" i="11" s="1"/>
  <c r="L7" i="11" s="1"/>
  <c r="I53" i="13"/>
  <c r="H13" i="8"/>
  <c r="J15" i="5" l="1"/>
  <c r="J14" i="9"/>
  <c r="J15" i="9" s="1"/>
  <c r="I15" i="5"/>
  <c r="I14" i="9"/>
  <c r="I15" i="9" s="1"/>
  <c r="I7" i="13"/>
  <c r="I10" i="13"/>
  <c r="I4" i="7" s="1"/>
  <c r="I8" i="13"/>
  <c r="T3" i="32"/>
  <c r="T7" i="32" s="1"/>
  <c r="S7" i="32"/>
  <c r="S8" i="32" s="1"/>
  <c r="J6" i="13" s="1"/>
  <c r="G11" i="7"/>
  <c r="G37" i="7" s="1"/>
  <c r="J12" i="8"/>
  <c r="I5" i="7"/>
  <c r="J7" i="7"/>
  <c r="I6" i="7"/>
  <c r="J2" i="5"/>
  <c r="I10" i="5"/>
  <c r="I17" i="5" s="1"/>
  <c r="J3" i="5"/>
  <c r="I4" i="8"/>
  <c r="F18" i="13"/>
  <c r="G18" i="13" s="1"/>
  <c r="I5" i="8"/>
  <c r="J43" i="13"/>
  <c r="J48" i="13"/>
  <c r="I9" i="8"/>
  <c r="I14" i="8"/>
  <c r="J54" i="13"/>
  <c r="J7" i="8"/>
  <c r="J53" i="13"/>
  <c r="I13" i="8"/>
  <c r="F10" i="7"/>
  <c r="F5" i="10" s="1"/>
  <c r="E12" i="11"/>
  <c r="F37" i="13"/>
  <c r="F11" i="7"/>
  <c r="F37" i="7" s="1"/>
  <c r="J7" i="13" l="1"/>
  <c r="J10" i="13"/>
  <c r="J4" i="7" s="1"/>
  <c r="J8" i="13"/>
  <c r="T8" i="32"/>
  <c r="G12" i="7"/>
  <c r="H18" i="13"/>
  <c r="J6" i="7"/>
  <c r="J5" i="7"/>
  <c r="H11" i="7"/>
  <c r="H37" i="7" s="1"/>
  <c r="J10" i="5"/>
  <c r="J17" i="5" s="1"/>
  <c r="J9" i="8"/>
  <c r="G37" i="13"/>
  <c r="M4" i="11"/>
  <c r="J14" i="8"/>
  <c r="J13" i="8"/>
  <c r="J5" i="8"/>
  <c r="F38" i="13"/>
  <c r="F12" i="7"/>
  <c r="J4" i="8"/>
  <c r="H12" i="7" l="1"/>
  <c r="I18" i="13"/>
  <c r="I11" i="7"/>
  <c r="I37" i="7" s="1"/>
  <c r="M5" i="11"/>
  <c r="H37" i="13"/>
  <c r="G38" i="13"/>
  <c r="J11" i="7" l="1"/>
  <c r="J37" i="7" s="1"/>
  <c r="J18" i="13"/>
  <c r="I12" i="7"/>
  <c r="H38" i="13"/>
  <c r="M6" i="11"/>
  <c r="M7" i="11"/>
  <c r="I37" i="13"/>
  <c r="J12" i="7" l="1"/>
  <c r="M9" i="11"/>
  <c r="M11" i="11" s="1"/>
  <c r="E8" i="11" s="1"/>
  <c r="E13" i="11" s="1"/>
  <c r="M3" i="12" s="1"/>
  <c r="I38" i="13"/>
  <c r="J37" i="13"/>
  <c r="E3" i="12" l="1"/>
  <c r="F3" i="12"/>
  <c r="G3" i="12"/>
  <c r="H3" i="12"/>
  <c r="D3" i="12"/>
  <c r="J38" i="13"/>
  <c r="F10" i="13" l="1"/>
  <c r="F4" i="7" l="1"/>
  <c r="F15" i="7" s="1"/>
  <c r="G15" i="7" l="1"/>
  <c r="F7" i="5"/>
  <c r="F19" i="8"/>
  <c r="F20" i="5" s="1"/>
  <c r="F17" i="8"/>
  <c r="F3" i="10"/>
  <c r="F17" i="7"/>
  <c r="F38" i="8"/>
  <c r="F21" i="8"/>
  <c r="F21" i="5" s="1"/>
  <c r="F16" i="7"/>
  <c r="F34" i="8"/>
  <c r="F23" i="5" s="1"/>
  <c r="F27" i="8"/>
  <c r="F8" i="9" l="1"/>
  <c r="F12" i="10" s="1"/>
  <c r="F39" i="8"/>
  <c r="F18" i="5"/>
  <c r="F7" i="9"/>
  <c r="F11" i="10" s="1"/>
  <c r="F20" i="8"/>
  <c r="F19" i="5" s="1"/>
  <c r="F33" i="8"/>
  <c r="F22" i="5" s="1"/>
  <c r="F18" i="7"/>
  <c r="F11" i="9"/>
  <c r="F12" i="9" s="1"/>
  <c r="F13" i="10" s="1"/>
  <c r="F9" i="5"/>
  <c r="H15" i="7"/>
  <c r="G34" i="8"/>
  <c r="G23" i="5" s="1"/>
  <c r="G3" i="10"/>
  <c r="G7" i="5"/>
  <c r="G11" i="9" s="1"/>
  <c r="G12" i="9" s="1"/>
  <c r="G13" i="10" s="1"/>
  <c r="G27" i="8"/>
  <c r="G17" i="8"/>
  <c r="G19" i="8"/>
  <c r="G20" i="5" s="1"/>
  <c r="G38" i="8"/>
  <c r="G21" i="8"/>
  <c r="G21" i="5" s="1"/>
  <c r="G17" i="7"/>
  <c r="G16" i="7"/>
  <c r="F24" i="8" l="1"/>
  <c r="F28" i="8" s="1"/>
  <c r="G6" i="5"/>
  <c r="F31" i="7"/>
  <c r="F33" i="7" s="1"/>
  <c r="F34" i="7" s="1"/>
  <c r="F19" i="7"/>
  <c r="F4" i="10"/>
  <c r="F7" i="10" s="1"/>
  <c r="F23" i="7"/>
  <c r="G8" i="9"/>
  <c r="G12" i="10" s="1"/>
  <c r="G39" i="8"/>
  <c r="G18" i="5"/>
  <c r="G18" i="7"/>
  <c r="G20" i="8"/>
  <c r="G19" i="5" s="1"/>
  <c r="G33" i="8"/>
  <c r="G22" i="5" s="1"/>
  <c r="H34" i="8"/>
  <c r="H23" i="5" s="1"/>
  <c r="H3" i="10"/>
  <c r="H27" i="8"/>
  <c r="H17" i="8"/>
  <c r="H7" i="5"/>
  <c r="H11" i="9" s="1"/>
  <c r="H12" i="9" s="1"/>
  <c r="H13" i="10" s="1"/>
  <c r="H38" i="8"/>
  <c r="H19" i="8"/>
  <c r="H20" i="5" s="1"/>
  <c r="H21" i="8"/>
  <c r="H21" i="5" s="1"/>
  <c r="I15" i="7"/>
  <c r="H17" i="7"/>
  <c r="H16" i="7"/>
  <c r="G7" i="9"/>
  <c r="G11" i="10" s="1"/>
  <c r="F24" i="5"/>
  <c r="H18" i="7" l="1"/>
  <c r="H19" i="7" s="1"/>
  <c r="H18" i="5"/>
  <c r="F25" i="5"/>
  <c r="F6" i="9" s="1"/>
  <c r="F10" i="10" s="1"/>
  <c r="G4" i="10"/>
  <c r="G7" i="10" s="1"/>
  <c r="G19" i="7"/>
  <c r="G31" i="7"/>
  <c r="G33" i="7" s="1"/>
  <c r="G34" i="7" s="1"/>
  <c r="H20" i="8"/>
  <c r="H19" i="5" s="1"/>
  <c r="H33" i="8"/>
  <c r="H22" i="5" s="1"/>
  <c r="I34" i="8"/>
  <c r="I23" i="5" s="1"/>
  <c r="I3" i="10"/>
  <c r="I27" i="8"/>
  <c r="I7" i="9" s="1"/>
  <c r="I11" i="10" s="1"/>
  <c r="I7" i="5"/>
  <c r="I11" i="9" s="1"/>
  <c r="I12" i="9" s="1"/>
  <c r="I13" i="10" s="1"/>
  <c r="I17" i="8"/>
  <c r="I19" i="8"/>
  <c r="I20" i="5" s="1"/>
  <c r="I38" i="8"/>
  <c r="I21" i="8"/>
  <c r="I21" i="5" s="1"/>
  <c r="I16" i="7"/>
  <c r="J15" i="7"/>
  <c r="I17" i="7"/>
  <c r="G24" i="5"/>
  <c r="F15" i="10"/>
  <c r="D4" i="12" s="1"/>
  <c r="H8" i="9"/>
  <c r="H12" i="10" s="1"/>
  <c r="H39" i="8"/>
  <c r="F39" i="7"/>
  <c r="F40" i="7"/>
  <c r="F14" i="5"/>
  <c r="F16" i="5" s="1"/>
  <c r="F3" i="9"/>
  <c r="G8" i="5"/>
  <c r="G9" i="5" s="1"/>
  <c r="H7" i="9"/>
  <c r="H11" i="10" s="1"/>
  <c r="H31" i="7" l="1"/>
  <c r="H33" i="7" s="1"/>
  <c r="H34" i="7" s="1"/>
  <c r="H4" i="10"/>
  <c r="H7" i="10" s="1"/>
  <c r="I18" i="7"/>
  <c r="I4" i="10" s="1"/>
  <c r="I7" i="10" s="1"/>
  <c r="I20" i="8"/>
  <c r="I19" i="5" s="1"/>
  <c r="I33" i="8"/>
  <c r="I22" i="5" s="1"/>
  <c r="I8" i="9"/>
  <c r="I12" i="10" s="1"/>
  <c r="I39" i="8"/>
  <c r="G14" i="5"/>
  <c r="G39" i="7"/>
  <c r="G40" i="7"/>
  <c r="G3" i="9"/>
  <c r="G25" i="5"/>
  <c r="G6" i="9" s="1"/>
  <c r="G10" i="10" s="1"/>
  <c r="I18" i="5"/>
  <c r="H24" i="5"/>
  <c r="J34" i="8"/>
  <c r="J23" i="5" s="1"/>
  <c r="J27" i="8"/>
  <c r="J7" i="9" s="1"/>
  <c r="J11" i="10" s="1"/>
  <c r="J21" i="8"/>
  <c r="J21" i="5" s="1"/>
  <c r="J3" i="10"/>
  <c r="J17" i="8"/>
  <c r="J19" i="8"/>
  <c r="J20" i="5" s="1"/>
  <c r="J7" i="5"/>
  <c r="J11" i="9" s="1"/>
  <c r="J12" i="9" s="1"/>
  <c r="J13" i="10" s="1"/>
  <c r="J38" i="8"/>
  <c r="J16" i="7"/>
  <c r="J17" i="7"/>
  <c r="H6" i="5"/>
  <c r="G24" i="8"/>
  <c r="G28" i="8" s="1"/>
  <c r="G21" i="7"/>
  <c r="G23" i="7" s="1"/>
  <c r="G4" i="9"/>
  <c r="G8" i="10" s="1"/>
  <c r="F9" i="9"/>
  <c r="F17" i="9" s="1"/>
  <c r="F20" i="9" s="1"/>
  <c r="F21" i="9" s="1"/>
  <c r="F41" i="8"/>
  <c r="G13" i="5"/>
  <c r="H40" i="7" l="1"/>
  <c r="H3" i="9"/>
  <c r="H14" i="5"/>
  <c r="H39" i="7"/>
  <c r="G16" i="5"/>
  <c r="I31" i="7"/>
  <c r="I33" i="7" s="1"/>
  <c r="I34" i="7" s="1"/>
  <c r="I19" i="7"/>
  <c r="I24" i="5"/>
  <c r="I25" i="5" s="1"/>
  <c r="I6" i="9" s="1"/>
  <c r="I10" i="10" s="1"/>
  <c r="G15" i="10"/>
  <c r="E4" i="12" s="1"/>
  <c r="G9" i="9"/>
  <c r="G17" i="9" s="1"/>
  <c r="G20" i="9" s="1"/>
  <c r="H8" i="5"/>
  <c r="H9" i="5" s="1"/>
  <c r="J18" i="7"/>
  <c r="J33" i="8"/>
  <c r="J22" i="5" s="1"/>
  <c r="J20" i="8"/>
  <c r="J19" i="5" s="1"/>
  <c r="J8" i="9"/>
  <c r="J12" i="10" s="1"/>
  <c r="J39" i="8"/>
  <c r="J18" i="5"/>
  <c r="F32" i="8"/>
  <c r="F35" i="8" s="1"/>
  <c r="F42" i="8" s="1"/>
  <c r="F18" i="8"/>
  <c r="H25" i="5"/>
  <c r="H6" i="9" s="1"/>
  <c r="H10" i="10" s="1"/>
  <c r="H13" i="5" l="1"/>
  <c r="H16" i="5" s="1"/>
  <c r="G41" i="8"/>
  <c r="I14" i="5"/>
  <c r="I39" i="7"/>
  <c r="I40" i="7"/>
  <c r="I3" i="9"/>
  <c r="J24" i="5"/>
  <c r="J25" i="5" s="1"/>
  <c r="J6" i="9" s="1"/>
  <c r="J10" i="10" s="1"/>
  <c r="F31" i="6"/>
  <c r="F33" i="6" s="1"/>
  <c r="G19" i="9"/>
  <c r="G21" i="9" s="1"/>
  <c r="F22" i="8"/>
  <c r="F30" i="8" s="1"/>
  <c r="F44" i="8" s="1"/>
  <c r="I6" i="5"/>
  <c r="H24" i="8"/>
  <c r="H28" i="8" s="1"/>
  <c r="H21" i="7"/>
  <c r="H23" i="7" s="1"/>
  <c r="H4" i="9"/>
  <c r="J4" i="10"/>
  <c r="J7" i="10" s="1"/>
  <c r="J19" i="7"/>
  <c r="J31" i="7"/>
  <c r="J33" i="7" s="1"/>
  <c r="J34" i="7" s="1"/>
  <c r="I13" i="5" l="1"/>
  <c r="I16" i="5" s="1"/>
  <c r="H41" i="8"/>
  <c r="G32" i="8"/>
  <c r="G35" i="8" s="1"/>
  <c r="G42" i="8" s="1"/>
  <c r="G18" i="8"/>
  <c r="J14" i="5"/>
  <c r="J39" i="7"/>
  <c r="J40" i="7"/>
  <c r="J3" i="9"/>
  <c r="I8" i="5"/>
  <c r="I9" i="5" s="1"/>
  <c r="H8" i="10"/>
  <c r="H15" i="10" s="1"/>
  <c r="F4" i="12" s="1"/>
  <c r="H9" i="9"/>
  <c r="H17" i="9" s="1"/>
  <c r="H20" i="9" s="1"/>
  <c r="J13" i="5" l="1"/>
  <c r="J16" i="5" s="1"/>
  <c r="J41" i="8" s="1"/>
  <c r="I41" i="8"/>
  <c r="I21" i="7"/>
  <c r="I23" i="7" s="1"/>
  <c r="I4" i="9"/>
  <c r="J6" i="5"/>
  <c r="I24" i="8"/>
  <c r="I28" i="8" s="1"/>
  <c r="H19" i="9"/>
  <c r="H21" i="9" s="1"/>
  <c r="G31" i="6"/>
  <c r="G33" i="6" s="1"/>
  <c r="G22" i="8"/>
  <c r="G30" i="8" s="1"/>
  <c r="G44" i="8" s="1"/>
  <c r="H18" i="8" l="1"/>
  <c r="H32" i="8"/>
  <c r="H35" i="8" s="1"/>
  <c r="H42" i="8" s="1"/>
  <c r="J8" i="5"/>
  <c r="J9" i="5" s="1"/>
  <c r="J24" i="8" s="1"/>
  <c r="J28" i="8" s="1"/>
  <c r="I8" i="10"/>
  <c r="I15" i="10" s="1"/>
  <c r="G4" i="12" s="1"/>
  <c r="I9" i="9"/>
  <c r="I17" i="9" s="1"/>
  <c r="I20" i="9" s="1"/>
  <c r="J21" i="7" l="1"/>
  <c r="J23" i="7" s="1"/>
  <c r="G8" i="12" s="1"/>
  <c r="J4" i="9"/>
  <c r="I19" i="9"/>
  <c r="I21" i="9" s="1"/>
  <c r="H31" i="6"/>
  <c r="H33" i="6" s="1"/>
  <c r="H22" i="8"/>
  <c r="H30" i="8" s="1"/>
  <c r="H44" i="8" s="1"/>
  <c r="I18" i="8" l="1"/>
  <c r="I32" i="8"/>
  <c r="I35" i="8" s="1"/>
  <c r="I42" i="8" s="1"/>
  <c r="J8" i="10"/>
  <c r="J15" i="10" s="1"/>
  <c r="H4" i="12" s="1"/>
  <c r="J9" i="9"/>
  <c r="J17" i="9" s="1"/>
  <c r="J20" i="9" s="1"/>
  <c r="H5" i="12" l="1"/>
  <c r="C8" i="12" s="1"/>
  <c r="C7" i="12"/>
  <c r="J19" i="9"/>
  <c r="J21" i="9" s="1"/>
  <c r="I31" i="6"/>
  <c r="I33" i="6" s="1"/>
  <c r="I22" i="8"/>
  <c r="I30" i="8" s="1"/>
  <c r="I44" i="8" s="1"/>
  <c r="J18" i="8" l="1"/>
  <c r="J32" i="8"/>
  <c r="J35" i="8" s="1"/>
  <c r="J42" i="8" s="1"/>
  <c r="C9" i="12"/>
  <c r="C15" i="12" s="1"/>
  <c r="C18" i="12" s="1"/>
  <c r="G7" i="12"/>
  <c r="G9" i="12" s="1"/>
  <c r="G15" i="12" s="1"/>
  <c r="G18" i="12" s="1"/>
  <c r="N8" i="12" l="1"/>
  <c r="F12" i="3"/>
  <c r="F13" i="3" s="1"/>
  <c r="I8" i="12"/>
  <c r="E12" i="3"/>
  <c r="E13" i="3" s="1"/>
  <c r="J31" i="6"/>
  <c r="J33" i="6" s="1"/>
  <c r="J22" i="8"/>
  <c r="J30" i="8" s="1"/>
  <c r="J4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</author>
  </authors>
  <commentList>
    <comment ref="F33" authorId="0" shapeId="0" xr:uid="{02872548-0776-4B08-9F04-C333014F9E29}">
      <text>
        <r>
          <rPr>
            <b/>
            <sz val="9"/>
            <color indexed="81"/>
            <rFont val="Tahoma"/>
            <family val="2"/>
          </rPr>
          <t>Alan:</t>
        </r>
        <r>
          <rPr>
            <sz val="9"/>
            <color indexed="81"/>
            <rFont val="Tahoma"/>
            <family val="2"/>
          </rPr>
          <t xml:space="preserve">
973 million left in the share repurchase plan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</author>
  </authors>
  <commentList>
    <comment ref="B7" authorId="0" shapeId="0" xr:uid="{96AEDB24-8A75-422B-9C86-D3A3E1F5D92B}">
      <text>
        <r>
          <rPr>
            <b/>
            <sz val="9"/>
            <color indexed="81"/>
            <rFont val="Tahoma"/>
            <family val="2"/>
          </rPr>
          <t>Alan:</t>
        </r>
        <r>
          <rPr>
            <sz val="9"/>
            <color indexed="81"/>
            <rFont val="Tahoma"/>
            <family val="2"/>
          </rPr>
          <t xml:space="preserve">
Without Reconciliation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P8" authorId="0" shapeId="0" xr:uid="{434439DE-52BC-4872-A098-EA7EBCAFB112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<sst xmlns="http://schemas.openxmlformats.org/spreadsheetml/2006/main" count="365" uniqueCount="219">
  <si>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</si>
  <si>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</si>
  <si>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</si>
  <si>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</si>
  <si>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</si>
  <si>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</si>
  <si>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</si>
  <si>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</si>
  <si>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</si>
  <si>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</si>
  <si>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</si>
  <si>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</si>
  <si>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</si>
  <si>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</si>
  <si>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</si>
  <si>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</si>
  <si>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</si>
  <si>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</si>
  <si>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</si>
  <si>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</si>
  <si>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</si>
  <si>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</si>
  <si>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</si>
  <si>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</si>
  <si>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</si>
  <si>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</si>
  <si>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</si>
  <si>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</si>
  <si>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</si>
  <si>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</si>
  <si>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</si>
  <si>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</si>
  <si>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</si>
  <si>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</si>
  <si>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</si>
  <si>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</si>
  <si>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</si>
  <si>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</si>
  <si>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</si>
  <si>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</si>
  <si>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</si>
  <si>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</si>
  <si>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</si>
  <si>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</si>
  <si>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</si>
  <si>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</si>
  <si>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</si>
  <si>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</si>
  <si>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</si>
  <si>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</si>
  <si>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</si>
  <si>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</si>
  <si>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</si>
  <si>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</si>
  <si>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</si>
  <si>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</si>
  <si>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</si>
  <si>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</si>
  <si>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</si>
  <si>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</si>
  <si>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</si>
  <si>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</si>
  <si>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</si>
  <si>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</si>
  <si>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</si>
  <si>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</si>
  <si>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</si>
  <si>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</si>
  <si>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</si>
  <si>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</si>
  <si>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</si>
  <si>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</si>
  <si>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</si>
  <si>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</si>
  <si>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</si>
  <si>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</si>
  <si>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</si>
  <si>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</si>
  <si>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</si>
  <si>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</si>
  <si>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</si>
  <si>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</si>
  <si>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</si>
  <si>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</si>
  <si>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</si>
  <si>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</si>
  <si>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</si>
  <si>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</si>
  <si>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</si>
  <si>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</si>
  <si>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</si>
  <si>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</si>
  <si>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</si>
  <si>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</si>
  <si>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</si>
  <si>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</si>
  <si>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</si>
  <si>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</si>
  <si>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</si>
  <si>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</si>
  <si>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</si>
  <si>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</si>
  <si>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</si>
  <si>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</si>
  <si>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</si>
  <si>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</si>
  <si>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</si>
  <si>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</si>
  <si>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</si>
  <si>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</si>
  <si>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</si>
  <si>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</si>
  <si>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</si>
  <si>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</si>
  <si>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</si>
  <si>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</si>
  <si>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</si>
  <si>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</si>
  <si>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</si>
  <si>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</si>
  <si>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</si>
  <si>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</si>
  <si>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</si>
  <si>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</si>
  <si>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</si>
  <si>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</si>
  <si>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</si>
  <si>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</si>
  <si>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</si>
  <si>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</si>
  <si>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</si>
  <si>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</si>
  <si>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</si>
  <si>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</si>
  <si>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</si>
  <si>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</si>
  <si>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</si>
  <si>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</si>
  <si>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</si>
  <si>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</si>
  <si>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</si>
  <si>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</si>
  <si>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</si>
  <si>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</si>
  <si>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</si>
  <si>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</si>
  <si>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</si>
  <si>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</si>
  <si>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</si>
  <si>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</si>
  <si>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</si>
  <si>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</si>
  <si>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</si>
  <si>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</si>
  <si>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</si>
  <si>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</si>
  <si>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</si>
  <si>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</si>
  <si>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</si>
  <si>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Investment in unconsolidated entities</t>
  </si>
  <si>
    <t>Investment in unconsolidated entities $ balance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</si>
  <si>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</si>
  <si>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</si>
  <si>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</si>
  <si>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</si>
  <si>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</si>
  <si>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</si>
  <si>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</si>
  <si>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</si>
  <si>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</si>
  <si>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</si>
  <si>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</si>
  <si>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DCF tables</t>
  </si>
  <si>
    <t>Diluted s/o</t>
  </si>
  <si>
    <t>Cash</t>
  </si>
  <si>
    <t>Difference</t>
  </si>
  <si>
    <t>Investments in unconsolidated entities</t>
  </si>
  <si>
    <t>Cost of debt</t>
  </si>
  <si>
    <t>Terminal Mult</t>
  </si>
  <si>
    <t>Model Details</t>
  </si>
  <si>
    <t>Chipotle Mexican Grill Inc.</t>
  </si>
  <si>
    <t>t</t>
  </si>
  <si>
    <t>Revenues</t>
  </si>
  <si>
    <t>U.S. food and beverage revenue</t>
  </si>
  <si>
    <t>U.S delivery service revenue</t>
  </si>
  <si>
    <t>y/y</t>
  </si>
  <si>
    <t>TOTAL REVENUES</t>
  </si>
  <si>
    <t>Q124</t>
  </si>
  <si>
    <t>Q224</t>
  </si>
  <si>
    <t>Q324</t>
  </si>
  <si>
    <t>Q424</t>
  </si>
  <si>
    <t>Q125</t>
  </si>
  <si>
    <t>Q225</t>
  </si>
  <si>
    <t>Q325</t>
  </si>
  <si>
    <t>Q425</t>
  </si>
  <si>
    <t>EBIT margin</t>
  </si>
  <si>
    <t>NO REVOLVER</t>
  </si>
  <si>
    <t>NO DEBT</t>
  </si>
  <si>
    <t>(inc) / dec in LT assets</t>
  </si>
  <si>
    <t>inc / (dec) in LT liabilities</t>
  </si>
  <si>
    <t>Cash Flow From Operations</t>
  </si>
  <si>
    <t>Cash Flow From Investing</t>
  </si>
  <si>
    <t>Share Issuance / (repayments)</t>
  </si>
  <si>
    <t>Cash Flow From Financing</t>
  </si>
  <si>
    <t>Net changes in cash</t>
  </si>
  <si>
    <t>Beginning Cash</t>
  </si>
  <si>
    <t>Changes</t>
  </si>
  <si>
    <t>Ending Cash</t>
  </si>
  <si>
    <t>SBUX</t>
  </si>
  <si>
    <t>MCD</t>
  </si>
  <si>
    <t>DRI</t>
  </si>
  <si>
    <t>YUM</t>
  </si>
  <si>
    <t>Discount Factor</t>
  </si>
  <si>
    <t>PV FCF</t>
  </si>
  <si>
    <t>LTGR</t>
  </si>
  <si>
    <t>Terminal mult</t>
  </si>
  <si>
    <t>Weighted avg</t>
  </si>
  <si>
    <t>DCF</t>
  </si>
  <si>
    <t>Implied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</si>
</sst>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</numFmts>
  <fonts count="7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4A853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90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45" fillId="0" borderId="14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67" fontId="33" fillId="35" borderId="0" xfId="0" applyFont="1" applyFill="1"/>
    <xf numFmtId="175" fontId="33" fillId="35" borderId="0" xfId="0" applyNumberFormat="1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75" fontId="33" fillId="35" borderId="0" xfId="0" applyNumberFormat="1" applyFont="1" applyFill="1" applyAlignment="1">
      <alignment horizontal="right"/>
    </xf>
    <xf numFmtId="167" fontId="33" fillId="34" borderId="17" xfId="0" applyFont="1" applyFill="1" applyBorder="1"/>
    <xf numFmtId="175" fontId="58" fillId="35" borderId="0" xfId="0" applyNumberFormat="1" applyFont="1" applyFill="1"/>
    <xf numFmtId="175" fontId="59" fillId="35" borderId="0" xfId="3" applyNumberFormat="1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66" fontId="39" fillId="35" borderId="0" xfId="59" applyFont="1" applyFill="1" applyProtection="1"/>
    <xf numFmtId="172" fontId="37" fillId="35" borderId="0" xfId="3" applyNumberFormat="1" applyFont="1" applyFill="1" applyBorder="1" applyProtection="1"/>
    <xf numFmtId="166" fontId="33" fillId="35" borderId="0" xfId="59" applyFont="1" applyFill="1" applyProtection="1"/>
    <xf numFmtId="179" fontId="40" fillId="0" borderId="18" xfId="0" applyNumberFormat="1" applyFont="1" applyBorder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67" fontId="39" fillId="35" borderId="15" xfId="0" applyFont="1" applyFill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67" fontId="39" fillId="0" borderId="14" xfId="4" applyNumberFormat="1" applyFont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78" fontId="35" fillId="0" borderId="0" xfId="0" applyNumberFormat="1" applyFont="1"/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79" fontId="39" fillId="0" borderId="0" xfId="4" applyNumberFormat="1" applyFont="1" applyBorder="1"/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0" fontId="45" fillId="0" borderId="0" xfId="0" applyNumberFormat="1" applyFont="1"/>
    <xf numFmtId="181" fontId="37" fillId="33" borderId="1" xfId="3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  <xf numFmtId="167" fontId="33" fillId="0" borderId="0" xfId="53" applyFont="1" applyFill="1">
      <alignment horizontal="left" vertic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3" fillId="0" borderId="0" xfId="0" applyNumberFormat="1" applyFont="1"/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9" fontId="39" fillId="0" borderId="0" xfId="59" applyNumberFormat="1" applyFont="1" applyAlignment="1" applyProtection="1">
      <alignment horizontal="right"/>
    </xf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80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75" fontId="33" fillId="35" borderId="0" xfId="4" applyNumberFormat="1" applyFont="1" applyFill="1"/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67" fontId="70" fillId="0" borderId="0" xfId="0" applyFont="1"/>
    <xf numFmtId="182" fontId="65" fillId="0" borderId="0" xfId="3" applyNumberFormat="1" applyFont="1" applyFill="1" applyBorder="1" applyAlignment="1">
      <alignment horizontal="center"/>
    </xf>
    <xf numFmtId="10" fontId="68" fillId="0" borderId="0" xfId="3" applyNumberFormat="1" applyFont="1" applyFill="1" applyBorder="1" applyAlignment="1">
      <alignment horizontal="center"/>
    </xf>
    <xf numFmtId="178" fontId="33" fillId="43" borderId="0" xfId="0" applyNumberFormat="1" applyFont="1" applyFill="1"/>
    <xf numFmtId="178" fontId="35" fillId="43" borderId="0" xfId="0" applyNumberFormat="1" applyFont="1" applyFill="1" applyAlignment="1">
      <alignment horizontal="right"/>
    </xf>
    <xf numFmtId="173" fontId="67" fillId="42" borderId="18" xfId="0" applyNumberFormat="1" applyFont="1" applyFill="1" applyBorder="1"/>
    <xf numFmtId="173" fontId="67" fillId="42" borderId="0" xfId="0" applyNumberFormat="1" applyFont="1" applyFill="1"/>
    <xf numFmtId="173" fontId="40" fillId="0" borderId="17" xfId="0" applyNumberFormat="1" applyFont="1" applyBorder="1"/>
    <xf numFmtId="173" fontId="40" fillId="0" borderId="24" xfId="0" applyNumberFormat="1" applyFont="1" applyBorder="1"/>
    <xf numFmtId="9" fontId="30" fillId="0" borderId="0" xfId="0" applyNumberFormat="1" applyFont="1"/>
    <xf numFmtId="10" fontId="39" fillId="0" borderId="16" xfId="0" applyNumberFormat="1" applyFont="1" applyBorder="1"/>
    <xf numFmtId="174" fontId="45" fillId="0" borderId="14" xfId="0" applyNumberFormat="1" applyFont="1" applyBorder="1"/>
    <xf numFmtId="180" fontId="39" fillId="0" borderId="0" xfId="0" applyNumberFormat="1" applyFont="1" applyAlignment="1">
      <alignment horizontal="center"/>
    </xf>
    <xf numFmtId="180" fontId="65" fillId="33" borderId="1" xfId="3" applyNumberFormat="1" applyFont="1" applyAlignment="1">
      <alignment horizontal="center"/>
    </xf>
    <xf numFmtId="173" fontId="71" fillId="33" borderId="1" xfId="3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EA4335"/>
      <color rgb="FF0000FF"/>
      <color rgb="FF44546A"/>
      <color rgb="FF5F6368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21"/>
  <sheetViews>
    <sheetView showGridLines="0" tabSelected="1" zoomScaleNormal="100" workbookViewId="0">
      <selection activeCell="F5" sqref="F5"/>
    </sheetView>
  </sheetViews>
  <sheetFormatPr defaultColWidth="9.140625" defaultRowHeight="15" x14ac:dyDescent="0.25"/>
  <cols>
    <col min="1" max="1" width="2.7109375" style="4" customWidth="1"/>
    <col min="2" max="2" width="22.85546875" style="4" customWidth="1"/>
    <col min="3" max="3" width="24.5703125" style="4" bestFit="1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7.42578125" style="4" bestFit="1" customWidth="1"/>
    <col min="9" max="9" width="13.42578125" style="4" customWidth="1"/>
    <col min="10" max="10" width="16.2851562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50" customFormat="1" ht="19.5" x14ac:dyDescent="0.3">
      <c r="A1" s="267" t="str">
        <f>CoName</f>
        <v>Chipotle Mexican Grill Inc.</v>
      </c>
      <c r="B1" s="2"/>
      <c r="C1" s="2"/>
      <c r="D1" s="160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15" customFormat="1" x14ac:dyDescent="0.25">
      <c r="A2" s="66" t="s">
        <v>179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4" spans="1:15" x14ac:dyDescent="0.25">
      <c r="B4" s="4" t="s">
        <v>3</v>
      </c>
      <c r="C4" s="52" t="s">
        <v>180</v>
      </c>
      <c r="E4" s="4" t="s">
        <v>167</v>
      </c>
      <c r="F4" s="232">
        <v>34</v>
      </c>
    </row>
    <row r="5" spans="1:15" x14ac:dyDescent="0.25">
      <c r="B5" s="4" t="s">
        <v>4</v>
      </c>
      <c r="C5" s="53">
        <v>247.43</v>
      </c>
      <c r="E5" s="4" t="s">
        <v>173</v>
      </c>
      <c r="F5" s="167">
        <v>1322278</v>
      </c>
    </row>
    <row r="6" spans="1:15" x14ac:dyDescent="0.25">
      <c r="B6" s="4" t="s">
        <v>5</v>
      </c>
      <c r="C6" s="52" t="s">
        <v>8</v>
      </c>
      <c r="E6" s="4" t="s">
        <v>101</v>
      </c>
      <c r="F6" s="167">
        <f>F5*F4</f>
        <v>44957452</v>
      </c>
    </row>
    <row r="7" spans="1:15" x14ac:dyDescent="0.25">
      <c r="B7" s="4" t="s">
        <v>6</v>
      </c>
      <c r="C7" s="52" t="s">
        <v>181</v>
      </c>
      <c r="E7" s="4" t="s">
        <v>174</v>
      </c>
      <c r="F7" s="52">
        <f>698743+722531</f>
        <v>1421274</v>
      </c>
    </row>
    <row r="8" spans="1:15" x14ac:dyDescent="0.25">
      <c r="B8" s="4" t="s">
        <v>2</v>
      </c>
      <c r="C8" s="52" t="s">
        <v>84</v>
      </c>
      <c r="E8" s="4" t="s">
        <v>142</v>
      </c>
      <c r="F8" s="52">
        <v>0</v>
      </c>
    </row>
    <row r="9" spans="1:15" x14ac:dyDescent="0.25">
      <c r="B9" s="4" t="s">
        <v>7</v>
      </c>
      <c r="C9" s="52">
        <v>0</v>
      </c>
      <c r="E9" s="4" t="s">
        <v>115</v>
      </c>
      <c r="F9" s="52">
        <f>F6-F7+F8</f>
        <v>43536178</v>
      </c>
    </row>
    <row r="11" spans="1:15" x14ac:dyDescent="0.25">
      <c r="B11" s="11"/>
      <c r="C11" s="177"/>
      <c r="D11" s="177"/>
      <c r="E11" s="177" t="s">
        <v>217</v>
      </c>
      <c r="F11" s="177" t="s">
        <v>178</v>
      </c>
    </row>
    <row r="12" spans="1:15" x14ac:dyDescent="0.25">
      <c r="D12" s="177" t="s">
        <v>218</v>
      </c>
      <c r="E12" s="288">
        <f>'DCF Model'!C18</f>
        <v>33.727534598089811</v>
      </c>
      <c r="F12" s="288">
        <f>'DCF Model'!G18</f>
        <v>38.92493662581505</v>
      </c>
    </row>
    <row r="13" spans="1:15" x14ac:dyDescent="0.25">
      <c r="A13" s="234"/>
      <c r="D13" s="177" t="s">
        <v>175</v>
      </c>
      <c r="E13" s="289">
        <f>E12/$F$4-1</f>
        <v>-8.0136882914761953E-3</v>
      </c>
      <c r="F13" s="289">
        <f>F12/$F$4-1</f>
        <v>0.14485107722985435</v>
      </c>
      <c r="H13" s="234"/>
      <c r="I13" s="234"/>
      <c r="J13" s="234"/>
      <c r="K13" s="234"/>
      <c r="L13" s="234"/>
      <c r="M13" s="234"/>
      <c r="N13" s="234"/>
      <c r="O13" s="234"/>
    </row>
    <row r="14" spans="1:15" x14ac:dyDescent="0.25">
      <c r="A14" s="86"/>
      <c r="C14" s="177"/>
      <c r="D14" s="177"/>
      <c r="E14" s="177"/>
      <c r="F14" s="177"/>
    </row>
    <row r="15" spans="1:15" x14ac:dyDescent="0.25">
      <c r="B15" s="11"/>
      <c r="C15" s="177"/>
      <c r="D15" s="177"/>
      <c r="E15" s="177"/>
      <c r="F15" s="177"/>
    </row>
    <row r="16" spans="1:15" x14ac:dyDescent="0.25">
      <c r="C16" s="276"/>
      <c r="D16" s="276"/>
      <c r="E16" s="276"/>
      <c r="F16" s="276"/>
    </row>
    <row r="17" spans="2:16" x14ac:dyDescent="0.25">
      <c r="C17" s="277"/>
      <c r="D17" s="277"/>
      <c r="E17" s="277"/>
      <c r="F17" s="277"/>
    </row>
    <row r="18" spans="2:16" x14ac:dyDescent="0.25">
      <c r="C18" s="177"/>
      <c r="D18" s="177"/>
      <c r="E18" s="177"/>
      <c r="F18" s="177"/>
    </row>
    <row r="19" spans="2:16" x14ac:dyDescent="0.25">
      <c r="B19" s="11"/>
      <c r="C19" s="177"/>
      <c r="D19" s="177"/>
      <c r="E19" s="177"/>
      <c r="F19" s="177"/>
    </row>
    <row r="20" spans="2:16" x14ac:dyDescent="0.25">
      <c r="C20" s="276"/>
      <c r="D20" s="276"/>
      <c r="E20" s="276"/>
      <c r="F20" s="276"/>
    </row>
    <row r="21" spans="2:16" x14ac:dyDescent="0.25">
      <c r="C21" s="277"/>
      <c r="D21" s="277"/>
      <c r="E21" s="277"/>
      <c r="F21" s="277"/>
      <c r="P21" s="275"/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7"/>
  <sheetViews>
    <sheetView showGridLines="0" topLeftCell="A5" zoomScaleNormal="100" workbookViewId="0">
      <selection activeCell="F18" sqref="F18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5" width="11.7109375" style="4" customWidth="1"/>
    <col min="6" max="6" width="13.5703125" style="4" bestFit="1" customWidth="1"/>
    <col min="7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67" t="str">
        <f>CoName</f>
        <v>Chipotle Mexican Grill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/>
      <c r="L1" s="42"/>
    </row>
    <row r="2" spans="1:20" x14ac:dyDescent="0.25">
      <c r="A2" s="65" t="s">
        <v>123</v>
      </c>
      <c r="B2" s="106" t="s">
        <v>124</v>
      </c>
      <c r="C2" s="107">
        <v>44926</v>
      </c>
      <c r="D2" s="107">
        <v>45291</v>
      </c>
      <c r="E2" s="107">
        <v>45657</v>
      </c>
      <c r="F2" s="107">
        <v>46022</v>
      </c>
      <c r="G2" s="107">
        <v>46387</v>
      </c>
      <c r="H2" s="107">
        <v>46752</v>
      </c>
      <c r="I2" s="107">
        <v>47118</v>
      </c>
      <c r="J2" s="107">
        <v>47483</v>
      </c>
      <c r="K2" s="204"/>
      <c r="L2" s="204"/>
    </row>
    <row r="3" spans="1:20" x14ac:dyDescent="0.25">
      <c r="A3" s="86"/>
      <c r="B3" s="166"/>
      <c r="C3" s="204"/>
      <c r="D3" s="204"/>
      <c r="E3" s="204"/>
      <c r="F3" s="204"/>
      <c r="G3" s="204"/>
      <c r="H3" s="204"/>
      <c r="I3" s="204"/>
      <c r="J3" s="204"/>
      <c r="K3" s="204"/>
      <c r="L3" s="204"/>
    </row>
    <row r="4" spans="1:20" x14ac:dyDescent="0.25">
      <c r="B4" s="94" t="s">
        <v>130</v>
      </c>
      <c r="C4"/>
      <c r="D4" s="272">
        <v>1</v>
      </c>
      <c r="E4"/>
      <c r="F4"/>
      <c r="G4" s="89"/>
      <c r="H4" s="89"/>
      <c r="I4" s="89"/>
      <c r="J4" s="89"/>
      <c r="K4" s="89"/>
      <c r="M4" s="239"/>
      <c r="N4" s="240"/>
      <c r="O4" s="240"/>
    </row>
    <row r="5" spans="1:20" x14ac:dyDescent="0.25">
      <c r="B5" s="88"/>
      <c r="C5" s="90"/>
      <c r="D5" s="113" t="s">
        <v>125</v>
      </c>
      <c r="E5" s="91"/>
      <c r="K5" s="89"/>
      <c r="M5" s="241"/>
      <c r="N5" s="242"/>
      <c r="O5" s="242"/>
    </row>
    <row r="6" spans="1:20" x14ac:dyDescent="0.25">
      <c r="B6" s="92" t="s">
        <v>131</v>
      </c>
      <c r="D6" s="101">
        <v>0</v>
      </c>
      <c r="E6" s="93"/>
      <c r="F6" s="101">
        <f>Revenue!O8</f>
        <v>5.0618084561434795E-2</v>
      </c>
      <c r="G6" s="101">
        <f>Revenue!P8</f>
        <v>7.4382494022652068E-2</v>
      </c>
      <c r="H6" s="101">
        <f>Revenue!Q8</f>
        <v>9.9344780077772255E-2</v>
      </c>
      <c r="I6" s="101">
        <f>Revenue!R8</f>
        <v>9.9433790984051029E-2</v>
      </c>
      <c r="J6" s="101">
        <f>Revenue!S8</f>
        <v>9.9510749469806647E-2</v>
      </c>
      <c r="K6" s="179"/>
      <c r="M6" s="179"/>
      <c r="N6" s="243"/>
      <c r="O6" s="243"/>
      <c r="P6" s="243"/>
      <c r="Q6" s="243"/>
      <c r="R6" s="243"/>
      <c r="S6" s="243"/>
      <c r="T6" s="243"/>
    </row>
    <row r="7" spans="1:20" x14ac:dyDescent="0.25">
      <c r="B7" s="4" t="s">
        <v>127</v>
      </c>
      <c r="D7" s="101">
        <v>2.5000000000000001E-2</v>
      </c>
      <c r="E7" s="93"/>
      <c r="F7" s="101">
        <f>F6+$D$7</f>
        <v>7.561808456143479E-2</v>
      </c>
      <c r="G7" s="101">
        <f t="shared" ref="G7:J7" si="0">G6+$D$7</f>
        <v>9.9382494022652063E-2</v>
      </c>
      <c r="H7" s="101">
        <f t="shared" si="0"/>
        <v>0.12434478007777225</v>
      </c>
      <c r="I7" s="101">
        <f t="shared" si="0"/>
        <v>0.12443379098405102</v>
      </c>
      <c r="J7" s="101">
        <f t="shared" si="0"/>
        <v>0.12451074946980664</v>
      </c>
      <c r="K7" s="179"/>
      <c r="M7" s="179"/>
      <c r="N7" s="179"/>
      <c r="O7" s="179"/>
      <c r="P7" s="179"/>
      <c r="Q7" s="179"/>
      <c r="R7" s="179"/>
      <c r="S7" s="179"/>
      <c r="T7" s="179"/>
    </row>
    <row r="8" spans="1:20" x14ac:dyDescent="0.25">
      <c r="B8" s="4" t="s">
        <v>126</v>
      </c>
      <c r="D8" s="101">
        <v>-2.5000000000000001E-2</v>
      </c>
      <c r="E8" s="93"/>
      <c r="F8" s="101">
        <f>F6+$D$8</f>
        <v>2.5618084561434794E-2</v>
      </c>
      <c r="G8" s="101">
        <f t="shared" ref="G8:J8" si="1">G6+$D$8</f>
        <v>4.9382494022652067E-2</v>
      </c>
      <c r="H8" s="101">
        <f t="shared" si="1"/>
        <v>7.434478007777226E-2</v>
      </c>
      <c r="I8" s="101">
        <f t="shared" si="1"/>
        <v>7.4433790984051035E-2</v>
      </c>
      <c r="J8" s="101">
        <f t="shared" si="1"/>
        <v>7.4510749469806653E-2</v>
      </c>
      <c r="K8" s="179"/>
    </row>
    <row r="9" spans="1:20" x14ac:dyDescent="0.25">
      <c r="K9" s="31"/>
      <c r="L9" s="31"/>
      <c r="M9" s="179"/>
      <c r="N9" s="179"/>
    </row>
    <row r="10" spans="1:20" x14ac:dyDescent="0.25">
      <c r="B10" s="121" t="s">
        <v>147</v>
      </c>
      <c r="C10" s="284">
        <f>Revenue!D8</f>
        <v>0.14410788517543449</v>
      </c>
      <c r="D10" s="284">
        <f>Revenue!E8</f>
        <v>0.14325962412845361</v>
      </c>
      <c r="E10" s="200">
        <f>Revenue!J8</f>
        <v>0.12562065365168484</v>
      </c>
      <c r="F10" s="105">
        <f t="shared" ref="F10" si="2">CHOOSE(ScenarioREV,F6,F7,F8)</f>
        <v>5.0618084561434795E-2</v>
      </c>
      <c r="G10" s="105">
        <f t="shared" ref="G10:J10" si="3">CHOOSE(ScenarioREV,G6,G7,G8)</f>
        <v>7.4382494022652068E-2</v>
      </c>
      <c r="H10" s="105">
        <f t="shared" si="3"/>
        <v>9.9344780077772255E-2</v>
      </c>
      <c r="I10" s="105">
        <f t="shared" si="3"/>
        <v>9.9433790984051029E-2</v>
      </c>
      <c r="J10" s="105">
        <f t="shared" si="3"/>
        <v>9.9510749469806647E-2</v>
      </c>
      <c r="K10" s="30"/>
      <c r="L10" s="30"/>
      <c r="M10" s="179"/>
      <c r="N10" s="179"/>
    </row>
    <row r="11" spans="1:20" x14ac:dyDescent="0.25">
      <c r="B11" s="4" t="s">
        <v>132</v>
      </c>
      <c r="C11" s="8">
        <f>IncState!C16/IncState!C15</f>
        <v>0.8002705841532467</v>
      </c>
      <c r="D11" s="8">
        <f>IncState!D16/IncState!D15</f>
        <v>0.77801104962301637</v>
      </c>
      <c r="E11" s="8">
        <f>IncState!E16/IncState!E15</f>
        <v>0.76897207343952589</v>
      </c>
      <c r="F11" s="101">
        <f>E11-0.005</f>
        <v>0.76397207343952589</v>
      </c>
      <c r="G11" s="101">
        <f t="shared" ref="G11:J11" si="4">F11-0.005</f>
        <v>0.75897207343952588</v>
      </c>
      <c r="H11" s="101">
        <f t="shared" si="4"/>
        <v>0.75397207343952588</v>
      </c>
      <c r="I11" s="101">
        <f t="shared" si="4"/>
        <v>0.74897207343952588</v>
      </c>
      <c r="J11" s="101">
        <f t="shared" si="4"/>
        <v>0.74397207343952587</v>
      </c>
      <c r="K11" s="179"/>
      <c r="L11" s="179"/>
      <c r="M11" s="179"/>
      <c r="N11" s="179"/>
    </row>
    <row r="12" spans="1:20" x14ac:dyDescent="0.25">
      <c r="B12" s="4" t="s">
        <v>43</v>
      </c>
      <c r="C12" s="8">
        <f>IncState!C17/IncState!C15</f>
        <v>6.5340328712726353E-2</v>
      </c>
      <c r="D12" s="8">
        <f>IncState!D17/IncState!D15</f>
        <v>6.4182184759608046E-2</v>
      </c>
      <c r="E12" s="8">
        <f>IncState!E17/IncState!E15</f>
        <v>6.1648582494398682E-2</v>
      </c>
      <c r="F12" s="101">
        <f>E12-0.001</f>
        <v>6.0648582494398681E-2</v>
      </c>
      <c r="G12" s="101">
        <f t="shared" ref="G12:J12" si="5">F12-0.001</f>
        <v>5.964858249439868E-2</v>
      </c>
      <c r="H12" s="101">
        <f t="shared" si="5"/>
        <v>5.8648582494398679E-2</v>
      </c>
      <c r="I12" s="101">
        <f t="shared" si="5"/>
        <v>5.7648582494398679E-2</v>
      </c>
      <c r="J12" s="101">
        <f t="shared" si="5"/>
        <v>5.6648582494398678E-2</v>
      </c>
      <c r="K12" s="179"/>
      <c r="L12" s="179"/>
    </row>
    <row r="13" spans="1:20" x14ac:dyDescent="0.25">
      <c r="B13" s="4" t="s">
        <v>134</v>
      </c>
      <c r="C13" s="4">
        <v>0</v>
      </c>
      <c r="D13" s="4">
        <v>0</v>
      </c>
      <c r="E13" s="4">
        <v>0</v>
      </c>
      <c r="F13" s="102">
        <f>E13</f>
        <v>0</v>
      </c>
      <c r="G13" s="102">
        <f t="shared" ref="G13:J13" si="6">F13</f>
        <v>0</v>
      </c>
      <c r="H13" s="102">
        <f t="shared" si="6"/>
        <v>0</v>
      </c>
      <c r="I13" s="102">
        <f t="shared" si="6"/>
        <v>0</v>
      </c>
      <c r="J13" s="102">
        <f t="shared" si="6"/>
        <v>0</v>
      </c>
      <c r="K13" s="205"/>
      <c r="L13" s="205"/>
    </row>
    <row r="14" spans="1:20" x14ac:dyDescent="0.25">
      <c r="B14" s="4" t="s">
        <v>135</v>
      </c>
      <c r="C14" s="4">
        <v>0</v>
      </c>
      <c r="D14" s="4">
        <v>0</v>
      </c>
      <c r="E14" s="4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205"/>
      <c r="L14" s="205"/>
    </row>
    <row r="15" spans="1:20" x14ac:dyDescent="0.25">
      <c r="B15" s="4" t="s">
        <v>137</v>
      </c>
      <c r="C15" s="4">
        <v>0</v>
      </c>
      <c r="D15" s="4">
        <v>0</v>
      </c>
      <c r="E15" s="4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205"/>
      <c r="L15" s="205"/>
    </row>
    <row r="16" spans="1:20" x14ac:dyDescent="0.25">
      <c r="B16" s="4" t="s">
        <v>46</v>
      </c>
      <c r="C16" s="8">
        <f>IncState!C33/IncState!C31</f>
        <v>0.23903731683722221</v>
      </c>
      <c r="D16" s="8">
        <f>IncState!D33/IncState!D31</f>
        <v>0.24175720423127098</v>
      </c>
      <c r="E16" s="8">
        <f>IncState!E33/IncState!E31</f>
        <v>0.23684851982111499</v>
      </c>
      <c r="F16" s="101">
        <v>0.26</v>
      </c>
      <c r="G16" s="101">
        <f>F16-0.01</f>
        <v>0.25</v>
      </c>
      <c r="H16" s="101">
        <f>G16-0.01</f>
        <v>0.24</v>
      </c>
      <c r="I16" s="101">
        <f t="shared" ref="I16:J16" si="7">H16</f>
        <v>0.24</v>
      </c>
      <c r="J16" s="101">
        <f t="shared" si="7"/>
        <v>0.24</v>
      </c>
      <c r="K16" s="179"/>
      <c r="L16" s="179"/>
    </row>
    <row r="17" spans="1:12" x14ac:dyDescent="0.25">
      <c r="B17" s="4" t="s">
        <v>47</v>
      </c>
      <c r="C17" s="4">
        <f>IncState!C37</f>
        <v>1392543</v>
      </c>
      <c r="D17" s="4">
        <f>IncState!D37</f>
        <v>1377768</v>
      </c>
      <c r="E17" s="4">
        <f>IncState!E37</f>
        <v>1368343</v>
      </c>
      <c r="F17" s="102">
        <f>E17-(F33/-MAIN!$F$4)</f>
        <v>1357754.7647058824</v>
      </c>
      <c r="G17" s="102">
        <f>F17-(G33/-MAIN!$F$4)</f>
        <v>1347166.5294117648</v>
      </c>
      <c r="H17" s="102">
        <f>G17-(H33/-MAIN!$F$4)</f>
        <v>1336578.2941176472</v>
      </c>
      <c r="I17" s="102">
        <f>H17-(I33/-MAIN!$F$4)</f>
        <v>1325990.0588235296</v>
      </c>
      <c r="J17" s="102">
        <f>I17-(J33/-MAIN!$F$4)</f>
        <v>1315401.823529412</v>
      </c>
      <c r="K17" s="205"/>
      <c r="L17" s="205"/>
    </row>
    <row r="18" spans="1:12" x14ac:dyDescent="0.25">
      <c r="B18" s="4" t="s">
        <v>48</v>
      </c>
      <c r="C18" s="4">
        <f>IncState!C38</f>
        <v>1403077</v>
      </c>
      <c r="D18" s="4">
        <f>IncState!D38</f>
        <v>1385500</v>
      </c>
      <c r="E18" s="4">
        <f>IncState!E38</f>
        <v>1376555</v>
      </c>
      <c r="F18" s="102">
        <f>E18</f>
        <v>1376555</v>
      </c>
      <c r="G18" s="102">
        <f t="shared" ref="G18:J18" si="8">F18</f>
        <v>1376555</v>
      </c>
      <c r="H18" s="102">
        <f t="shared" si="8"/>
        <v>1376555</v>
      </c>
      <c r="I18" s="102">
        <f t="shared" si="8"/>
        <v>1376555</v>
      </c>
      <c r="J18" s="102">
        <f t="shared" si="8"/>
        <v>1376555</v>
      </c>
      <c r="K18" s="205"/>
      <c r="L18" s="205"/>
    </row>
    <row r="19" spans="1:12" x14ac:dyDescent="0.25">
      <c r="F19" s="104"/>
      <c r="G19" s="104"/>
      <c r="H19" s="104"/>
      <c r="I19" s="104"/>
      <c r="J19" s="104"/>
      <c r="K19" s="179"/>
      <c r="L19" s="179"/>
    </row>
    <row r="20" spans="1:12" x14ac:dyDescent="0.25">
      <c r="A20" s="65" t="s">
        <v>123</v>
      </c>
      <c r="B20" s="106" t="s">
        <v>142</v>
      </c>
      <c r="C20" s="107">
        <v>44926</v>
      </c>
      <c r="D20" s="107">
        <v>45291</v>
      </c>
      <c r="E20" s="107">
        <v>45657</v>
      </c>
      <c r="F20" s="117">
        <v>46022</v>
      </c>
      <c r="G20" s="117">
        <v>46387</v>
      </c>
      <c r="H20" s="117">
        <v>46752</v>
      </c>
      <c r="I20" s="117">
        <v>47118</v>
      </c>
      <c r="J20" s="117">
        <v>47483</v>
      </c>
      <c r="K20" s="206"/>
      <c r="L20" s="206"/>
    </row>
    <row r="21" spans="1:12" x14ac:dyDescent="0.25">
      <c r="A21" s="86"/>
      <c r="B21" s="166"/>
      <c r="C21" s="204"/>
      <c r="D21" s="204"/>
      <c r="E21" s="204"/>
      <c r="F21" s="206"/>
      <c r="G21" s="206"/>
      <c r="H21" s="206"/>
      <c r="I21" s="206"/>
      <c r="J21" s="206"/>
      <c r="K21" s="206"/>
      <c r="L21" s="206"/>
    </row>
    <row r="22" spans="1:12" x14ac:dyDescent="0.25">
      <c r="B22" s="4" t="s">
        <v>136</v>
      </c>
      <c r="D22" s="4" t="s">
        <v>196</v>
      </c>
      <c r="E22" s="8"/>
      <c r="F22" s="101">
        <f>E22</f>
        <v>0</v>
      </c>
      <c r="G22" s="101">
        <f t="shared" ref="G22:J22" si="9">F22</f>
        <v>0</v>
      </c>
      <c r="H22" s="101">
        <f t="shared" si="9"/>
        <v>0</v>
      </c>
      <c r="I22" s="101">
        <f t="shared" si="9"/>
        <v>0</v>
      </c>
      <c r="J22" s="101">
        <f t="shared" si="9"/>
        <v>0</v>
      </c>
      <c r="K22" s="179"/>
      <c r="L22" s="179"/>
    </row>
    <row r="23" spans="1:12" x14ac:dyDescent="0.25">
      <c r="B23" s="4" t="s">
        <v>24</v>
      </c>
      <c r="D23" s="4" t="s">
        <v>197</v>
      </c>
      <c r="E23" s="8"/>
      <c r="F23" s="101">
        <f>E23</f>
        <v>0</v>
      </c>
      <c r="G23" s="101">
        <f t="shared" ref="G23:J23" si="10">F23</f>
        <v>0</v>
      </c>
      <c r="H23" s="101">
        <f t="shared" si="10"/>
        <v>0</v>
      </c>
      <c r="I23" s="101">
        <f t="shared" si="10"/>
        <v>0</v>
      </c>
      <c r="J23" s="101">
        <f t="shared" si="10"/>
        <v>0</v>
      </c>
      <c r="K23" s="179"/>
      <c r="L23" s="179"/>
    </row>
    <row r="24" spans="1:12" x14ac:dyDescent="0.25">
      <c r="B24" s="4" t="s">
        <v>25</v>
      </c>
      <c r="C24" s="8">
        <f>IncState!C28/BalSheet!C18</f>
        <v>2.7452643864496515E-2</v>
      </c>
      <c r="D24" s="8">
        <f>IncState!D28/BalSheet!D18</f>
        <v>5.4640505015170461E-2</v>
      </c>
      <c r="E24" s="8">
        <f>IncState!E28/BalSheet!E18</f>
        <v>7.4925359210650244E-2</v>
      </c>
      <c r="F24" s="130">
        <f>AVERAGE(C24:E24)</f>
        <v>5.2339502696772407E-2</v>
      </c>
      <c r="G24" s="130">
        <f t="shared" ref="G24:J24" si="11">F24</f>
        <v>5.2339502696772407E-2</v>
      </c>
      <c r="H24" s="130">
        <f t="shared" si="11"/>
        <v>5.2339502696772407E-2</v>
      </c>
      <c r="I24" s="130">
        <f t="shared" si="11"/>
        <v>5.2339502696772407E-2</v>
      </c>
      <c r="J24" s="130">
        <f t="shared" si="11"/>
        <v>5.2339502696772407E-2</v>
      </c>
      <c r="K24" s="179"/>
      <c r="L24" s="179"/>
    </row>
    <row r="25" spans="1:12" x14ac:dyDescent="0.25">
      <c r="F25" s="104"/>
      <c r="G25" s="104"/>
      <c r="H25" s="104"/>
      <c r="I25" s="104"/>
      <c r="J25" s="104"/>
      <c r="K25" s="179"/>
      <c r="L25" s="179"/>
    </row>
    <row r="26" spans="1:12" x14ac:dyDescent="0.25">
      <c r="B26" s="4" t="s">
        <v>26</v>
      </c>
      <c r="D26" s="4" t="s">
        <v>197</v>
      </c>
      <c r="F26" s="102">
        <v>0</v>
      </c>
      <c r="G26" s="102">
        <v>0</v>
      </c>
      <c r="H26" s="102">
        <v>0</v>
      </c>
      <c r="I26" s="102">
        <v>0</v>
      </c>
      <c r="J26" s="102">
        <v>0</v>
      </c>
      <c r="K26" s="205"/>
      <c r="L26" s="205"/>
    </row>
    <row r="27" spans="1:12" x14ac:dyDescent="0.25">
      <c r="B27" s="4" t="s">
        <v>27</v>
      </c>
      <c r="D27" s="4" t="s">
        <v>197</v>
      </c>
      <c r="F27" s="102">
        <v>0</v>
      </c>
      <c r="G27" s="102">
        <v>0</v>
      </c>
      <c r="H27" s="102">
        <v>0</v>
      </c>
      <c r="I27" s="102">
        <v>0</v>
      </c>
      <c r="J27" s="102">
        <v>0</v>
      </c>
      <c r="K27" s="205"/>
      <c r="L27" s="205"/>
    </row>
    <row r="28" spans="1:12" x14ac:dyDescent="0.25">
      <c r="F28" s="104"/>
      <c r="G28" s="104"/>
      <c r="H28" s="104"/>
      <c r="I28" s="104"/>
      <c r="J28" s="104"/>
      <c r="K28" s="179"/>
      <c r="L28" s="179"/>
    </row>
    <row r="29" spans="1:12" x14ac:dyDescent="0.25">
      <c r="A29" s="65" t="s">
        <v>123</v>
      </c>
      <c r="B29" s="106" t="s">
        <v>139</v>
      </c>
      <c r="C29" s="107">
        <v>44926</v>
      </c>
      <c r="D29" s="107">
        <v>45291</v>
      </c>
      <c r="E29" s="107">
        <v>45657</v>
      </c>
      <c r="F29" s="117">
        <v>46022</v>
      </c>
      <c r="G29" s="117">
        <v>46387</v>
      </c>
      <c r="H29" s="117">
        <v>46752</v>
      </c>
      <c r="I29" s="117">
        <v>47118</v>
      </c>
      <c r="J29" s="117">
        <v>47483</v>
      </c>
      <c r="K29" s="207"/>
      <c r="L29" s="207"/>
    </row>
    <row r="30" spans="1:12" x14ac:dyDescent="0.25">
      <c r="A30" s="86"/>
      <c r="B30" s="166"/>
      <c r="C30" s="204"/>
      <c r="D30" s="204"/>
      <c r="E30" s="204"/>
      <c r="F30" s="206"/>
      <c r="G30" s="206"/>
      <c r="H30" s="206"/>
      <c r="I30" s="206"/>
      <c r="J30" s="206"/>
      <c r="K30" s="207"/>
      <c r="L30" s="207"/>
    </row>
    <row r="31" spans="1:12" x14ac:dyDescent="0.25">
      <c r="B31" s="4" t="s">
        <v>140</v>
      </c>
      <c r="C31" s="8">
        <f>442475/IncState!C15</f>
        <v>5.1244103410305358E-2</v>
      </c>
      <c r="D31" s="8">
        <f>479164/IncState!D15</f>
        <v>4.8539408157644182E-2</v>
      </c>
      <c r="E31" s="8">
        <f>560731/IncState!E15</f>
        <v>4.956145355609623E-2</v>
      </c>
      <c r="F31" s="229">
        <f>E31</f>
        <v>4.956145355609623E-2</v>
      </c>
      <c r="G31" s="229">
        <f t="shared" ref="G31:J31" si="12">F31</f>
        <v>4.956145355609623E-2</v>
      </c>
      <c r="H31" s="229">
        <f t="shared" si="12"/>
        <v>4.956145355609623E-2</v>
      </c>
      <c r="I31" s="229">
        <f t="shared" si="12"/>
        <v>4.956145355609623E-2</v>
      </c>
      <c r="J31" s="229">
        <f t="shared" si="12"/>
        <v>4.956145355609623E-2</v>
      </c>
      <c r="K31" s="179"/>
      <c r="L31" s="179"/>
    </row>
    <row r="32" spans="1:12" x14ac:dyDescent="0.25">
      <c r="B32" s="4" t="s">
        <v>153</v>
      </c>
      <c r="D32" s="8">
        <f>IncState!D21/BalSheet!C24</f>
        <v>6.0795854383389213E-2</v>
      </c>
      <c r="E32" s="8">
        <f>IncState!E21/BalSheet!D24</f>
        <v>5.828041887170167E-2</v>
      </c>
      <c r="F32" s="101">
        <f>E32</f>
        <v>5.828041887170167E-2</v>
      </c>
      <c r="G32" s="101">
        <f t="shared" ref="G32:J33" si="13">F32</f>
        <v>5.828041887170167E-2</v>
      </c>
      <c r="H32" s="101">
        <f t="shared" si="13"/>
        <v>5.828041887170167E-2</v>
      </c>
      <c r="I32" s="101">
        <f t="shared" si="13"/>
        <v>5.828041887170167E-2</v>
      </c>
      <c r="J32" s="101">
        <f t="shared" si="13"/>
        <v>5.828041887170167E-2</v>
      </c>
      <c r="K32" s="179"/>
      <c r="L32" s="179"/>
    </row>
    <row r="33" spans="1:12" x14ac:dyDescent="0.25">
      <c r="B33" s="4" t="s">
        <v>141</v>
      </c>
      <c r="C33" s="4">
        <f>-1713.277*62.31</f>
        <v>-106754.28987000001</v>
      </c>
      <c r="D33" s="4">
        <f>-2348.512*59.14</f>
        <v>-138890.99968000001</v>
      </c>
      <c r="E33" s="4">
        <f>-1474.582*58.05</f>
        <v>-85599.485100000005</v>
      </c>
      <c r="F33" s="102">
        <f>-1800000/5</f>
        <v>-360000</v>
      </c>
      <c r="G33" s="102">
        <f t="shared" si="13"/>
        <v>-360000</v>
      </c>
      <c r="H33" s="102">
        <f t="shared" si="13"/>
        <v>-360000</v>
      </c>
      <c r="I33" s="102">
        <f t="shared" si="13"/>
        <v>-360000</v>
      </c>
      <c r="J33" s="102">
        <f t="shared" si="13"/>
        <v>-360000</v>
      </c>
      <c r="K33" s="208"/>
      <c r="L33" s="208"/>
    </row>
    <row r="34" spans="1:12" x14ac:dyDescent="0.25">
      <c r="F34" s="31"/>
      <c r="G34" s="31"/>
      <c r="H34" s="31"/>
      <c r="I34" s="31"/>
      <c r="J34" s="31"/>
      <c r="K34" s="31"/>
      <c r="L34" s="31"/>
    </row>
    <row r="35" spans="1:12" x14ac:dyDescent="0.25">
      <c r="A35" s="65" t="s">
        <v>123</v>
      </c>
      <c r="B35" s="106" t="s">
        <v>58</v>
      </c>
      <c r="C35" s="107">
        <v>44926</v>
      </c>
      <c r="D35" s="107">
        <v>45291</v>
      </c>
      <c r="E35" s="107">
        <v>45657</v>
      </c>
      <c r="F35" s="116">
        <v>46022</v>
      </c>
      <c r="G35" s="116">
        <v>46387</v>
      </c>
      <c r="H35" s="116">
        <v>46752</v>
      </c>
      <c r="I35" s="116">
        <v>47118</v>
      </c>
      <c r="J35" s="116">
        <v>47483</v>
      </c>
      <c r="K35" s="207"/>
      <c r="L35" s="207"/>
    </row>
    <row r="36" spans="1:12" x14ac:dyDescent="0.25">
      <c r="A36" s="86"/>
      <c r="B36" s="166"/>
      <c r="C36" s="204"/>
      <c r="D36" s="204"/>
      <c r="E36" s="204"/>
      <c r="F36" s="273"/>
      <c r="G36" s="273"/>
      <c r="H36" s="273"/>
      <c r="I36" s="273"/>
      <c r="J36" s="273"/>
      <c r="K36" s="207"/>
      <c r="L36" s="207"/>
    </row>
    <row r="37" spans="1:12" x14ac:dyDescent="0.25">
      <c r="B37" s="4" t="s">
        <v>47</v>
      </c>
      <c r="C37" s="4">
        <f>C17</f>
        <v>1392543</v>
      </c>
      <c r="D37" s="4">
        <f t="shared" ref="D37:E37" si="14">D17</f>
        <v>1377768</v>
      </c>
      <c r="E37" s="4">
        <f t="shared" si="14"/>
        <v>1368343</v>
      </c>
      <c r="F37" s="102">
        <f t="shared" ref="F37:J38" si="15">F17</f>
        <v>1357754.7647058824</v>
      </c>
      <c r="G37" s="102">
        <f t="shared" si="15"/>
        <v>1347166.5294117648</v>
      </c>
      <c r="H37" s="102">
        <f t="shared" si="15"/>
        <v>1336578.2941176472</v>
      </c>
      <c r="I37" s="102">
        <f t="shared" si="15"/>
        <v>1325990.0588235296</v>
      </c>
      <c r="J37" s="102">
        <f t="shared" si="15"/>
        <v>1315401.823529412</v>
      </c>
      <c r="K37" s="205"/>
      <c r="L37" s="205"/>
    </row>
    <row r="38" spans="1:12" x14ac:dyDescent="0.25">
      <c r="B38" s="4" t="s">
        <v>48</v>
      </c>
      <c r="C38" s="4">
        <f t="shared" ref="C38:E38" si="16">C18</f>
        <v>1403077</v>
      </c>
      <c r="D38" s="4">
        <f t="shared" si="16"/>
        <v>1385500</v>
      </c>
      <c r="E38" s="4">
        <f t="shared" si="16"/>
        <v>1376555</v>
      </c>
      <c r="F38" s="102">
        <f t="shared" si="15"/>
        <v>1376555</v>
      </c>
      <c r="G38" s="102">
        <f t="shared" si="15"/>
        <v>1376555</v>
      </c>
      <c r="H38" s="102">
        <f t="shared" si="15"/>
        <v>1376555</v>
      </c>
      <c r="I38" s="102">
        <f t="shared" si="15"/>
        <v>1376555</v>
      </c>
      <c r="J38" s="102">
        <f t="shared" si="15"/>
        <v>1376555</v>
      </c>
      <c r="K38" s="205"/>
      <c r="L38" s="205"/>
    </row>
    <row r="39" spans="1:12" x14ac:dyDescent="0.25">
      <c r="F39" s="31"/>
      <c r="G39" s="31"/>
      <c r="H39" s="31"/>
      <c r="I39" s="31"/>
      <c r="J39" s="31"/>
      <c r="K39" s="31"/>
      <c r="L39" s="31"/>
    </row>
    <row r="40" spans="1:12" x14ac:dyDescent="0.25">
      <c r="A40" s="65" t="s">
        <v>123</v>
      </c>
      <c r="B40" s="106" t="s">
        <v>128</v>
      </c>
      <c r="C40" s="107">
        <v>44926</v>
      </c>
      <c r="D40" s="107">
        <v>45291</v>
      </c>
      <c r="E40" s="107">
        <v>45657</v>
      </c>
      <c r="F40" s="116">
        <v>46022</v>
      </c>
      <c r="G40" s="116">
        <v>46387</v>
      </c>
      <c r="H40" s="116">
        <v>46752</v>
      </c>
      <c r="I40" s="116">
        <v>47118</v>
      </c>
      <c r="J40" s="116">
        <v>47483</v>
      </c>
      <c r="K40" s="207"/>
      <c r="L40" s="207"/>
    </row>
    <row r="41" spans="1:12" x14ac:dyDescent="0.25">
      <c r="A41" s="86"/>
      <c r="B41" s="166"/>
      <c r="C41" s="204"/>
      <c r="D41" s="204"/>
      <c r="E41" s="204"/>
      <c r="F41" s="273"/>
      <c r="G41" s="273"/>
      <c r="H41" s="273"/>
      <c r="I41" s="273"/>
      <c r="J41" s="273"/>
      <c r="K41" s="207"/>
      <c r="L41" s="207"/>
    </row>
    <row r="42" spans="1:12" x14ac:dyDescent="0.25">
      <c r="B42" s="4" t="s">
        <v>138</v>
      </c>
      <c r="C42" s="8">
        <f>BalSheet!C17/IncState!C15</f>
        <v>1.4999999999999999E-2</v>
      </c>
      <c r="D42" s="8">
        <f>BalSheet!D17/IncState!D15</f>
        <v>1.4999999999999999E-2</v>
      </c>
      <c r="E42" s="8">
        <f>BalSheet!E17/IncState!E15</f>
        <v>1.4999999999999998E-2</v>
      </c>
      <c r="F42" s="101">
        <f>E42</f>
        <v>1.4999999999999998E-2</v>
      </c>
      <c r="G42" s="101">
        <f t="shared" ref="G42:J42" si="17">F42</f>
        <v>1.4999999999999998E-2</v>
      </c>
      <c r="H42" s="101">
        <f t="shared" si="17"/>
        <v>1.4999999999999998E-2</v>
      </c>
      <c r="I42" s="101">
        <f t="shared" si="17"/>
        <v>1.4999999999999998E-2</v>
      </c>
      <c r="J42" s="101">
        <f t="shared" si="17"/>
        <v>1.4999999999999998E-2</v>
      </c>
      <c r="K42" s="179"/>
      <c r="L42" s="179"/>
    </row>
    <row r="43" spans="1:12" x14ac:dyDescent="0.25">
      <c r="B43" s="4" t="s">
        <v>151</v>
      </c>
      <c r="C43" s="8">
        <f>BalSheet!C19/IncState!C15</f>
        <v>1.2378032143044098E-2</v>
      </c>
      <c r="D43" s="8">
        <f>BalSheet!D19/IncState!D15</f>
        <v>1.1703718395984298E-2</v>
      </c>
      <c r="E43" s="8">
        <f>BalSheet!E19/IncState!E15</f>
        <v>1.2724489172698285E-2</v>
      </c>
      <c r="F43" s="101">
        <f>E43</f>
        <v>1.2724489172698285E-2</v>
      </c>
      <c r="G43" s="101">
        <f t="shared" ref="G43:J43" si="18">F43</f>
        <v>1.2724489172698285E-2</v>
      </c>
      <c r="H43" s="101">
        <f t="shared" si="18"/>
        <v>1.2724489172698285E-2</v>
      </c>
      <c r="I43" s="101">
        <f t="shared" si="18"/>
        <v>1.2724489172698285E-2</v>
      </c>
      <c r="J43" s="101">
        <f t="shared" si="18"/>
        <v>1.2724489172698285E-2</v>
      </c>
      <c r="K43" s="179"/>
      <c r="L43" s="179"/>
    </row>
    <row r="44" spans="1:12" x14ac:dyDescent="0.25">
      <c r="B44" s="4" t="s">
        <v>62</v>
      </c>
      <c r="C44" s="8">
        <f>BalSheet!C20/IncState!C16</f>
        <v>5.1617511748816005E-3</v>
      </c>
      <c r="D44" s="8">
        <f>BalSheet!D20/IncState!D16</f>
        <v>5.1181914343435605E-3</v>
      </c>
      <c r="E44" s="8">
        <f>BalSheet!E20/IncState!E16</f>
        <v>5.6254933168675032E-3</v>
      </c>
      <c r="F44" s="101">
        <f t="shared" ref="F44:J44" si="19">E44</f>
        <v>5.6254933168675032E-3</v>
      </c>
      <c r="G44" s="101">
        <f t="shared" si="19"/>
        <v>5.6254933168675032E-3</v>
      </c>
      <c r="H44" s="101">
        <f t="shared" si="19"/>
        <v>5.6254933168675032E-3</v>
      </c>
      <c r="I44" s="101">
        <f t="shared" si="19"/>
        <v>5.6254933168675032E-3</v>
      </c>
      <c r="J44" s="101">
        <f t="shared" si="19"/>
        <v>5.6254933168675032E-3</v>
      </c>
      <c r="K44" s="179"/>
      <c r="L44" s="179"/>
    </row>
    <row r="45" spans="1:12" x14ac:dyDescent="0.25">
      <c r="B45" s="4" t="s">
        <v>63</v>
      </c>
      <c r="C45" s="8">
        <f>BalSheet!C21/IncState!C15</f>
        <v>1.5536584450653019E-2</v>
      </c>
      <c r="D45" s="8">
        <f>BalSheet!D21/IncState!D15</f>
        <v>1.7263782373137457E-2</v>
      </c>
      <c r="E45" s="8">
        <f>BalSheet!E21/IncState!E15</f>
        <v>1.4563296871543232E-2</v>
      </c>
      <c r="F45" s="101">
        <f t="shared" ref="F45:J45" si="20">E45</f>
        <v>1.4563296871543232E-2</v>
      </c>
      <c r="G45" s="101">
        <f t="shared" si="20"/>
        <v>1.4563296871543232E-2</v>
      </c>
      <c r="H45" s="101">
        <f t="shared" si="20"/>
        <v>1.4563296871543232E-2</v>
      </c>
      <c r="I45" s="101">
        <f t="shared" si="20"/>
        <v>1.4563296871543232E-2</v>
      </c>
      <c r="J45" s="101">
        <f t="shared" si="20"/>
        <v>1.4563296871543232E-2</v>
      </c>
      <c r="K45" s="179"/>
      <c r="L45" s="179"/>
    </row>
    <row r="46" spans="1:12" x14ac:dyDescent="0.25">
      <c r="E46" s="8"/>
      <c r="F46" s="104"/>
      <c r="G46" s="104"/>
      <c r="H46" s="104"/>
      <c r="I46" s="104"/>
      <c r="J46" s="104"/>
      <c r="K46" s="179"/>
      <c r="L46" s="179"/>
    </row>
    <row r="47" spans="1:12" x14ac:dyDescent="0.25">
      <c r="B47" s="4" t="s">
        <v>176</v>
      </c>
      <c r="C47" s="4">
        <f>BalSheet!C26</f>
        <v>388055</v>
      </c>
      <c r="D47" s="4">
        <f>BalSheet!D26</f>
        <v>564488</v>
      </c>
      <c r="E47" s="4">
        <f>BalSheet!E26</f>
        <v>868025</v>
      </c>
      <c r="F47" s="102">
        <f>E47</f>
        <v>868025</v>
      </c>
      <c r="G47" s="102">
        <f t="shared" ref="G47:J47" si="21">F47</f>
        <v>868025</v>
      </c>
      <c r="H47" s="102">
        <f t="shared" si="21"/>
        <v>868025</v>
      </c>
      <c r="I47" s="102">
        <f t="shared" si="21"/>
        <v>868025</v>
      </c>
      <c r="J47" s="102">
        <f t="shared" si="21"/>
        <v>868025</v>
      </c>
      <c r="K47" s="205"/>
      <c r="L47" s="205"/>
    </row>
    <row r="48" spans="1:12" x14ac:dyDescent="0.25">
      <c r="B48" s="4" t="s">
        <v>64</v>
      </c>
      <c r="C48" s="8">
        <f>BalSheet!C27/IncState!C15</f>
        <v>1.0205854271834002E-2</v>
      </c>
      <c r="D48" s="8">
        <f>BalSheet!D27/IncState!D15</f>
        <v>8.9788443653132325E-3</v>
      </c>
      <c r="E48" s="8">
        <f>BalSheet!E27/IncState!E15</f>
        <v>1.2689752995730101E-2</v>
      </c>
      <c r="F48" s="101">
        <f>E48</f>
        <v>1.2689752995730101E-2</v>
      </c>
      <c r="G48" s="101">
        <f t="shared" ref="G48:J48" si="22">F48</f>
        <v>1.2689752995730101E-2</v>
      </c>
      <c r="H48" s="101">
        <f t="shared" si="22"/>
        <v>1.2689752995730101E-2</v>
      </c>
      <c r="I48" s="101">
        <f t="shared" si="22"/>
        <v>1.2689752995730101E-2</v>
      </c>
      <c r="J48" s="101">
        <f t="shared" si="22"/>
        <v>1.2689752995730101E-2</v>
      </c>
      <c r="K48" s="179"/>
      <c r="L48" s="179"/>
    </row>
    <row r="49" spans="1:12" x14ac:dyDescent="0.25">
      <c r="F49" s="31"/>
      <c r="G49" s="31"/>
      <c r="H49" s="31"/>
      <c r="I49" s="31"/>
      <c r="J49" s="31"/>
      <c r="K49" s="31"/>
      <c r="L49" s="31"/>
    </row>
    <row r="50" spans="1:12" x14ac:dyDescent="0.25">
      <c r="A50" s="65" t="s">
        <v>123</v>
      </c>
      <c r="B50" s="106" t="s">
        <v>129</v>
      </c>
      <c r="C50" s="107">
        <v>44926</v>
      </c>
      <c r="D50" s="107">
        <v>45291</v>
      </c>
      <c r="E50" s="107">
        <v>45657</v>
      </c>
      <c r="F50" s="116">
        <v>46022</v>
      </c>
      <c r="G50" s="116">
        <v>46387</v>
      </c>
      <c r="H50" s="116">
        <v>46752</v>
      </c>
      <c r="I50" s="116">
        <v>47118</v>
      </c>
      <c r="J50" s="116">
        <v>47483</v>
      </c>
      <c r="K50" s="207"/>
      <c r="L50" s="207"/>
    </row>
    <row r="51" spans="1:12" x14ac:dyDescent="0.25">
      <c r="A51" s="86"/>
      <c r="B51" s="166"/>
      <c r="C51" s="204"/>
      <c r="D51" s="204"/>
      <c r="E51" s="204"/>
      <c r="F51" s="273"/>
      <c r="G51" s="273"/>
      <c r="H51" s="273"/>
      <c r="I51" s="273"/>
      <c r="J51" s="273"/>
      <c r="K51" s="207"/>
      <c r="L51" s="207"/>
    </row>
    <row r="52" spans="1:12" x14ac:dyDescent="0.25">
      <c r="B52" s="4" t="s">
        <v>152</v>
      </c>
      <c r="C52" s="8">
        <f>BalSheet!C33/IncState!C16</f>
        <v>7.2728911971505883E-2</v>
      </c>
      <c r="D52" s="8">
        <f>BalSheet!D33/IncState!D16</f>
        <v>7.45901306363385E-2</v>
      </c>
      <c r="E52" s="8">
        <f>BalSheet!E33/IncState!E16</f>
        <v>7.4983014440053536E-2</v>
      </c>
      <c r="F52" s="101">
        <f t="shared" ref="F52:J52" si="23">E52</f>
        <v>7.4983014440053536E-2</v>
      </c>
      <c r="G52" s="101">
        <f t="shared" si="23"/>
        <v>7.4983014440053536E-2</v>
      </c>
      <c r="H52" s="101">
        <f t="shared" si="23"/>
        <v>7.4983014440053536E-2</v>
      </c>
      <c r="I52" s="101">
        <f t="shared" si="23"/>
        <v>7.4983014440053536E-2</v>
      </c>
      <c r="J52" s="101">
        <f t="shared" si="23"/>
        <v>7.4983014440053536E-2</v>
      </c>
      <c r="K52" s="179"/>
      <c r="L52" s="179"/>
    </row>
    <row r="53" spans="1:12" x14ac:dyDescent="0.25">
      <c r="B53" s="4" t="s">
        <v>65</v>
      </c>
      <c r="C53" s="8">
        <f>BalSheet!C34/IncState!C15</f>
        <v>4.8562350862547787E-2</v>
      </c>
      <c r="D53" s="8">
        <f>BalSheet!D34/IncState!D15</f>
        <v>4.6370570914747881E-2</v>
      </c>
      <c r="E53" s="8">
        <f>BalSheet!E34/IncState!E15</f>
        <v>4.5644308795597749E-2</v>
      </c>
      <c r="F53" s="101">
        <f t="shared" ref="F53:J53" si="24">E53</f>
        <v>4.5644308795597749E-2</v>
      </c>
      <c r="G53" s="101">
        <f t="shared" si="24"/>
        <v>4.5644308795597749E-2</v>
      </c>
      <c r="H53" s="101">
        <f t="shared" si="24"/>
        <v>4.5644308795597749E-2</v>
      </c>
      <c r="I53" s="101">
        <f t="shared" si="24"/>
        <v>4.5644308795597749E-2</v>
      </c>
      <c r="J53" s="101">
        <f t="shared" si="24"/>
        <v>4.5644308795597749E-2</v>
      </c>
      <c r="K53" s="179"/>
      <c r="L53" s="179"/>
    </row>
    <row r="54" spans="1:12" x14ac:dyDescent="0.25">
      <c r="B54" s="4" t="s">
        <v>66</v>
      </c>
      <c r="C54" s="8">
        <f>BalSheet!C38/IncState!C15</f>
        <v>0.42127939840540185</v>
      </c>
      <c r="D54" s="8">
        <f>BalSheet!D38/IncState!D15</f>
        <v>0.40029077208883745</v>
      </c>
      <c r="E54" s="8">
        <f>BalSheet!E38/IncState!E15</f>
        <v>0.38714132135179768</v>
      </c>
      <c r="F54" s="101">
        <f t="shared" ref="F54:J54" si="25">E54</f>
        <v>0.38714132135179768</v>
      </c>
      <c r="G54" s="101">
        <f t="shared" si="25"/>
        <v>0.38714132135179768</v>
      </c>
      <c r="H54" s="101">
        <f t="shared" si="25"/>
        <v>0.38714132135179768</v>
      </c>
      <c r="I54" s="101">
        <f t="shared" si="25"/>
        <v>0.38714132135179768</v>
      </c>
      <c r="J54" s="101">
        <f t="shared" si="25"/>
        <v>0.38714132135179768</v>
      </c>
      <c r="K54" s="179"/>
      <c r="L54" s="179"/>
    </row>
    <row r="55" spans="1:12" x14ac:dyDescent="0.25">
      <c r="F55" s="125"/>
      <c r="G55" s="31"/>
      <c r="H55" s="31"/>
      <c r="I55" s="31"/>
      <c r="J55" s="31"/>
    </row>
    <row r="56" spans="1:12" x14ac:dyDescent="0.25">
      <c r="F56" s="126"/>
      <c r="G56" s="95"/>
      <c r="H56" s="95"/>
      <c r="I56" s="95"/>
      <c r="J56" s="95"/>
    </row>
    <row r="57" spans="1:12" x14ac:dyDescent="0.25">
      <c r="F57" s="95"/>
      <c r="G57" s="95"/>
      <c r="H57" s="95"/>
      <c r="I57" s="95"/>
      <c r="J57" s="95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F6:K8 N7:T7 D7:D8 M9:N11 K35:L38 F37:J38 K40:L48 F42:J48 K50:L54 F52:J54 F56:J57 F11:L33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T9"/>
  <sheetViews>
    <sheetView showGridLines="0" workbookViewId="0">
      <selection activeCell="Q5" sqref="Q5"/>
    </sheetView>
  </sheetViews>
  <sheetFormatPr defaultColWidth="11.7109375" defaultRowHeight="15" x14ac:dyDescent="0.25"/>
  <cols>
    <col min="1" max="1" width="2" style="4" bestFit="1" customWidth="1"/>
    <col min="2" max="2" width="30" style="4" bestFit="1" customWidth="1"/>
    <col min="3" max="5" width="11.7109375" style="4"/>
    <col min="6" max="9" width="0" style="4" hidden="1" customWidth="1"/>
    <col min="10" max="10" width="12.42578125" style="4" bestFit="1" customWidth="1"/>
    <col min="11" max="14" width="11.7109375" style="4"/>
    <col min="15" max="20" width="12.42578125" style="4" bestFit="1" customWidth="1"/>
    <col min="21" max="16384" width="11.7109375" style="4"/>
  </cols>
  <sheetData>
    <row r="1" spans="1:20" ht="19.5" x14ac:dyDescent="0.3">
      <c r="A1" s="267" t="str">
        <f>CoName</f>
        <v>Chipotle Mexican Grill Inc.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20" s="178" customFormat="1" x14ac:dyDescent="0.25">
      <c r="A2" s="278" t="s">
        <v>182</v>
      </c>
      <c r="B2" s="279"/>
      <c r="C2" s="279">
        <v>2021</v>
      </c>
      <c r="D2" s="279">
        <v>2022</v>
      </c>
      <c r="E2" s="279">
        <v>2023</v>
      </c>
      <c r="F2" s="279" t="s">
        <v>187</v>
      </c>
      <c r="G2" s="279" t="s">
        <v>188</v>
      </c>
      <c r="H2" s="279" t="s">
        <v>189</v>
      </c>
      <c r="I2" s="279" t="s">
        <v>190</v>
      </c>
      <c r="J2" s="279">
        <v>2024</v>
      </c>
      <c r="K2" s="279" t="s">
        <v>191</v>
      </c>
      <c r="L2" s="279" t="s">
        <v>192</v>
      </c>
      <c r="M2" s="279" t="s">
        <v>193</v>
      </c>
      <c r="N2" s="279" t="s">
        <v>194</v>
      </c>
      <c r="O2" s="279">
        <v>2025</v>
      </c>
      <c r="P2" s="279">
        <f>O2+1</f>
        <v>2026</v>
      </c>
      <c r="Q2" s="279">
        <f t="shared" ref="Q2:T2" si="0">P2+1</f>
        <v>2027</v>
      </c>
      <c r="R2" s="279">
        <f t="shared" si="0"/>
        <v>2028</v>
      </c>
      <c r="S2" s="279">
        <f t="shared" si="0"/>
        <v>2029</v>
      </c>
      <c r="T2" s="279">
        <f t="shared" si="0"/>
        <v>2030</v>
      </c>
    </row>
    <row r="3" spans="1:20" x14ac:dyDescent="0.25">
      <c r="A3" s="4" t="s">
        <v>123</v>
      </c>
      <c r="B3" s="4" t="s">
        <v>183</v>
      </c>
      <c r="C3" s="4">
        <v>7457169</v>
      </c>
      <c r="D3" s="4">
        <v>8558001</v>
      </c>
      <c r="E3" s="4">
        <v>9804124</v>
      </c>
      <c r="F3" s="4">
        <v>2640397</v>
      </c>
      <c r="G3" s="4">
        <v>2902839</v>
      </c>
      <c r="H3" s="4">
        <v>2725898</v>
      </c>
      <c r="I3" s="4">
        <f>J3-SUM(F3:H3)</f>
        <v>2776316</v>
      </c>
      <c r="J3" s="28">
        <v>11045450</v>
      </c>
      <c r="K3" s="4">
        <v>2807074</v>
      </c>
      <c r="L3" s="4">
        <v>2984846</v>
      </c>
      <c r="M3" s="4">
        <v>2923260</v>
      </c>
      <c r="N3" s="28">
        <f>M3*(1+N4)</f>
        <v>2901335.5500000003</v>
      </c>
      <c r="O3" s="4">
        <f>SUM(K3:N3)</f>
        <v>11616515.550000001</v>
      </c>
      <c r="P3" s="4">
        <f>O3*(1+P4)</f>
        <v>12487754.216250001</v>
      </c>
      <c r="Q3" s="4">
        <f t="shared" ref="Q3:T3" si="1">P3*(1+Q4)</f>
        <v>13736529.637875002</v>
      </c>
      <c r="R3" s="4">
        <f t="shared" si="1"/>
        <v>15110182.601662504</v>
      </c>
      <c r="S3" s="4">
        <f t="shared" si="1"/>
        <v>16621200.861828756</v>
      </c>
      <c r="T3" s="28">
        <f t="shared" si="1"/>
        <v>18283320.948011633</v>
      </c>
    </row>
    <row r="4" spans="1:20" s="44" customFormat="1" x14ac:dyDescent="0.25">
      <c r="B4" s="44" t="s">
        <v>185</v>
      </c>
      <c r="D4" s="44">
        <f t="shared" ref="D4" si="2">D3/C3-1</f>
        <v>0.14762063190468133</v>
      </c>
      <c r="E4" s="44">
        <f>E3/D3-1</f>
        <v>0.14560912063459686</v>
      </c>
      <c r="J4" s="45">
        <f>J3/E3-1</f>
        <v>0.12661263770225673</v>
      </c>
      <c r="K4" s="44">
        <f t="shared" ref="K4:L4" si="3">K3/F3-1</f>
        <v>6.3125734501288999E-2</v>
      </c>
      <c r="L4" s="44">
        <f t="shared" si="3"/>
        <v>2.8250619479757599E-2</v>
      </c>
      <c r="M4" s="44">
        <f>M3/H3-1</f>
        <v>7.2402562384946245E-2</v>
      </c>
      <c r="N4" s="280">
        <v>-7.4999999999999997E-3</v>
      </c>
      <c r="O4" s="281">
        <f>O3/J3-1</f>
        <v>5.1701429095238449E-2</v>
      </c>
      <c r="P4" s="281">
        <v>7.4999999999999997E-2</v>
      </c>
      <c r="Q4" s="281">
        <v>0.1</v>
      </c>
      <c r="R4" s="281">
        <f t="shared" ref="R4:T4" si="4">Q4</f>
        <v>0.1</v>
      </c>
      <c r="S4" s="281">
        <f t="shared" si="4"/>
        <v>0.1</v>
      </c>
      <c r="T4" s="280">
        <f t="shared" si="4"/>
        <v>0.1</v>
      </c>
    </row>
    <row r="5" spans="1:20" x14ac:dyDescent="0.25">
      <c r="B5" s="4" t="s">
        <v>184</v>
      </c>
      <c r="C5" s="4">
        <v>89892</v>
      </c>
      <c r="D5" s="4">
        <v>76651</v>
      </c>
      <c r="E5" s="4">
        <v>67525</v>
      </c>
      <c r="F5" s="4">
        <v>17359</v>
      </c>
      <c r="G5" s="4">
        <v>18153</v>
      </c>
      <c r="H5" s="4">
        <v>15497</v>
      </c>
      <c r="I5" s="4">
        <f>J5-SUM(F5:H5)</f>
        <v>15273</v>
      </c>
      <c r="J5" s="28">
        <v>66282</v>
      </c>
      <c r="K5" s="4">
        <v>15370</v>
      </c>
      <c r="L5" s="4">
        <v>15584</v>
      </c>
      <c r="M5" s="4">
        <v>14136</v>
      </c>
      <c r="N5" s="28">
        <f>M5*(1+N6)</f>
        <v>12581.04</v>
      </c>
      <c r="O5" s="4">
        <f>SUM(K5:N5)</f>
        <v>57671.040000000001</v>
      </c>
      <c r="P5" s="4">
        <f>O5*(1+P6)</f>
        <v>54787.487999999998</v>
      </c>
      <c r="Q5" s="4">
        <f t="shared" ref="Q5" si="5">P5*(1+Q6)</f>
        <v>52048.113599999997</v>
      </c>
      <c r="R5" s="4">
        <f t="shared" ref="R5" si="6">Q5*(1+R6)</f>
        <v>49445.707919999993</v>
      </c>
      <c r="S5" s="4">
        <f t="shared" ref="S5" si="7">R5*(1+S6)</f>
        <v>46973.422523999994</v>
      </c>
      <c r="T5" s="28">
        <f t="shared" ref="T5" si="8">S5*(1+T6)</f>
        <v>44624.751397799992</v>
      </c>
    </row>
    <row r="6" spans="1:20" s="44" customFormat="1" x14ac:dyDescent="0.25">
      <c r="B6" s="44" t="s">
        <v>185</v>
      </c>
      <c r="D6" s="44">
        <f t="shared" ref="D6" si="9">D5/C5-1</f>
        <v>-0.14729898099942151</v>
      </c>
      <c r="E6" s="44">
        <f>E5/D5-1</f>
        <v>-0.11905911207942488</v>
      </c>
      <c r="J6" s="45">
        <f>J5/E5-1</f>
        <v>-1.8407997038134005E-2</v>
      </c>
      <c r="K6" s="44">
        <f t="shared" ref="K6" si="10">K5/F5-1</f>
        <v>-0.11458033296848902</v>
      </c>
      <c r="L6" s="44">
        <f t="shared" ref="L6" si="11">L5/G5-1</f>
        <v>-0.14151930810334379</v>
      </c>
      <c r="M6" s="44">
        <f>M5/H5-1</f>
        <v>-8.7823449699941936E-2</v>
      </c>
      <c r="N6" s="280">
        <v>-0.11</v>
      </c>
      <c r="O6" s="281">
        <f>O5/J5-1</f>
        <v>-0.12991400380193718</v>
      </c>
      <c r="P6" s="281">
        <v>-0.05</v>
      </c>
      <c r="Q6" s="281">
        <f t="shared" ref="Q6:T6" si="12">P6</f>
        <v>-0.05</v>
      </c>
      <c r="R6" s="281">
        <f t="shared" si="12"/>
        <v>-0.05</v>
      </c>
      <c r="S6" s="281">
        <f t="shared" si="12"/>
        <v>-0.05</v>
      </c>
      <c r="T6" s="280">
        <f t="shared" si="12"/>
        <v>-0.05</v>
      </c>
    </row>
    <row r="7" spans="1:20" s="11" customFormat="1" x14ac:dyDescent="0.25">
      <c r="A7" s="11" t="s">
        <v>123</v>
      </c>
      <c r="B7" s="11" t="s">
        <v>186</v>
      </c>
      <c r="C7" s="11">
        <f>SUM(C5,C3)</f>
        <v>7547061</v>
      </c>
      <c r="D7" s="11">
        <f t="shared" ref="D7:T7" si="13">SUM(D5,D3)</f>
        <v>8634652</v>
      </c>
      <c r="E7" s="11">
        <f t="shared" si="13"/>
        <v>9871649</v>
      </c>
      <c r="F7" s="11">
        <f t="shared" si="13"/>
        <v>2657756</v>
      </c>
      <c r="G7" s="11">
        <f t="shared" si="13"/>
        <v>2920992</v>
      </c>
      <c r="H7" s="11">
        <f t="shared" si="13"/>
        <v>2741395</v>
      </c>
      <c r="I7" s="11">
        <f t="shared" si="13"/>
        <v>2791589</v>
      </c>
      <c r="J7" s="25">
        <f t="shared" si="13"/>
        <v>11111732</v>
      </c>
      <c r="K7" s="11">
        <f t="shared" si="13"/>
        <v>2822444</v>
      </c>
      <c r="L7" s="11">
        <f t="shared" si="13"/>
        <v>3000430</v>
      </c>
      <c r="M7" s="11">
        <f t="shared" si="13"/>
        <v>2937396</v>
      </c>
      <c r="N7" s="25">
        <f t="shared" si="13"/>
        <v>2913916.5900000003</v>
      </c>
      <c r="O7" s="11">
        <f t="shared" si="13"/>
        <v>11674186.59</v>
      </c>
      <c r="P7" s="11">
        <f t="shared" si="13"/>
        <v>12542541.70425</v>
      </c>
      <c r="Q7" s="11">
        <f t="shared" si="13"/>
        <v>13788577.751475003</v>
      </c>
      <c r="R7" s="11">
        <f t="shared" si="13"/>
        <v>15159628.309582504</v>
      </c>
      <c r="S7" s="11">
        <f t="shared" si="13"/>
        <v>16668174.284352755</v>
      </c>
      <c r="T7" s="25">
        <f t="shared" si="13"/>
        <v>18327945.699409433</v>
      </c>
    </row>
    <row r="8" spans="1:20" s="8" customFormat="1" x14ac:dyDescent="0.25">
      <c r="B8" s="44" t="s">
        <v>185</v>
      </c>
      <c r="D8" s="44">
        <f t="shared" ref="D8" si="14">D7/C7-1</f>
        <v>0.14410788517543449</v>
      </c>
      <c r="E8" s="44">
        <f>E7/D7-1</f>
        <v>0.14325962412845361</v>
      </c>
      <c r="J8" s="45">
        <f>J7/E7-1</f>
        <v>0.12562065365168484</v>
      </c>
      <c r="K8" s="44">
        <f t="shared" ref="K8" si="15">K7/F7-1</f>
        <v>6.1965056235410598E-2</v>
      </c>
      <c r="L8" s="44">
        <f t="shared" ref="L8" si="16">L7/G7-1</f>
        <v>2.719555548252095E-2</v>
      </c>
      <c r="M8" s="44">
        <f>M7/H7-1</f>
        <v>7.149681093020166E-2</v>
      </c>
      <c r="N8" s="282">
        <f>N7/I7-1</f>
        <v>4.3820057322191852E-2</v>
      </c>
      <c r="O8" s="44">
        <f t="shared" ref="O8" si="17">O7/J7-1</f>
        <v>5.0618084561434795E-2</v>
      </c>
      <c r="P8" s="283">
        <f>P7/O7-1</f>
        <v>7.4382494022652068E-2</v>
      </c>
      <c r="Q8" s="283">
        <f t="shared" ref="Q8:T8" si="18">Q7/P7-1</f>
        <v>9.9344780077772255E-2</v>
      </c>
      <c r="R8" s="283">
        <f t="shared" si="18"/>
        <v>9.9433790984051029E-2</v>
      </c>
      <c r="S8" s="283">
        <f t="shared" si="18"/>
        <v>9.9510749469806647E-2</v>
      </c>
      <c r="T8" s="282">
        <f t="shared" si="18"/>
        <v>9.9577277435525025E-2</v>
      </c>
    </row>
    <row r="9" spans="1:20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39"/>
  <sheetViews>
    <sheetView showGridLines="0" zoomScaleNormal="100" workbookViewId="0">
      <selection activeCell="F18" sqref="F18:J18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5" width="11.7109375" style="4" customWidth="1"/>
    <col min="6" max="8" width="12.7109375" style="4" customWidth="1"/>
    <col min="9" max="10" width="12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67" t="str">
        <f>CoName</f>
        <v>Chipotle Mexican Grill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/>
      <c r="L1" s="42"/>
    </row>
    <row r="2" spans="1:13" x14ac:dyDescent="0.25">
      <c r="A2" s="21" t="s">
        <v>10</v>
      </c>
      <c r="B2" s="20"/>
      <c r="C2" s="201">
        <v>2022</v>
      </c>
      <c r="D2" s="265">
        <f>C2+1</f>
        <v>2023</v>
      </c>
      <c r="E2" s="265">
        <f t="shared" ref="E2:J2" si="0">D2+1</f>
        <v>2024</v>
      </c>
      <c r="F2" s="265">
        <f t="shared" si="0"/>
        <v>2025</v>
      </c>
      <c r="G2" s="265">
        <f t="shared" si="0"/>
        <v>2026</v>
      </c>
      <c r="H2" s="265">
        <f t="shared" si="0"/>
        <v>2027</v>
      </c>
      <c r="I2" s="265">
        <f t="shared" si="0"/>
        <v>2028</v>
      </c>
      <c r="J2" s="265">
        <f t="shared" si="0"/>
        <v>2029</v>
      </c>
      <c r="K2" s="202"/>
      <c r="L2" s="202"/>
      <c r="M2" s="202"/>
    </row>
    <row r="3" spans="1:13" x14ac:dyDescent="0.25">
      <c r="B3" s="4" t="s">
        <v>11</v>
      </c>
      <c r="C3" s="30"/>
      <c r="D3" s="30"/>
      <c r="E3" s="41"/>
      <c r="F3" s="211">
        <f>Assumptions!F31</f>
        <v>4.956145355609623E-2</v>
      </c>
      <c r="G3" s="211">
        <f>Assumptions!G31</f>
        <v>4.956145355609623E-2</v>
      </c>
      <c r="H3" s="211">
        <f>Assumptions!H31</f>
        <v>4.956145355609623E-2</v>
      </c>
      <c r="I3" s="211">
        <f>Assumptions!I31</f>
        <v>4.956145355609623E-2</v>
      </c>
      <c r="J3" s="211">
        <f>Assumptions!J31</f>
        <v>4.956145355609623E-2</v>
      </c>
      <c r="K3" s="209"/>
      <c r="L3" s="209"/>
    </row>
    <row r="4" spans="1:13" x14ac:dyDescent="0.25">
      <c r="B4" s="4" t="s">
        <v>133</v>
      </c>
      <c r="C4" s="30"/>
      <c r="D4" s="30"/>
      <c r="E4" s="41"/>
      <c r="F4" s="211">
        <f>Assumptions!F32</f>
        <v>5.828041887170167E-2</v>
      </c>
      <c r="G4" s="211">
        <f>F4</f>
        <v>5.828041887170167E-2</v>
      </c>
      <c r="H4" s="211">
        <f t="shared" ref="H4:J4" si="1">G4</f>
        <v>5.828041887170167E-2</v>
      </c>
      <c r="I4" s="211">
        <f t="shared" si="1"/>
        <v>5.828041887170167E-2</v>
      </c>
      <c r="J4" s="211">
        <f t="shared" si="1"/>
        <v>5.828041887170167E-2</v>
      </c>
      <c r="K4" s="209"/>
      <c r="L4" s="209"/>
    </row>
    <row r="5" spans="1:13" x14ac:dyDescent="0.25">
      <c r="E5" s="28"/>
      <c r="F5" s="79"/>
      <c r="G5" s="67"/>
      <c r="H5" s="84"/>
      <c r="I5" s="67"/>
      <c r="J5" s="67"/>
    </row>
    <row r="6" spans="1:13" x14ac:dyDescent="0.25">
      <c r="B6" s="4" t="s">
        <v>12</v>
      </c>
      <c r="E6" s="28"/>
      <c r="F6" s="4">
        <f>E9</f>
        <v>6390253</v>
      </c>
      <c r="G6" s="4">
        <f t="shared" ref="G6:J6" si="2">F9</f>
        <v>6606940.5076380698</v>
      </c>
      <c r="H6" s="4">
        <f t="shared" si="2"/>
        <v>6854819.154758689</v>
      </c>
      <c r="I6" s="4">
        <f t="shared" si="2"/>
        <v>7151130.010326826</v>
      </c>
      <c r="J6" s="4">
        <f t="shared" si="2"/>
        <v>7499359.0284756618</v>
      </c>
    </row>
    <row r="7" spans="1:13" x14ac:dyDescent="0.25">
      <c r="B7" s="4" t="s">
        <v>13</v>
      </c>
      <c r="C7" s="12"/>
      <c r="D7" s="12"/>
      <c r="E7" s="131"/>
      <c r="F7" s="4">
        <f>F3*IncState!F15</f>
        <v>589114.12917421793</v>
      </c>
      <c r="G7" s="4">
        <f>G3*IncState!G15</f>
        <v>632933.90736617905</v>
      </c>
      <c r="H7" s="4">
        <f>H3*IncState!H15</f>
        <v>695812.58719723718</v>
      </c>
      <c r="I7" s="4">
        <f>I3*IncState!I15</f>
        <v>764999.87055667909</v>
      </c>
      <c r="J7" s="4">
        <f>J3*IncState!J15</f>
        <v>841125.58102007932</v>
      </c>
    </row>
    <row r="8" spans="1:13" x14ac:dyDescent="0.25">
      <c r="B8" s="4" t="s">
        <v>14</v>
      </c>
      <c r="E8" s="28"/>
      <c r="F8" s="4">
        <f>F6*F4</f>
        <v>372426.62153614819</v>
      </c>
      <c r="G8" s="4">
        <f t="shared" ref="G8:J8" si="3">G6*G4</f>
        <v>385055.26024555997</v>
      </c>
      <c r="H8" s="4">
        <f t="shared" si="3"/>
        <v>399501.7316291004</v>
      </c>
      <c r="I8" s="4">
        <f t="shared" si="3"/>
        <v>416770.85240784369</v>
      </c>
      <c r="J8" s="4">
        <f t="shared" si="3"/>
        <v>437065.78544883925</v>
      </c>
    </row>
    <row r="9" spans="1:13" x14ac:dyDescent="0.25">
      <c r="B9" s="4" t="s">
        <v>15</v>
      </c>
      <c r="E9" s="28">
        <f>BalSheet!E24</f>
        <v>6390253</v>
      </c>
      <c r="F9" s="4">
        <f>F6+F7-F8</f>
        <v>6606940.5076380698</v>
      </c>
      <c r="G9" s="4">
        <f t="shared" ref="G9:J9" si="4">G6+G7-G8</f>
        <v>6854819.154758689</v>
      </c>
      <c r="H9" s="4">
        <f t="shared" si="4"/>
        <v>7151130.010326826</v>
      </c>
      <c r="I9" s="4">
        <f t="shared" si="4"/>
        <v>7499359.0284756618</v>
      </c>
      <c r="J9" s="4">
        <f t="shared" si="4"/>
        <v>7903418.8240469024</v>
      </c>
    </row>
    <row r="10" spans="1:13" x14ac:dyDescent="0.25">
      <c r="A10" s="21" t="s">
        <v>16</v>
      </c>
      <c r="B10" s="43"/>
      <c r="C10" s="244">
        <f t="shared" ref="C10:J10" si="5">C2</f>
        <v>2022</v>
      </c>
      <c r="D10" s="244">
        <f t="shared" si="5"/>
        <v>2023</v>
      </c>
      <c r="E10" s="244">
        <f t="shared" si="5"/>
        <v>2024</v>
      </c>
      <c r="F10" s="244">
        <f t="shared" si="5"/>
        <v>2025</v>
      </c>
      <c r="G10" s="244">
        <f t="shared" si="5"/>
        <v>2026</v>
      </c>
      <c r="H10" s="244">
        <f t="shared" si="5"/>
        <v>2027</v>
      </c>
      <c r="I10" s="244">
        <f t="shared" si="5"/>
        <v>2028</v>
      </c>
      <c r="J10" s="244">
        <f t="shared" si="5"/>
        <v>2029</v>
      </c>
      <c r="K10" s="204"/>
      <c r="L10" s="204"/>
    </row>
    <row r="11" spans="1:13" x14ac:dyDescent="0.25">
      <c r="B11" s="4" t="s">
        <v>17</v>
      </c>
      <c r="E11" s="28"/>
      <c r="F11" s="268">
        <f>Assumptions!F33</f>
        <v>-360000</v>
      </c>
      <c r="G11" s="268">
        <f>Assumptions!G33</f>
        <v>-360000</v>
      </c>
      <c r="H11" s="268">
        <f>Assumptions!H33</f>
        <v>-360000</v>
      </c>
      <c r="I11" s="268">
        <f>Assumptions!I33</f>
        <v>-360000</v>
      </c>
      <c r="J11" s="268">
        <f>Assumptions!J33</f>
        <v>-360000</v>
      </c>
      <c r="K11" s="210"/>
      <c r="L11" s="210"/>
    </row>
    <row r="12" spans="1:13" x14ac:dyDescent="0.25">
      <c r="E12" s="28"/>
      <c r="F12" s="79"/>
      <c r="G12" s="67"/>
      <c r="H12" s="84"/>
      <c r="I12" s="67"/>
      <c r="J12" s="67"/>
    </row>
    <row r="13" spans="1:13" x14ac:dyDescent="0.25">
      <c r="B13" s="4" t="s">
        <v>18</v>
      </c>
      <c r="E13" s="28"/>
      <c r="F13" s="4">
        <f>E16</f>
        <v>3655546</v>
      </c>
      <c r="G13" s="4">
        <f t="shared" ref="G13:J13" si="6">F16</f>
        <v>4838189.4695643233</v>
      </c>
      <c r="H13" s="4">
        <f t="shared" si="6"/>
        <v>6215443.8585823616</v>
      </c>
      <c r="I13" s="4">
        <f t="shared" si="6"/>
        <v>7854769.5762213264</v>
      </c>
      <c r="J13" s="4">
        <f t="shared" si="6"/>
        <v>9763281.1623211205</v>
      </c>
    </row>
    <row r="14" spans="1:13" x14ac:dyDescent="0.25">
      <c r="B14" s="4" t="s">
        <v>19</v>
      </c>
      <c r="E14" s="28"/>
      <c r="F14" s="4">
        <f>IncState!F34</f>
        <v>1542643.4695643231</v>
      </c>
      <c r="G14" s="4">
        <f>IncState!G34</f>
        <v>1737254.3890180383</v>
      </c>
      <c r="H14" s="4">
        <f>IncState!H34</f>
        <v>1999325.7176389643</v>
      </c>
      <c r="I14" s="4">
        <f>IncState!I34</f>
        <v>2268511.5860997951</v>
      </c>
      <c r="J14" s="4">
        <f>IncState!J34</f>
        <v>2571642.3043905557</v>
      </c>
    </row>
    <row r="15" spans="1:13" x14ac:dyDescent="0.25">
      <c r="B15" s="4" t="s">
        <v>20</v>
      </c>
      <c r="E15" s="28"/>
      <c r="F15" s="4">
        <f>F11</f>
        <v>-360000</v>
      </c>
      <c r="G15" s="4">
        <f t="shared" ref="G15:J15" si="7">G11</f>
        <v>-360000</v>
      </c>
      <c r="H15" s="4">
        <f t="shared" si="7"/>
        <v>-360000</v>
      </c>
      <c r="I15" s="4">
        <f t="shared" si="7"/>
        <v>-360000</v>
      </c>
      <c r="J15" s="4">
        <f t="shared" si="7"/>
        <v>-360000</v>
      </c>
    </row>
    <row r="16" spans="1:13" x14ac:dyDescent="0.25">
      <c r="B16" s="4" t="s">
        <v>21</v>
      </c>
      <c r="E16" s="28">
        <f>BalSheet!E41</f>
        <v>3655546</v>
      </c>
      <c r="F16" s="4">
        <f>SUM(F13:F15)</f>
        <v>4838189.4695643233</v>
      </c>
      <c r="G16" s="4">
        <f t="shared" ref="G16:J16" si="8">SUM(G13:G15)</f>
        <v>6215443.8585823616</v>
      </c>
      <c r="H16" s="4">
        <f t="shared" si="8"/>
        <v>7854769.5762213264</v>
      </c>
      <c r="I16" s="4">
        <f t="shared" si="8"/>
        <v>9763281.1623211205</v>
      </c>
      <c r="J16" s="4">
        <f t="shared" si="8"/>
        <v>11974923.466711676</v>
      </c>
    </row>
    <row r="17" spans="1:12" x14ac:dyDescent="0.25">
      <c r="A17" s="21" t="s">
        <v>22</v>
      </c>
      <c r="B17" s="43"/>
      <c r="C17" s="244">
        <f t="shared" ref="C17:J17" si="9">C10</f>
        <v>2022</v>
      </c>
      <c r="D17" s="244">
        <f t="shared" si="9"/>
        <v>2023</v>
      </c>
      <c r="E17" s="244">
        <f t="shared" si="9"/>
        <v>2024</v>
      </c>
      <c r="F17" s="244">
        <f t="shared" si="9"/>
        <v>2025</v>
      </c>
      <c r="G17" s="244">
        <f t="shared" si="9"/>
        <v>2026</v>
      </c>
      <c r="H17" s="244">
        <f t="shared" si="9"/>
        <v>2027</v>
      </c>
      <c r="I17" s="244">
        <f t="shared" si="9"/>
        <v>2028</v>
      </c>
      <c r="J17" s="244">
        <f t="shared" si="9"/>
        <v>2029</v>
      </c>
      <c r="K17" s="204"/>
      <c r="L17" s="204"/>
    </row>
    <row r="18" spans="1:12" x14ac:dyDescent="0.25">
      <c r="A18" s="87"/>
      <c r="B18" s="181" t="s">
        <v>156</v>
      </c>
      <c r="C18" s="204"/>
      <c r="D18" s="204"/>
      <c r="E18" s="225">
        <f>BalSheet!E17</f>
        <v>169707.79499999998</v>
      </c>
      <c r="F18" s="135">
        <f>BalSheet!F17</f>
        <v>178298.07851804461</v>
      </c>
      <c r="G18" s="135">
        <f>BalSheet!G17</f>
        <v>191560.33427766344</v>
      </c>
      <c r="H18" s="135">
        <f>BalSheet!H17</f>
        <v>210590.85355810245</v>
      </c>
      <c r="I18" s="135">
        <f>BalSheet!I17</f>
        <v>231530.7004739517</v>
      </c>
      <c r="J18" s="135">
        <f>BalSheet!J17</f>
        <v>254570.49400338394</v>
      </c>
      <c r="K18" s="204"/>
      <c r="L18" s="204"/>
    </row>
    <row r="19" spans="1:12" x14ac:dyDescent="0.25">
      <c r="B19" s="4" t="str">
        <f>BalSheet!B20</f>
        <v>Inventories</v>
      </c>
      <c r="D19" s="98"/>
      <c r="E19" s="99">
        <f>BalSheet!E20</f>
        <v>48942</v>
      </c>
      <c r="F19" s="4">
        <f>BalSheet!F20</f>
        <v>51085.012078234555</v>
      </c>
      <c r="G19" s="4">
        <f>BalSheet!G20</f>
        <v>54525.635557038979</v>
      </c>
      <c r="H19" s="4">
        <f>BalSheet!H20</f>
        <v>59547.580350292264</v>
      </c>
      <c r="I19" s="4">
        <f>BalSheet!I20</f>
        <v>65034.463872393928</v>
      </c>
      <c r="J19" s="4">
        <f>BalSheet!J20</f>
        <v>71028.73057614034</v>
      </c>
      <c r="K19" s="98"/>
      <c r="L19" s="98"/>
    </row>
    <row r="20" spans="1:12" x14ac:dyDescent="0.25">
      <c r="B20" s="4" t="str">
        <f>BalSheet!B19</f>
        <v>Accounts receivable</v>
      </c>
      <c r="C20" s="98"/>
      <c r="D20" s="98"/>
      <c r="E20" s="99">
        <f>BalSheet!E19</f>
        <v>143963</v>
      </c>
      <c r="F20" s="4">
        <f>BalSheet!F19</f>
        <v>151250.13130771785</v>
      </c>
      <c r="G20" s="4">
        <f>BalSheet!G19</f>
        <v>162500.49329563952</v>
      </c>
      <c r="H20" s="4">
        <f>BalSheet!H19</f>
        <v>178644.06906462435</v>
      </c>
      <c r="I20" s="4">
        <f>BalSheet!I19</f>
        <v>196407.32608853656</v>
      </c>
      <c r="J20" s="4">
        <f>BalSheet!J19</f>
        <v>215951.96630896753</v>
      </c>
      <c r="K20" s="98"/>
      <c r="L20" s="98"/>
    </row>
    <row r="21" spans="1:12" x14ac:dyDescent="0.25">
      <c r="B21" s="4" t="s">
        <v>69</v>
      </c>
      <c r="C21" s="98"/>
      <c r="D21" s="98"/>
      <c r="E21" s="99">
        <f>BalSheet!E21</f>
        <v>164767</v>
      </c>
      <c r="F21" s="4">
        <f>BalSheet!F21</f>
        <v>173107.18993893394</v>
      </c>
      <c r="G21" s="4">
        <f>BalSheet!G21</f>
        <v>185983.3344598448</v>
      </c>
      <c r="H21" s="4">
        <f>BalSheet!H21</f>
        <v>204459.80791988884</v>
      </c>
      <c r="I21" s="4">
        <f>BalSheet!I21</f>
        <v>224790.02172523428</v>
      </c>
      <c r="J21" s="4">
        <f>BalSheet!J21</f>
        <v>247159.04526044647</v>
      </c>
      <c r="K21" s="98"/>
      <c r="L21" s="98"/>
    </row>
    <row r="22" spans="1:12" x14ac:dyDescent="0.25">
      <c r="B22" s="4" t="s">
        <v>162</v>
      </c>
      <c r="C22" s="98"/>
      <c r="D22" s="98"/>
      <c r="E22" s="99">
        <f>BalSheet!E33</f>
        <v>652355</v>
      </c>
      <c r="F22" s="4">
        <f>BalSheet!F33</f>
        <v>680919.5180886907</v>
      </c>
      <c r="G22" s="4">
        <f>BalSheet!G33</f>
        <v>726780.08630240208</v>
      </c>
      <c r="H22" s="4">
        <f>BalSheet!H33</f>
        <v>793718.31513658841</v>
      </c>
      <c r="I22" s="4">
        <f>BalSheet!I33</f>
        <v>866853.77956510847</v>
      </c>
      <c r="J22" s="4">
        <f>BalSheet!J33</f>
        <v>946752.22784107784</v>
      </c>
      <c r="K22" s="98"/>
      <c r="L22" s="98"/>
    </row>
    <row r="23" spans="1:12" x14ac:dyDescent="0.25">
      <c r="B23" s="4" t="s">
        <v>75</v>
      </c>
      <c r="C23" s="98"/>
      <c r="D23" s="98"/>
      <c r="E23" s="99">
        <f>BalSheet!E34</f>
        <v>516413</v>
      </c>
      <c r="F23" s="4">
        <f>BalSheet!F34</f>
        <v>542552.83690262423</v>
      </c>
      <c r="G23" s="4">
        <f>BalSheet!G34</f>
        <v>582909.27005050657</v>
      </c>
      <c r="H23" s="4">
        <f>BalSheet!H34</f>
        <v>640818.26328896894</v>
      </c>
      <c r="I23" s="4">
        <f>BalSheet!I34</f>
        <v>704537.25253960688</v>
      </c>
      <c r="J23" s="4">
        <f>BalSheet!J34</f>
        <v>774646.28256922157</v>
      </c>
      <c r="K23" s="98"/>
      <c r="L23" s="98"/>
    </row>
    <row r="24" spans="1:12" x14ac:dyDescent="0.25">
      <c r="A24" s="11" t="s">
        <v>123</v>
      </c>
      <c r="B24" s="17" t="s">
        <v>22</v>
      </c>
      <c r="C24" s="18"/>
      <c r="D24" s="18"/>
      <c r="E24" s="18">
        <f>SUM(E18:E21)-SUM(E22:E23)</f>
        <v>-641388.20500000007</v>
      </c>
      <c r="F24" s="18">
        <f>SUM(F18:F21)-SUM(F22:F23)</f>
        <v>-669731.94314838399</v>
      </c>
      <c r="G24" s="18">
        <f t="shared" ref="G24:J24" si="10">SUM(G18:G21)-SUM(G22:G23)</f>
        <v>-715119.55876272172</v>
      </c>
      <c r="H24" s="18">
        <f t="shared" si="10"/>
        <v>-781294.26753264945</v>
      </c>
      <c r="I24" s="18">
        <f t="shared" si="10"/>
        <v>-853628.51994459867</v>
      </c>
      <c r="J24" s="18">
        <f t="shared" si="10"/>
        <v>-932688.27426136122</v>
      </c>
      <c r="K24" s="11"/>
      <c r="L24" s="11"/>
    </row>
    <row r="25" spans="1:12" s="11" customFormat="1" x14ac:dyDescent="0.25">
      <c r="A25" s="25"/>
      <c r="B25" s="11" t="s">
        <v>148</v>
      </c>
      <c r="F25" s="11">
        <f>E24-F24</f>
        <v>28343.738148383913</v>
      </c>
      <c r="G25" s="11">
        <f t="shared" ref="G25:J25" si="11">F24-G24</f>
        <v>45387.61561433773</v>
      </c>
      <c r="H25" s="11">
        <f t="shared" si="11"/>
        <v>66174.708769927733</v>
      </c>
      <c r="I25" s="11">
        <f t="shared" si="11"/>
        <v>72334.252411949215</v>
      </c>
      <c r="J25" s="11">
        <f t="shared" si="11"/>
        <v>79059.754316762555</v>
      </c>
    </row>
    <row r="26" spans="1:12" x14ac:dyDescent="0.25">
      <c r="B26" s="67"/>
      <c r="C26" s="67"/>
      <c r="D26" s="67"/>
      <c r="E26" s="67"/>
      <c r="F26" s="67"/>
      <c r="G26" s="67"/>
      <c r="H26" s="84"/>
      <c r="I26" s="67"/>
      <c r="J26" s="67"/>
    </row>
    <row r="27" spans="1:12" x14ac:dyDescent="0.25">
      <c r="H27" s="6"/>
      <c r="I27" s="4"/>
      <c r="J27" s="4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F33" sqref="F31:J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5" width="11.7109375" style="4" customWidth="1"/>
    <col min="6" max="8" width="12.7109375" style="4" customWidth="1"/>
    <col min="9" max="10" width="12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67" t="str">
        <f>CoName</f>
        <v>Chipotle Mexican Grill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/>
      <c r="L1" s="42"/>
    </row>
    <row r="2" spans="1:13" s="2" customFormat="1" x14ac:dyDescent="0.25">
      <c r="A2" s="16" t="s">
        <v>9</v>
      </c>
      <c r="B2" s="203"/>
      <c r="C2" s="107">
        <v>44926</v>
      </c>
      <c r="D2" s="107">
        <v>45291</v>
      </c>
      <c r="E2" s="107">
        <v>45657</v>
      </c>
      <c r="F2" s="107">
        <v>46022</v>
      </c>
      <c r="G2" s="107">
        <v>46387</v>
      </c>
      <c r="H2" s="107">
        <v>46752</v>
      </c>
      <c r="I2" s="107">
        <v>47118</v>
      </c>
      <c r="J2" s="107">
        <v>47483</v>
      </c>
      <c r="K2" s="212"/>
      <c r="L2" s="212"/>
    </row>
    <row r="3" spans="1:13" s="2" customFormat="1" x14ac:dyDescent="0.25">
      <c r="A3" s="87"/>
      <c r="B3" s="11"/>
      <c r="C3" s="204"/>
      <c r="D3" s="204"/>
      <c r="E3" s="204"/>
      <c r="F3" s="204"/>
      <c r="G3" s="204"/>
      <c r="H3" s="204"/>
      <c r="I3" s="204"/>
      <c r="J3" s="204"/>
      <c r="K3" s="212"/>
      <c r="L3" s="212"/>
    </row>
    <row r="4" spans="1:13" s="2" customFormat="1" x14ac:dyDescent="0.25">
      <c r="A4" s="11"/>
      <c r="B4" s="4" t="s">
        <v>23</v>
      </c>
      <c r="C4" s="31"/>
      <c r="D4" s="57"/>
      <c r="E4" s="61"/>
      <c r="F4" s="111">
        <f>Assumptions!F22</f>
        <v>0</v>
      </c>
      <c r="G4" s="111">
        <f>Assumptions!G22</f>
        <v>0</v>
      </c>
      <c r="H4" s="111">
        <f>Assumptions!H22</f>
        <v>0</v>
      </c>
      <c r="I4" s="111">
        <f>Assumptions!I22</f>
        <v>0</v>
      </c>
      <c r="J4" s="111">
        <f>Assumptions!J22</f>
        <v>0</v>
      </c>
      <c r="K4" s="30"/>
      <c r="L4" s="30"/>
    </row>
    <row r="5" spans="1:13" s="2" customFormat="1" x14ac:dyDescent="0.25">
      <c r="A5" s="11"/>
      <c r="B5" s="4" t="s">
        <v>24</v>
      </c>
      <c r="C5" s="31"/>
      <c r="D5" s="58"/>
      <c r="E5" s="62"/>
      <c r="F5" s="111">
        <f>Assumptions!F23</f>
        <v>0</v>
      </c>
      <c r="G5" s="111">
        <f>Assumptions!G23</f>
        <v>0</v>
      </c>
      <c r="H5" s="111">
        <f>Assumptions!H23</f>
        <v>0</v>
      </c>
      <c r="I5" s="111">
        <f>Assumptions!I23</f>
        <v>0</v>
      </c>
      <c r="J5" s="111">
        <f>Assumptions!J23</f>
        <v>0</v>
      </c>
      <c r="K5" s="30"/>
      <c r="L5" s="30"/>
    </row>
    <row r="6" spans="1:13" s="2" customFormat="1" x14ac:dyDescent="0.25">
      <c r="A6" s="11"/>
      <c r="B6" s="4" t="s">
        <v>25</v>
      </c>
      <c r="C6" s="31"/>
      <c r="D6" s="57"/>
      <c r="E6" s="61"/>
      <c r="F6" s="111">
        <f>Assumptions!F24</f>
        <v>5.2339502696772407E-2</v>
      </c>
      <c r="G6" s="111">
        <f>Assumptions!G24</f>
        <v>5.2339502696772407E-2</v>
      </c>
      <c r="H6" s="111">
        <f>Assumptions!H24</f>
        <v>5.2339502696772407E-2</v>
      </c>
      <c r="I6" s="111">
        <f>Assumptions!I24</f>
        <v>5.2339502696772407E-2</v>
      </c>
      <c r="J6" s="111">
        <f>Assumptions!J24</f>
        <v>5.2339502696772407E-2</v>
      </c>
      <c r="K6" s="30"/>
      <c r="L6" s="30"/>
    </row>
    <row r="7" spans="1:13" s="2" customFormat="1" x14ac:dyDescent="0.25">
      <c r="A7" s="11"/>
      <c r="B7" s="4"/>
      <c r="C7" s="31"/>
      <c r="D7" s="31"/>
      <c r="E7" s="31"/>
      <c r="F7" s="109"/>
      <c r="G7" s="109"/>
      <c r="H7" s="109"/>
      <c r="I7" s="110"/>
      <c r="J7" s="110"/>
      <c r="K7" s="213"/>
      <c r="L7" s="213"/>
    </row>
    <row r="8" spans="1:13" s="2" customFormat="1" x14ac:dyDescent="0.25">
      <c r="A8" s="11"/>
      <c r="B8" s="4" t="s">
        <v>26</v>
      </c>
      <c r="C8" s="31"/>
      <c r="D8" s="59"/>
      <c r="E8" s="63"/>
      <c r="F8" s="112">
        <f>Assumptions!F26</f>
        <v>0</v>
      </c>
      <c r="G8" s="112">
        <f>Assumptions!G26</f>
        <v>0</v>
      </c>
      <c r="H8" s="112">
        <f>Assumptions!H26</f>
        <v>0</v>
      </c>
      <c r="I8" s="112">
        <f>Assumptions!I26</f>
        <v>0</v>
      </c>
      <c r="J8" s="112">
        <f>Assumptions!J26</f>
        <v>0</v>
      </c>
      <c r="K8" s="214"/>
      <c r="L8" s="214"/>
    </row>
    <row r="9" spans="1:13" s="2" customFormat="1" x14ac:dyDescent="0.25">
      <c r="A9" s="11"/>
      <c r="B9" s="4" t="s">
        <v>27</v>
      </c>
      <c r="C9" s="31"/>
      <c r="D9" s="59"/>
      <c r="E9" s="63"/>
      <c r="F9" s="112">
        <f>Assumptions!F27</f>
        <v>0</v>
      </c>
      <c r="G9" s="112">
        <f>Assumptions!G27</f>
        <v>0</v>
      </c>
      <c r="H9" s="112">
        <f>Assumptions!H27</f>
        <v>0</v>
      </c>
      <c r="I9" s="112">
        <f>Assumptions!I27</f>
        <v>0</v>
      </c>
      <c r="J9" s="112">
        <f>Assumptions!J27</f>
        <v>0</v>
      </c>
      <c r="K9" s="214"/>
      <c r="L9" s="214"/>
    </row>
    <row r="10" spans="1:13" s="2" customFormat="1" ht="18.75" x14ac:dyDescent="0.3">
      <c r="A10" s="34"/>
      <c r="B10" s="3"/>
      <c r="C10" s="54"/>
      <c r="D10" s="54"/>
      <c r="E10" s="54"/>
      <c r="F10" s="108"/>
      <c r="G10" s="108"/>
      <c r="H10" s="108"/>
      <c r="I10" s="108"/>
      <c r="J10" s="108"/>
      <c r="K10" s="54"/>
      <c r="L10" s="54"/>
    </row>
    <row r="11" spans="1:13" x14ac:dyDescent="0.25">
      <c r="A11" s="21" t="s">
        <v>28</v>
      </c>
      <c r="B11" s="55"/>
      <c r="C11" s="157">
        <f>C2</f>
        <v>44926</v>
      </c>
      <c r="D11" s="157">
        <f t="shared" ref="D11:J11" si="0">D2</f>
        <v>45291</v>
      </c>
      <c r="E11" s="157">
        <f t="shared" si="0"/>
        <v>45657</v>
      </c>
      <c r="F11" s="157">
        <f t="shared" si="0"/>
        <v>46022</v>
      </c>
      <c r="G11" s="157">
        <f t="shared" si="0"/>
        <v>46387</v>
      </c>
      <c r="H11" s="157">
        <f t="shared" si="0"/>
        <v>46752</v>
      </c>
      <c r="I11" s="157">
        <f t="shared" si="0"/>
        <v>47118</v>
      </c>
      <c r="J11" s="157">
        <f t="shared" si="0"/>
        <v>47483</v>
      </c>
      <c r="K11" s="215"/>
      <c r="L11" s="215"/>
      <c r="M11" s="48"/>
    </row>
    <row r="12" spans="1:13" x14ac:dyDescent="0.25">
      <c r="B12" s="4" t="s">
        <v>29</v>
      </c>
      <c r="E12" s="28"/>
      <c r="F12" s="4" t="s">
        <v>196</v>
      </c>
      <c r="I12" s="4"/>
      <c r="J12" s="4"/>
      <c r="M12" s="48"/>
    </row>
    <row r="13" spans="1:13" x14ac:dyDescent="0.25">
      <c r="B13" s="4" t="s">
        <v>30</v>
      </c>
      <c r="E13" s="29"/>
      <c r="I13" s="4"/>
      <c r="J13" s="4"/>
      <c r="M13" s="48"/>
    </row>
    <row r="14" spans="1:13" x14ac:dyDescent="0.25">
      <c r="B14" s="4" t="s">
        <v>31</v>
      </c>
      <c r="E14" s="28"/>
      <c r="I14" s="4"/>
      <c r="J14" s="4"/>
      <c r="M14" s="48"/>
    </row>
    <row r="15" spans="1:13" x14ac:dyDescent="0.25">
      <c r="E15" s="28"/>
      <c r="I15" s="4"/>
      <c r="J15" s="4"/>
      <c r="M15" s="48"/>
    </row>
    <row r="16" spans="1:13" x14ac:dyDescent="0.25">
      <c r="A16" s="274" t="s">
        <v>32</v>
      </c>
      <c r="B16" s="20"/>
      <c r="C16" s="56">
        <f t="shared" ref="C16:J16" si="1">C11</f>
        <v>44926</v>
      </c>
      <c r="D16" s="56">
        <f t="shared" si="1"/>
        <v>45291</v>
      </c>
      <c r="E16" s="56">
        <f t="shared" si="1"/>
        <v>45657</v>
      </c>
      <c r="F16" s="56">
        <f t="shared" si="1"/>
        <v>46022</v>
      </c>
      <c r="G16" s="56">
        <f t="shared" si="1"/>
        <v>46387</v>
      </c>
      <c r="H16" s="56">
        <f t="shared" si="1"/>
        <v>46752</v>
      </c>
      <c r="I16" s="56">
        <f t="shared" si="1"/>
        <v>47118</v>
      </c>
      <c r="J16" s="56">
        <f t="shared" si="1"/>
        <v>47483</v>
      </c>
      <c r="K16" s="212"/>
      <c r="L16" s="212"/>
      <c r="M16" s="48"/>
    </row>
    <row r="17" spans="1:13" x14ac:dyDescent="0.25">
      <c r="B17" s="4" t="s">
        <v>18</v>
      </c>
      <c r="E17" s="28"/>
      <c r="F17" s="4" t="s">
        <v>197</v>
      </c>
      <c r="I17" s="4"/>
      <c r="J17" s="4"/>
      <c r="M17" s="48"/>
    </row>
    <row r="18" spans="1:13" x14ac:dyDescent="0.25">
      <c r="B18" s="4" t="s">
        <v>33</v>
      </c>
      <c r="E18" s="28"/>
      <c r="I18" s="4"/>
      <c r="J18" s="4"/>
      <c r="M18" s="48"/>
    </row>
    <row r="19" spans="1:13" x14ac:dyDescent="0.25">
      <c r="B19" s="4" t="s">
        <v>34</v>
      </c>
      <c r="E19" s="28"/>
      <c r="I19" s="4"/>
      <c r="J19" s="4"/>
    </row>
    <row r="20" spans="1:13" x14ac:dyDescent="0.25">
      <c r="B20" s="4" t="s">
        <v>21</v>
      </c>
      <c r="C20" s="10"/>
      <c r="E20" s="28"/>
      <c r="I20" s="4"/>
      <c r="J20" s="4"/>
    </row>
    <row r="21" spans="1:13" x14ac:dyDescent="0.25">
      <c r="B21" s="4" t="s">
        <v>30</v>
      </c>
      <c r="D21" s="49"/>
      <c r="E21" s="28"/>
      <c r="F21" s="8"/>
      <c r="G21" s="8"/>
      <c r="H21" s="8"/>
      <c r="I21" s="8"/>
      <c r="J21" s="8"/>
    </row>
    <row r="22" spans="1:13" x14ac:dyDescent="0.25">
      <c r="B22" s="4" t="s">
        <v>31</v>
      </c>
      <c r="E22" s="28"/>
      <c r="I22" s="4"/>
      <c r="J22" s="4"/>
    </row>
    <row r="23" spans="1:13" x14ac:dyDescent="0.25">
      <c r="E23" s="28"/>
      <c r="I23" s="4"/>
      <c r="J23" s="4"/>
    </row>
    <row r="24" spans="1:13" x14ac:dyDescent="0.25">
      <c r="A24" s="21" t="s">
        <v>35</v>
      </c>
      <c r="B24" s="43"/>
      <c r="C24" s="56">
        <f>C16</f>
        <v>44926</v>
      </c>
      <c r="D24" s="56">
        <f t="shared" ref="D24:J24" si="2">D16</f>
        <v>45291</v>
      </c>
      <c r="E24" s="56">
        <f t="shared" si="2"/>
        <v>45657</v>
      </c>
      <c r="F24" s="56">
        <f t="shared" si="2"/>
        <v>46022</v>
      </c>
      <c r="G24" s="56">
        <f t="shared" si="2"/>
        <v>46387</v>
      </c>
      <c r="H24" s="56">
        <f t="shared" si="2"/>
        <v>46752</v>
      </c>
      <c r="I24" s="56">
        <f t="shared" si="2"/>
        <v>47118</v>
      </c>
      <c r="J24" s="56">
        <f t="shared" si="2"/>
        <v>47483</v>
      </c>
      <c r="K24" s="212"/>
      <c r="L24" s="212"/>
    </row>
    <row r="25" spans="1:13" x14ac:dyDescent="0.25">
      <c r="A25" s="7"/>
      <c r="B25" s="4" t="s">
        <v>28</v>
      </c>
      <c r="E25" s="28"/>
      <c r="F25" s="4" t="s">
        <v>197</v>
      </c>
      <c r="I25" s="4"/>
      <c r="J25" s="4"/>
    </row>
    <row r="26" spans="1:13" x14ac:dyDescent="0.25">
      <c r="A26" s="7"/>
      <c r="B26" s="4" t="s">
        <v>36</v>
      </c>
      <c r="E26" s="28"/>
      <c r="I26" s="4"/>
      <c r="J26" s="4"/>
    </row>
    <row r="27" spans="1:13" x14ac:dyDescent="0.25">
      <c r="A27" s="7"/>
      <c r="B27" s="11" t="s">
        <v>37</v>
      </c>
      <c r="D27" s="11"/>
      <c r="E27" s="25"/>
      <c r="F27" s="11"/>
      <c r="G27" s="11"/>
      <c r="H27" s="11"/>
      <c r="I27" s="11"/>
      <c r="J27" s="11"/>
      <c r="K27" s="11"/>
      <c r="L27" s="11"/>
    </row>
    <row r="28" spans="1:13" x14ac:dyDescent="0.25">
      <c r="A28" s="7"/>
      <c r="B28" s="4" t="s">
        <v>38</v>
      </c>
      <c r="E28" s="28"/>
      <c r="I28" s="4"/>
      <c r="J28" s="4"/>
    </row>
    <row r="29" spans="1:13" x14ac:dyDescent="0.25">
      <c r="A29" s="7"/>
      <c r="E29" s="28"/>
      <c r="I29" s="4"/>
      <c r="J29" s="4"/>
    </row>
    <row r="30" spans="1:13" x14ac:dyDescent="0.25">
      <c r="A30" s="21" t="s">
        <v>39</v>
      </c>
      <c r="B30" s="43"/>
      <c r="C30" s="56">
        <f>C11</f>
        <v>44926</v>
      </c>
      <c r="D30" s="56">
        <f t="shared" ref="D30:J30" si="3">D11</f>
        <v>45291</v>
      </c>
      <c r="E30" s="56">
        <f t="shared" si="3"/>
        <v>45657</v>
      </c>
      <c r="F30" s="56">
        <f t="shared" si="3"/>
        <v>46022</v>
      </c>
      <c r="G30" s="56">
        <f t="shared" si="3"/>
        <v>46387</v>
      </c>
      <c r="H30" s="56">
        <f t="shared" si="3"/>
        <v>46752</v>
      </c>
      <c r="I30" s="56">
        <f t="shared" si="3"/>
        <v>47118</v>
      </c>
      <c r="J30" s="56">
        <f t="shared" si="3"/>
        <v>47483</v>
      </c>
      <c r="K30" s="212"/>
      <c r="L30" s="212"/>
    </row>
    <row r="31" spans="1:13" x14ac:dyDescent="0.25">
      <c r="A31" s="7"/>
      <c r="B31" s="4" t="s">
        <v>168</v>
      </c>
      <c r="E31" s="28"/>
      <c r="F31" s="4">
        <f>BalSheet!F18</f>
        <v>2461949.9141383111</v>
      </c>
      <c r="G31" s="4">
        <f>BalSheet!G18</f>
        <v>3967784.7695919713</v>
      </c>
      <c r="H31" s="4">
        <f>BalSheet!H18</f>
        <v>5852041.5265121115</v>
      </c>
      <c r="I31" s="4">
        <f>BalSheet!I18</f>
        <v>8007388.914793402</v>
      </c>
      <c r="J31" s="4">
        <f>BalSheet!J18</f>
        <v>10469183.632709205</v>
      </c>
    </row>
    <row r="32" spans="1:13" x14ac:dyDescent="0.25">
      <c r="B32" s="4" t="s">
        <v>30</v>
      </c>
      <c r="D32" s="49"/>
      <c r="E32" s="24"/>
      <c r="F32" s="5">
        <f>F6</f>
        <v>5.2339502696772407E-2</v>
      </c>
      <c r="G32" s="5">
        <f t="shared" ref="G32:J32" si="4">G6</f>
        <v>5.2339502696772407E-2</v>
      </c>
      <c r="H32" s="5">
        <f t="shared" si="4"/>
        <v>5.2339502696772407E-2</v>
      </c>
      <c r="I32" s="5">
        <f t="shared" si="4"/>
        <v>5.2339502696772407E-2</v>
      </c>
      <c r="J32" s="5">
        <f t="shared" si="4"/>
        <v>5.2339502696772407E-2</v>
      </c>
      <c r="K32" s="180"/>
      <c r="L32" s="180"/>
    </row>
    <row r="33" spans="2:10" x14ac:dyDescent="0.25">
      <c r="B33" s="4" t="s">
        <v>39</v>
      </c>
      <c r="E33" s="28"/>
      <c r="F33" s="4">
        <f>F31*F32</f>
        <v>128857.23417036072</v>
      </c>
      <c r="G33" s="4">
        <f t="shared" ref="G33:J33" si="5">G31*G32</f>
        <v>207671.88164827146</v>
      </c>
      <c r="H33" s="4">
        <f t="shared" si="5"/>
        <v>306292.94325850479</v>
      </c>
      <c r="I33" s="4">
        <f t="shared" si="5"/>
        <v>419102.75369993475</v>
      </c>
      <c r="J33" s="4">
        <f t="shared" si="5"/>
        <v>547951.86497718899</v>
      </c>
    </row>
    <row r="34" spans="2:10" x14ac:dyDescent="0.25">
      <c r="E34" s="28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2"/>
  <sheetViews>
    <sheetView showGridLines="0" topLeftCell="B9" zoomScaleNormal="100" workbookViewId="0">
      <selection activeCell="F11" sqref="F11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2.7109375" style="4" customWidth="1"/>
    <col min="8" max="8" width="12.7109375" style="6" customWidth="1"/>
    <col min="9" max="10" width="12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67" t="str">
        <f>CoName</f>
        <v>Chipotle Mexican Grill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/>
      <c r="L1" s="42"/>
    </row>
    <row r="2" spans="1:12" x14ac:dyDescent="0.25">
      <c r="A2" s="16" t="s">
        <v>9</v>
      </c>
      <c r="B2" s="15"/>
      <c r="C2" s="266">
        <v>44926</v>
      </c>
      <c r="D2" s="266">
        <v>45291</v>
      </c>
      <c r="E2" s="266">
        <v>45657</v>
      </c>
      <c r="F2" s="107">
        <v>46022</v>
      </c>
      <c r="G2" s="107">
        <v>46387</v>
      </c>
      <c r="H2" s="107">
        <v>46752</v>
      </c>
      <c r="I2" s="107">
        <v>47118</v>
      </c>
      <c r="J2" s="107">
        <v>47483</v>
      </c>
    </row>
    <row r="3" spans="1:12" x14ac:dyDescent="0.25">
      <c r="A3" s="87"/>
      <c r="C3" s="100"/>
      <c r="D3" s="100"/>
      <c r="E3" s="100"/>
    </row>
    <row r="4" spans="1:12" x14ac:dyDescent="0.25">
      <c r="B4" s="31" t="s">
        <v>41</v>
      </c>
      <c r="C4" s="32"/>
      <c r="D4" s="32"/>
      <c r="E4" s="33"/>
      <c r="F4" s="184">
        <f>Assumptions!F10</f>
        <v>5.0618084561434795E-2</v>
      </c>
      <c r="G4" s="184">
        <f>Assumptions!G10</f>
        <v>7.4382494022652068E-2</v>
      </c>
      <c r="H4" s="184">
        <f>Assumptions!H10</f>
        <v>9.9344780077772255E-2</v>
      </c>
      <c r="I4" s="184">
        <f>Assumptions!I10</f>
        <v>9.9433790984051029E-2</v>
      </c>
      <c r="J4" s="184">
        <f>Assumptions!J10</f>
        <v>9.9510749469806647E-2</v>
      </c>
      <c r="K4" s="217"/>
      <c r="L4" s="217"/>
    </row>
    <row r="5" spans="1:12" x14ac:dyDescent="0.25">
      <c r="B5" s="31" t="s">
        <v>42</v>
      </c>
      <c r="C5" s="32"/>
      <c r="D5" s="32"/>
      <c r="E5" s="32"/>
      <c r="F5" s="184">
        <f>Assumptions!F11</f>
        <v>0.76397207343952589</v>
      </c>
      <c r="G5" s="184">
        <f>Assumptions!G11</f>
        <v>0.75897207343952588</v>
      </c>
      <c r="H5" s="184">
        <f>Assumptions!H11</f>
        <v>0.75397207343952588</v>
      </c>
      <c r="I5" s="184">
        <f>Assumptions!I11</f>
        <v>0.74897207343952588</v>
      </c>
      <c r="J5" s="184">
        <f>Assumptions!J11</f>
        <v>0.74397207343952587</v>
      </c>
      <c r="K5" s="217"/>
      <c r="L5" s="217"/>
    </row>
    <row r="6" spans="1:12" x14ac:dyDescent="0.25">
      <c r="B6" s="31" t="s">
        <v>43</v>
      </c>
      <c r="C6" s="32"/>
      <c r="D6" s="32"/>
      <c r="E6" s="32"/>
      <c r="F6" s="184">
        <f>Assumptions!F12</f>
        <v>6.0648582494398681E-2</v>
      </c>
      <c r="G6" s="184">
        <f>Assumptions!G12</f>
        <v>5.964858249439868E-2</v>
      </c>
      <c r="H6" s="184">
        <f>Assumptions!H12</f>
        <v>5.8648582494398679E-2</v>
      </c>
      <c r="I6" s="184">
        <f>Assumptions!I12</f>
        <v>5.7648582494398679E-2</v>
      </c>
      <c r="J6" s="184">
        <f>Assumptions!J12</f>
        <v>5.6648582494398678E-2</v>
      </c>
      <c r="K6" s="217"/>
      <c r="L6" s="217"/>
    </row>
    <row r="7" spans="1:12" x14ac:dyDescent="0.25">
      <c r="A7" s="87"/>
      <c r="B7" s="4" t="s">
        <v>44</v>
      </c>
      <c r="C7" s="31"/>
      <c r="D7" s="31"/>
      <c r="E7" s="31"/>
      <c r="F7" s="185">
        <f>Assumptions!F13</f>
        <v>0</v>
      </c>
      <c r="G7" s="185">
        <f>Assumptions!G13</f>
        <v>0</v>
      </c>
      <c r="H7" s="185">
        <f>Assumptions!H13</f>
        <v>0</v>
      </c>
      <c r="I7" s="185">
        <f>Assumptions!I13</f>
        <v>0</v>
      </c>
      <c r="J7" s="185">
        <f>Assumptions!J13</f>
        <v>0</v>
      </c>
      <c r="K7" s="218"/>
      <c r="L7" s="218"/>
    </row>
    <row r="8" spans="1:12" x14ac:dyDescent="0.25">
      <c r="A8" s="87"/>
      <c r="B8" s="4" t="s">
        <v>45</v>
      </c>
      <c r="C8" s="31"/>
      <c r="D8" s="31"/>
      <c r="E8" s="31"/>
      <c r="F8" s="186">
        <f>Assumptions!F14</f>
        <v>0</v>
      </c>
      <c r="G8" s="186">
        <f>Assumptions!G14</f>
        <v>0</v>
      </c>
      <c r="H8" s="186">
        <f>Assumptions!H14</f>
        <v>0</v>
      </c>
      <c r="I8" s="186">
        <f>Assumptions!I14</f>
        <v>0</v>
      </c>
      <c r="J8" s="186">
        <f>Assumptions!J14</f>
        <v>0</v>
      </c>
      <c r="K8" s="219"/>
      <c r="L8" s="219"/>
    </row>
    <row r="9" spans="1:12" x14ac:dyDescent="0.25">
      <c r="B9" s="4" t="s">
        <v>143</v>
      </c>
      <c r="F9" s="186">
        <f>Assumptions!F15</f>
        <v>0</v>
      </c>
      <c r="G9" s="186">
        <f>Assumptions!G15</f>
        <v>0</v>
      </c>
      <c r="H9" s="186">
        <f>Assumptions!H15</f>
        <v>0</v>
      </c>
      <c r="I9" s="186">
        <f>Assumptions!I15</f>
        <v>0</v>
      </c>
      <c r="J9" s="186">
        <f>Assumptions!J15</f>
        <v>0</v>
      </c>
      <c r="K9" s="219"/>
      <c r="L9" s="219"/>
    </row>
    <row r="10" spans="1:12" x14ac:dyDescent="0.25">
      <c r="B10" s="31" t="s">
        <v>46</v>
      </c>
      <c r="C10" s="44"/>
      <c r="D10" s="44"/>
      <c r="E10" s="44"/>
      <c r="F10" s="184">
        <f>Assumptions!F16</f>
        <v>0.26</v>
      </c>
      <c r="G10" s="184">
        <f>Assumptions!G16</f>
        <v>0.25</v>
      </c>
      <c r="H10" s="184">
        <f>Assumptions!H16</f>
        <v>0.24</v>
      </c>
      <c r="I10" s="184">
        <f>Assumptions!I16</f>
        <v>0.24</v>
      </c>
      <c r="J10" s="184">
        <f>Assumptions!J16</f>
        <v>0.24</v>
      </c>
      <c r="K10" s="217"/>
      <c r="L10" s="217"/>
    </row>
    <row r="11" spans="1:12" x14ac:dyDescent="0.25">
      <c r="B11" s="4" t="s">
        <v>47</v>
      </c>
      <c r="C11" s="31"/>
      <c r="D11" s="31"/>
      <c r="E11" s="40"/>
      <c r="F11" s="186">
        <f>Assumptions!F17</f>
        <v>1357754.7647058824</v>
      </c>
      <c r="G11" s="186">
        <f>Assumptions!G17</f>
        <v>1347166.5294117648</v>
      </c>
      <c r="H11" s="186">
        <f>Assumptions!H17</f>
        <v>1336578.2941176472</v>
      </c>
      <c r="I11" s="186">
        <f>Assumptions!I17</f>
        <v>1325990.0588235296</v>
      </c>
      <c r="J11" s="186">
        <f>Assumptions!J17</f>
        <v>1315401.823529412</v>
      </c>
      <c r="K11" s="219"/>
      <c r="L11" s="219"/>
    </row>
    <row r="12" spans="1:12" x14ac:dyDescent="0.25">
      <c r="B12" s="4" t="s">
        <v>48</v>
      </c>
      <c r="C12" s="31"/>
      <c r="D12" s="31"/>
      <c r="E12" s="40"/>
      <c r="F12" s="186">
        <f>Assumptions!F18</f>
        <v>1376555</v>
      </c>
      <c r="G12" s="186">
        <f>Assumptions!G18</f>
        <v>1376555</v>
      </c>
      <c r="H12" s="186">
        <f>Assumptions!H18</f>
        <v>1376555</v>
      </c>
      <c r="I12" s="186">
        <f>Assumptions!I18</f>
        <v>1376555</v>
      </c>
      <c r="J12" s="186">
        <f>Assumptions!J18</f>
        <v>1376555</v>
      </c>
      <c r="K12" s="219"/>
      <c r="L12" s="219"/>
    </row>
    <row r="13" spans="1:12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4.85" customHeight="1" x14ac:dyDescent="0.25">
      <c r="A14" s="187" t="s">
        <v>40</v>
      </c>
      <c r="B14" s="188"/>
      <c r="C14" s="157">
        <f>C36</f>
        <v>44926</v>
      </c>
      <c r="D14" s="157">
        <f t="shared" ref="D14:J14" si="0">D36</f>
        <v>45291</v>
      </c>
      <c r="E14" s="157">
        <f t="shared" si="0"/>
        <v>45657</v>
      </c>
      <c r="F14" s="157">
        <f t="shared" si="0"/>
        <v>46022</v>
      </c>
      <c r="G14" s="157">
        <f t="shared" si="0"/>
        <v>46022</v>
      </c>
      <c r="H14" s="157">
        <f t="shared" si="0"/>
        <v>46022</v>
      </c>
      <c r="I14" s="157">
        <f t="shared" si="0"/>
        <v>46022</v>
      </c>
      <c r="J14" s="157">
        <f t="shared" si="0"/>
        <v>46022</v>
      </c>
      <c r="K14" s="215"/>
      <c r="L14" s="215"/>
    </row>
    <row r="15" spans="1:12" x14ac:dyDescent="0.25">
      <c r="B15" s="4" t="s">
        <v>49</v>
      </c>
      <c r="C15" s="98">
        <v>8634652</v>
      </c>
      <c r="D15" s="127">
        <v>9871649</v>
      </c>
      <c r="E15" s="23">
        <v>11313853</v>
      </c>
      <c r="F15" s="4">
        <f>E15*(1+F4)</f>
        <v>11886538.567869643</v>
      </c>
      <c r="G15" s="4">
        <f t="shared" ref="G15:J15" si="1">F15*(1+G4)</f>
        <v>12770688.95184423</v>
      </c>
      <c r="H15" s="4">
        <f t="shared" si="1"/>
        <v>14039390.237206832</v>
      </c>
      <c r="I15" s="4">
        <f t="shared" si="1"/>
        <v>15435380.031596782</v>
      </c>
      <c r="J15" s="4">
        <f t="shared" si="1"/>
        <v>16971366.266892266</v>
      </c>
    </row>
    <row r="16" spans="1:12" x14ac:dyDescent="0.25">
      <c r="B16" s="4" t="s">
        <v>155</v>
      </c>
      <c r="C16" s="127">
        <f>7474249-C17</f>
        <v>6910058</v>
      </c>
      <c r="D16" s="127">
        <f>8313836-D17</f>
        <v>7680252</v>
      </c>
      <c r="E16" s="23">
        <f>3374516+2789789+563374+1568482+335030+41897+26949</f>
        <v>8700037</v>
      </c>
      <c r="F16" s="182">
        <f>F15*F5</f>
        <v>9080983.5157142635</v>
      </c>
      <c r="G16" s="182">
        <f t="shared" ref="G16:J16" si="2">G15*G5</f>
        <v>9692596.2730324604</v>
      </c>
      <c r="H16" s="182">
        <f t="shared" si="2"/>
        <v>10585308.166973472</v>
      </c>
      <c r="I16" s="182">
        <f t="shared" si="2"/>
        <v>11560668.586592097</v>
      </c>
      <c r="J16" s="182">
        <f t="shared" si="2"/>
        <v>12626222.550681464</v>
      </c>
      <c r="K16" s="216"/>
      <c r="L16" s="216"/>
    </row>
    <row r="17" spans="1:12" x14ac:dyDescent="0.25">
      <c r="B17" s="4" t="s">
        <v>50</v>
      </c>
      <c r="C17" s="127">
        <v>564191</v>
      </c>
      <c r="D17" s="127">
        <v>633584</v>
      </c>
      <c r="E17" s="23">
        <f>9397520-E16</f>
        <v>697483</v>
      </c>
      <c r="F17" s="182">
        <f>F15*F6</f>
        <v>720901.71490629355</v>
      </c>
      <c r="G17" s="182">
        <f t="shared" ref="G17:J17" si="3">G15*G6</f>
        <v>761753.49345438636</v>
      </c>
      <c r="H17" s="182">
        <f t="shared" si="3"/>
        <v>823390.33649788029</v>
      </c>
      <c r="I17" s="182">
        <f t="shared" si="3"/>
        <v>889827.7790839012</v>
      </c>
      <c r="J17" s="182">
        <f t="shared" si="3"/>
        <v>961403.84201270144</v>
      </c>
      <c r="K17" s="216"/>
      <c r="L17" s="216"/>
    </row>
    <row r="18" spans="1:12" s="11" customFormat="1" x14ac:dyDescent="0.25">
      <c r="A18" s="11" t="s">
        <v>123</v>
      </c>
      <c r="B18" s="17" t="s">
        <v>53</v>
      </c>
      <c r="C18" s="18">
        <f>C15-SUM(C16:C17)</f>
        <v>1160403</v>
      </c>
      <c r="D18" s="18">
        <f>D15-SUM(D16:D17)</f>
        <v>1557813</v>
      </c>
      <c r="E18" s="18">
        <f>E15-SUM(E16:E17)</f>
        <v>1916333</v>
      </c>
      <c r="F18" s="18">
        <f>F15-SUM(F16:F17)</f>
        <v>2084653.3372490853</v>
      </c>
      <c r="G18" s="18">
        <f t="shared" ref="G18:J18" si="4">G15-SUM(G16:G17)</f>
        <v>2316339.1853573844</v>
      </c>
      <c r="H18" s="18">
        <f t="shared" si="4"/>
        <v>2630691.7337354794</v>
      </c>
      <c r="I18" s="18">
        <f t="shared" si="4"/>
        <v>2984883.6659207828</v>
      </c>
      <c r="J18" s="19">
        <f t="shared" si="4"/>
        <v>3383739.8741980996</v>
      </c>
    </row>
    <row r="19" spans="1:12" s="48" customFormat="1" x14ac:dyDescent="0.25">
      <c r="B19" s="125" t="s">
        <v>195</v>
      </c>
      <c r="C19" s="48">
        <f>C18/C15</f>
        <v>0.13438908713402695</v>
      </c>
      <c r="D19" s="48">
        <f t="shared" ref="D19:F19" si="5">D18/D15</f>
        <v>0.15780676561737558</v>
      </c>
      <c r="E19" s="285">
        <f t="shared" si="5"/>
        <v>0.16937934406607547</v>
      </c>
      <c r="F19" s="48">
        <f t="shared" si="5"/>
        <v>0.17537934406607542</v>
      </c>
      <c r="G19" s="48">
        <f t="shared" ref="G19" si="6">G18/G15</f>
        <v>0.18137934406607556</v>
      </c>
      <c r="H19" s="48">
        <f t="shared" ref="H19" si="7">H18/H15</f>
        <v>0.18737934406607545</v>
      </c>
      <c r="I19" s="48">
        <f t="shared" ref="I19" si="8">I18/I15</f>
        <v>0.19337934406607535</v>
      </c>
      <c r="J19" s="48">
        <f t="shared" ref="J19" si="9">J18/J15</f>
        <v>0.19937934406607546</v>
      </c>
    </row>
    <row r="20" spans="1:12" s="11" customFormat="1" x14ac:dyDescent="0.25">
      <c r="B20" s="31"/>
      <c r="E20" s="25"/>
    </row>
    <row r="21" spans="1:12" s="11" customFormat="1" x14ac:dyDescent="0.25">
      <c r="B21" s="4" t="s">
        <v>14</v>
      </c>
      <c r="C21" s="128">
        <v>286826</v>
      </c>
      <c r="D21" s="128">
        <v>319394</v>
      </c>
      <c r="E21" s="26">
        <v>335030</v>
      </c>
      <c r="F21" s="4">
        <f>Calcs!F8</f>
        <v>372426.62153614819</v>
      </c>
      <c r="G21" s="4">
        <f>Calcs!G8</f>
        <v>385055.26024555997</v>
      </c>
      <c r="H21" s="4">
        <f>Calcs!H8</f>
        <v>399501.7316291004</v>
      </c>
      <c r="I21" s="4">
        <f>Calcs!I8</f>
        <v>416770.85240784369</v>
      </c>
      <c r="J21" s="4">
        <f>Calcs!J8</f>
        <v>437065.78544883925</v>
      </c>
      <c r="K21" s="4"/>
      <c r="L21" s="4"/>
    </row>
    <row r="22" spans="1:12" s="11" customFormat="1" x14ac:dyDescent="0.25">
      <c r="B22" s="4" t="s">
        <v>52</v>
      </c>
      <c r="C22" s="98">
        <v>0</v>
      </c>
      <c r="D22" s="98">
        <v>0</v>
      </c>
      <c r="E22" s="129">
        <v>0</v>
      </c>
      <c r="F22" s="4">
        <f>F7</f>
        <v>0</v>
      </c>
      <c r="G22" s="4">
        <f t="shared" ref="G22:J22" si="10">G7</f>
        <v>0</v>
      </c>
      <c r="H22" s="4">
        <f t="shared" si="10"/>
        <v>0</v>
      </c>
      <c r="I22" s="4">
        <f t="shared" si="10"/>
        <v>0</v>
      </c>
      <c r="J22" s="4">
        <f t="shared" si="10"/>
        <v>0</v>
      </c>
      <c r="K22" s="4"/>
      <c r="L22" s="4"/>
    </row>
    <row r="23" spans="1:12" s="132" customFormat="1" x14ac:dyDescent="0.25">
      <c r="A23" s="132" t="s">
        <v>123</v>
      </c>
      <c r="B23" s="133" t="s">
        <v>51</v>
      </c>
      <c r="C23" s="134">
        <f>C18+C21</f>
        <v>1447229</v>
      </c>
      <c r="D23" s="134">
        <f t="shared" ref="D23:J23" si="11">D18+D21</f>
        <v>1877207</v>
      </c>
      <c r="E23" s="134">
        <f t="shared" si="11"/>
        <v>2251363</v>
      </c>
      <c r="F23" s="134">
        <f t="shared" si="11"/>
        <v>2457079.9587852336</v>
      </c>
      <c r="G23" s="134">
        <f t="shared" si="11"/>
        <v>2701394.4456029441</v>
      </c>
      <c r="H23" s="134">
        <f t="shared" si="11"/>
        <v>3030193.46536458</v>
      </c>
      <c r="I23" s="134">
        <f t="shared" si="11"/>
        <v>3401654.5183286266</v>
      </c>
      <c r="J23" s="134">
        <f t="shared" si="11"/>
        <v>3820805.659646939</v>
      </c>
    </row>
    <row r="24" spans="1:12" s="11" customFormat="1" x14ac:dyDescent="0.25">
      <c r="C24" s="13"/>
      <c r="D24" s="4"/>
      <c r="E24" s="37"/>
      <c r="F24" s="4"/>
      <c r="G24" s="4"/>
      <c r="H24" s="4"/>
      <c r="I24" s="4"/>
      <c r="J24" s="4"/>
      <c r="K24" s="13"/>
      <c r="L24" s="13"/>
    </row>
    <row r="25" spans="1:12" s="11" customFormat="1" x14ac:dyDescent="0.25">
      <c r="B25" s="4" t="s">
        <v>54</v>
      </c>
      <c r="C25" s="96">
        <v>0</v>
      </c>
      <c r="D25" s="96">
        <v>0</v>
      </c>
      <c r="E25" s="97">
        <v>0</v>
      </c>
      <c r="F25" s="4">
        <f>F8</f>
        <v>0</v>
      </c>
      <c r="G25" s="4">
        <f t="shared" ref="G25:J25" si="12">G8</f>
        <v>0</v>
      </c>
      <c r="H25" s="4">
        <f t="shared" si="12"/>
        <v>0</v>
      </c>
      <c r="I25" s="4">
        <f t="shared" si="12"/>
        <v>0</v>
      </c>
      <c r="J25" s="4">
        <f t="shared" si="12"/>
        <v>0</v>
      </c>
      <c r="K25" s="4"/>
      <c r="L25" s="4"/>
    </row>
    <row r="26" spans="1:12" s="11" customFormat="1" x14ac:dyDescent="0.25">
      <c r="B26" s="4" t="s">
        <v>55</v>
      </c>
      <c r="C26" s="96">
        <v>0</v>
      </c>
      <c r="D26" s="96">
        <v>0</v>
      </c>
      <c r="E26" s="97">
        <v>0</v>
      </c>
      <c r="F26" s="4">
        <f>F9</f>
        <v>0</v>
      </c>
      <c r="G26" s="4">
        <f t="shared" ref="G26:J26" si="13">G9</f>
        <v>0</v>
      </c>
      <c r="H26" s="4">
        <f t="shared" si="13"/>
        <v>0</v>
      </c>
      <c r="I26" s="4">
        <f t="shared" si="13"/>
        <v>0</v>
      </c>
      <c r="J26" s="4">
        <f t="shared" si="13"/>
        <v>0</v>
      </c>
      <c r="K26" s="4"/>
      <c r="L26" s="4"/>
    </row>
    <row r="27" spans="1:12" s="11" customFormat="1" x14ac:dyDescent="0.25">
      <c r="B27" s="4"/>
      <c r="C27" s="10"/>
      <c r="D27" s="10"/>
      <c r="E27" s="23"/>
      <c r="F27" s="4"/>
      <c r="G27" s="4"/>
      <c r="H27" s="4"/>
      <c r="I27" s="4"/>
      <c r="J27" s="4"/>
      <c r="K27" s="4"/>
      <c r="L27" s="4"/>
    </row>
    <row r="28" spans="1:12" s="11" customFormat="1" x14ac:dyDescent="0.25">
      <c r="B28" s="4" t="s">
        <v>39</v>
      </c>
      <c r="C28" s="9">
        <v>21128</v>
      </c>
      <c r="D28" s="9">
        <v>62693</v>
      </c>
      <c r="E28" s="46">
        <v>93897</v>
      </c>
      <c r="F28" s="9">
        <f>IF(circ=1,Debt!F33,0)</f>
        <v>0</v>
      </c>
      <c r="G28" s="9">
        <f>IF(circ=1,Debt!G33,0)</f>
        <v>0</v>
      </c>
      <c r="H28" s="9">
        <f>IF(circ=1,Debt!H33,0)</f>
        <v>0</v>
      </c>
      <c r="I28" s="9">
        <f>IF(circ=1,Debt!I33,0)</f>
        <v>0</v>
      </c>
      <c r="J28" s="9">
        <f>IF(circ=1,Debt!J33,0)</f>
        <v>0</v>
      </c>
      <c r="K28" s="192"/>
      <c r="L28" s="192"/>
    </row>
    <row r="29" spans="1:12" x14ac:dyDescent="0.25">
      <c r="B29" s="4" t="s">
        <v>31</v>
      </c>
      <c r="C29" s="9">
        <v>0</v>
      </c>
      <c r="D29" s="9">
        <v>0</v>
      </c>
      <c r="E29" s="46">
        <v>0</v>
      </c>
      <c r="F29" s="9">
        <f>IF(circ=1,Debt!F28,0)</f>
        <v>0</v>
      </c>
      <c r="G29" s="9">
        <f>IF(circ=1,Debt!G28,0)</f>
        <v>0</v>
      </c>
      <c r="H29" s="9">
        <f>IF(circ=1,Debt!H28,0)</f>
        <v>0</v>
      </c>
      <c r="I29" s="9">
        <f>IF(circ=1,Debt!I28,0)</f>
        <v>0</v>
      </c>
      <c r="J29" s="9">
        <f>IF(circ=1,Debt!J28,0)</f>
        <v>0</v>
      </c>
      <c r="K29" s="192"/>
      <c r="L29" s="192"/>
    </row>
    <row r="30" spans="1:12" x14ac:dyDescent="0.25">
      <c r="C30" s="10"/>
      <c r="D30" s="10"/>
      <c r="E30" s="23"/>
      <c r="H30" s="4"/>
    </row>
    <row r="31" spans="1:12" s="11" customFormat="1" x14ac:dyDescent="0.25">
      <c r="A31" s="11" t="s">
        <v>123</v>
      </c>
      <c r="B31" s="17" t="s">
        <v>83</v>
      </c>
      <c r="C31" s="18">
        <f>SUM(C18,C25:C26,C28)-C29</f>
        <v>1181531</v>
      </c>
      <c r="D31" s="18">
        <f t="shared" ref="D31:F31" si="14">SUM(D18,D25:D26,D28)-D29</f>
        <v>1620506</v>
      </c>
      <c r="E31" s="18">
        <f t="shared" si="14"/>
        <v>2010230</v>
      </c>
      <c r="F31" s="18">
        <f t="shared" si="14"/>
        <v>2084653.3372490853</v>
      </c>
      <c r="G31" s="18">
        <f t="shared" ref="G31:J31" si="15">SUM(G18,G25:G26,G28)-G29</f>
        <v>2316339.1853573844</v>
      </c>
      <c r="H31" s="18">
        <f t="shared" si="15"/>
        <v>2630691.7337354794</v>
      </c>
      <c r="I31" s="18">
        <f t="shared" si="15"/>
        <v>2984883.6659207828</v>
      </c>
      <c r="J31" s="19">
        <f t="shared" si="15"/>
        <v>3383739.8741980996</v>
      </c>
    </row>
    <row r="32" spans="1:12" x14ac:dyDescent="0.25">
      <c r="E32" s="38"/>
      <c r="H32" s="4"/>
    </row>
    <row r="33" spans="1:12" x14ac:dyDescent="0.25">
      <c r="B33" s="4" t="s">
        <v>56</v>
      </c>
      <c r="C33" s="136">
        <v>282430</v>
      </c>
      <c r="D33" s="4">
        <v>391769</v>
      </c>
      <c r="E33" s="60">
        <v>476120</v>
      </c>
      <c r="F33" s="4">
        <f>F31*F10</f>
        <v>542009.86768476223</v>
      </c>
      <c r="G33" s="4">
        <f t="shared" ref="G33:J33" si="16">G31*G10</f>
        <v>579084.7963393461</v>
      </c>
      <c r="H33" s="4">
        <f t="shared" si="16"/>
        <v>631366.016096515</v>
      </c>
      <c r="I33" s="4">
        <f t="shared" si="16"/>
        <v>716372.07982098788</v>
      </c>
      <c r="J33" s="4">
        <f t="shared" si="16"/>
        <v>812097.56980754388</v>
      </c>
    </row>
    <row r="34" spans="1:12" s="11" customFormat="1" x14ac:dyDescent="0.25">
      <c r="A34" s="11" t="s">
        <v>123</v>
      </c>
      <c r="B34" s="17" t="s">
        <v>57</v>
      </c>
      <c r="C34" s="18">
        <f>C31-C33</f>
        <v>899101</v>
      </c>
      <c r="D34" s="18">
        <f t="shared" ref="D34:F34" si="17">D31-D33</f>
        <v>1228737</v>
      </c>
      <c r="E34" s="18">
        <f t="shared" si="17"/>
        <v>1534110</v>
      </c>
      <c r="F34" s="18">
        <f t="shared" si="17"/>
        <v>1542643.4695643231</v>
      </c>
      <c r="G34" s="18">
        <f t="shared" ref="G34:J34" si="18">G31-G33</f>
        <v>1737254.3890180383</v>
      </c>
      <c r="H34" s="18">
        <f t="shared" si="18"/>
        <v>1999325.7176389643</v>
      </c>
      <c r="I34" s="18">
        <f t="shared" si="18"/>
        <v>2268511.5860997951</v>
      </c>
      <c r="J34" s="19">
        <f t="shared" si="18"/>
        <v>2571642.3043905557</v>
      </c>
    </row>
    <row r="35" spans="1:12" x14ac:dyDescent="0.25">
      <c r="B35" s="11"/>
      <c r="C35" s="11"/>
      <c r="D35" s="11"/>
      <c r="E35" s="36"/>
      <c r="F35" s="11"/>
      <c r="G35" s="11"/>
      <c r="H35" s="11"/>
      <c r="I35" s="11"/>
      <c r="J35" s="11"/>
      <c r="K35" s="11"/>
      <c r="L35" s="11"/>
    </row>
    <row r="36" spans="1:12" x14ac:dyDescent="0.25">
      <c r="A36" s="21" t="s">
        <v>58</v>
      </c>
      <c r="B36" s="20"/>
      <c r="C36" s="56">
        <v>44926</v>
      </c>
      <c r="D36" s="56">
        <v>45291</v>
      </c>
      <c r="E36" s="56">
        <v>45657</v>
      </c>
      <c r="F36" s="56">
        <v>46022</v>
      </c>
      <c r="G36" s="56">
        <v>46022</v>
      </c>
      <c r="H36" s="56">
        <v>46022</v>
      </c>
      <c r="I36" s="56">
        <v>46022</v>
      </c>
      <c r="J36" s="56">
        <v>46022</v>
      </c>
      <c r="K36" s="212"/>
      <c r="L36" s="212"/>
    </row>
    <row r="37" spans="1:12" x14ac:dyDescent="0.25">
      <c r="B37" s="4" t="s">
        <v>47</v>
      </c>
      <c r="C37" s="10">
        <v>1392543</v>
      </c>
      <c r="D37" s="10">
        <v>1377768</v>
      </c>
      <c r="E37" s="23">
        <v>1368343</v>
      </c>
      <c r="F37" s="183">
        <f>F11</f>
        <v>1357754.7647058824</v>
      </c>
      <c r="G37" s="183">
        <f t="shared" ref="G37:J37" si="19">G11</f>
        <v>1347166.5294117648</v>
      </c>
      <c r="H37" s="183">
        <f t="shared" si="19"/>
        <v>1336578.2941176472</v>
      </c>
      <c r="I37" s="183">
        <f t="shared" si="19"/>
        <v>1325990.0588235296</v>
      </c>
      <c r="J37" s="183">
        <f t="shared" si="19"/>
        <v>1315401.823529412</v>
      </c>
      <c r="K37" s="216"/>
      <c r="L37" s="216"/>
    </row>
    <row r="38" spans="1:12" x14ac:dyDescent="0.25">
      <c r="B38" s="4" t="s">
        <v>48</v>
      </c>
      <c r="C38" s="10">
        <v>1403077</v>
      </c>
      <c r="D38" s="10">
        <v>1385500</v>
      </c>
      <c r="E38" s="23">
        <v>1376555</v>
      </c>
      <c r="F38" s="183">
        <f>F12</f>
        <v>1376555</v>
      </c>
      <c r="G38" s="183">
        <f t="shared" ref="G38:J38" si="20">G12</f>
        <v>1376555</v>
      </c>
      <c r="H38" s="183">
        <f t="shared" si="20"/>
        <v>1376555</v>
      </c>
      <c r="I38" s="183">
        <f t="shared" si="20"/>
        <v>1376555</v>
      </c>
      <c r="J38" s="183">
        <f t="shared" si="20"/>
        <v>1376555</v>
      </c>
      <c r="K38" s="216"/>
      <c r="L38" s="216"/>
    </row>
    <row r="39" spans="1:12" x14ac:dyDescent="0.25">
      <c r="B39" s="4" t="s">
        <v>59</v>
      </c>
      <c r="C39" s="190">
        <f t="shared" ref="C39:D39" si="21">C34/C37</f>
        <v>0.64565403007303901</v>
      </c>
      <c r="D39" s="190">
        <f t="shared" si="21"/>
        <v>0.89183157106276234</v>
      </c>
      <c r="E39" s="191">
        <f>E34/E37</f>
        <v>1.1211443329632995</v>
      </c>
      <c r="F39" s="190">
        <f>F34/F37</f>
        <v>1.1361723852234034</v>
      </c>
      <c r="G39" s="190">
        <f t="shared" ref="G39:J39" si="22">G34/G37</f>
        <v>1.2895617216504065</v>
      </c>
      <c r="H39" s="190">
        <f t="shared" si="22"/>
        <v>1.4958537980439335</v>
      </c>
      <c r="I39" s="190">
        <f t="shared" si="22"/>
        <v>1.7108058774682726</v>
      </c>
      <c r="J39" s="190">
        <f t="shared" si="22"/>
        <v>1.9550241290455794</v>
      </c>
      <c r="K39" s="216"/>
      <c r="L39" s="216"/>
    </row>
    <row r="40" spans="1:12" s="11" customFormat="1" x14ac:dyDescent="0.25">
      <c r="A40" s="11" t="s">
        <v>123</v>
      </c>
      <c r="B40" s="17" t="s">
        <v>60</v>
      </c>
      <c r="C40" s="189">
        <f t="shared" ref="C40:D40" si="23">C34/C38</f>
        <v>0.64080659863998912</v>
      </c>
      <c r="D40" s="189">
        <f t="shared" si="23"/>
        <v>0.88685456513893901</v>
      </c>
      <c r="E40" s="189">
        <f>E34/E38</f>
        <v>1.1144560151973586</v>
      </c>
      <c r="F40" s="189">
        <f>F34/F38</f>
        <v>1.1206551642065323</v>
      </c>
      <c r="G40" s="189">
        <f t="shared" ref="G40:J40" si="24">G34/G38</f>
        <v>1.2620304957070645</v>
      </c>
      <c r="H40" s="189">
        <f t="shared" si="24"/>
        <v>1.4524125208502126</v>
      </c>
      <c r="I40" s="189">
        <f t="shared" si="24"/>
        <v>1.6479629118341039</v>
      </c>
      <c r="J40" s="286">
        <f t="shared" si="24"/>
        <v>1.8681725789311403</v>
      </c>
      <c r="K40" s="220"/>
      <c r="L40" s="220"/>
    </row>
    <row r="41" spans="1:12" x14ac:dyDescent="0.25">
      <c r="C41" s="14"/>
      <c r="D41" s="14"/>
      <c r="E41" s="39"/>
      <c r="F41" s="14"/>
      <c r="G41" s="14"/>
      <c r="H41" s="14"/>
      <c r="I41" s="14"/>
      <c r="J41" s="14"/>
    </row>
    <row r="42" spans="1:12" x14ac:dyDescent="0.25">
      <c r="D42" s="14"/>
      <c r="E42" s="14"/>
      <c r="F42" s="14"/>
    </row>
  </sheetData>
  <conditionalFormatting sqref="F4:L12">
    <cfRule type="expression" dxfId="1" priority="35">
      <formula>$E$11&gt;1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7"/>
  <sheetViews>
    <sheetView showGridLines="0" topLeftCell="A3" zoomScaleNormal="100" workbookViewId="0">
      <selection activeCell="C41" sqref="C41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2.7109375" style="4" customWidth="1"/>
    <col min="9" max="10" width="12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67" t="str">
        <f>CoName</f>
        <v>Chipotle Mexican Grill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/>
      <c r="L1" s="42"/>
    </row>
    <row r="2" spans="1:12" x14ac:dyDescent="0.25">
      <c r="A2" s="16" t="s">
        <v>9</v>
      </c>
      <c r="B2" s="65"/>
      <c r="C2" s="114">
        <v>44926</v>
      </c>
      <c r="D2" s="114">
        <v>45291</v>
      </c>
      <c r="E2" s="114">
        <v>45657</v>
      </c>
      <c r="F2" s="114">
        <v>46022</v>
      </c>
      <c r="G2" s="114">
        <v>46387</v>
      </c>
      <c r="H2" s="114">
        <v>46752</v>
      </c>
      <c r="I2" s="114">
        <v>47118</v>
      </c>
      <c r="J2" s="114">
        <v>47483</v>
      </c>
      <c r="K2" s="221"/>
      <c r="L2" s="221"/>
    </row>
    <row r="3" spans="1:12" x14ac:dyDescent="0.25">
      <c r="K3" s="6"/>
      <c r="L3" s="6"/>
    </row>
    <row r="4" spans="1:12" x14ac:dyDescent="0.25">
      <c r="B4" s="4" t="s">
        <v>138</v>
      </c>
      <c r="C4" s="44"/>
      <c r="D4" s="44"/>
      <c r="E4" s="45"/>
      <c r="F4" s="103">
        <f>Assumptions!F42</f>
        <v>1.4999999999999998E-2</v>
      </c>
      <c r="G4" s="103">
        <f>F4</f>
        <v>1.4999999999999998E-2</v>
      </c>
      <c r="H4" s="103">
        <f t="shared" ref="H4:J4" si="0">G4</f>
        <v>1.4999999999999998E-2</v>
      </c>
      <c r="I4" s="103">
        <f t="shared" si="0"/>
        <v>1.4999999999999998E-2</v>
      </c>
      <c r="J4" s="103">
        <f t="shared" si="0"/>
        <v>1.4999999999999998E-2</v>
      </c>
      <c r="K4" s="179"/>
      <c r="L4" s="179"/>
    </row>
    <row r="5" spans="1:12" x14ac:dyDescent="0.25">
      <c r="B5" s="4" t="s">
        <v>151</v>
      </c>
      <c r="C5" s="44"/>
      <c r="D5" s="44"/>
      <c r="E5" s="45"/>
      <c r="F5" s="103">
        <f>Assumptions!F43</f>
        <v>1.2724489172698285E-2</v>
      </c>
      <c r="G5" s="103">
        <f>Assumptions!G43</f>
        <v>1.2724489172698285E-2</v>
      </c>
      <c r="H5" s="103">
        <f>Assumptions!H43</f>
        <v>1.2724489172698285E-2</v>
      </c>
      <c r="I5" s="103">
        <f>Assumptions!I43</f>
        <v>1.2724489172698285E-2</v>
      </c>
      <c r="J5" s="103">
        <f>Assumptions!J43</f>
        <v>1.2724489172698285E-2</v>
      </c>
      <c r="K5" s="179"/>
      <c r="L5" s="179"/>
    </row>
    <row r="6" spans="1:12" x14ac:dyDescent="0.25">
      <c r="B6" s="4" t="s">
        <v>62</v>
      </c>
      <c r="C6" s="44"/>
      <c r="D6" s="44"/>
      <c r="E6" s="45"/>
      <c r="F6" s="103">
        <f>Assumptions!F44</f>
        <v>5.6254933168675032E-3</v>
      </c>
      <c r="G6" s="103">
        <f>Assumptions!G44</f>
        <v>5.6254933168675032E-3</v>
      </c>
      <c r="H6" s="103">
        <f>Assumptions!H44</f>
        <v>5.6254933168675032E-3</v>
      </c>
      <c r="I6" s="103">
        <f>Assumptions!I44</f>
        <v>5.6254933168675032E-3</v>
      </c>
      <c r="J6" s="103">
        <f>Assumptions!J44</f>
        <v>5.6254933168675032E-3</v>
      </c>
      <c r="K6" s="179"/>
      <c r="L6" s="179"/>
    </row>
    <row r="7" spans="1:12" x14ac:dyDescent="0.25">
      <c r="B7" s="4" t="s">
        <v>63</v>
      </c>
      <c r="C7" s="44"/>
      <c r="D7" s="44"/>
      <c r="E7" s="45"/>
      <c r="F7" s="103">
        <f>Assumptions!F45</f>
        <v>1.4563296871543232E-2</v>
      </c>
      <c r="G7" s="103">
        <f>Assumptions!G45</f>
        <v>1.4563296871543232E-2</v>
      </c>
      <c r="H7" s="103">
        <f>Assumptions!H45</f>
        <v>1.4563296871543232E-2</v>
      </c>
      <c r="I7" s="103">
        <f>Assumptions!I45</f>
        <v>1.4563296871543232E-2</v>
      </c>
      <c r="J7" s="103">
        <f>Assumptions!J45</f>
        <v>1.4563296871543232E-2</v>
      </c>
      <c r="K7" s="179"/>
      <c r="L7" s="179"/>
    </row>
    <row r="8" spans="1:12" x14ac:dyDescent="0.25">
      <c r="A8" s="7"/>
      <c r="C8" s="31"/>
      <c r="D8" s="31"/>
      <c r="E8" s="31"/>
      <c r="F8" s="104"/>
      <c r="G8" s="104"/>
      <c r="H8" s="104"/>
      <c r="I8" s="104"/>
      <c r="J8" s="104"/>
      <c r="K8" s="179"/>
      <c r="L8" s="179"/>
    </row>
    <row r="9" spans="1:12" x14ac:dyDescent="0.25">
      <c r="B9" s="4" t="s">
        <v>64</v>
      </c>
      <c r="C9" s="44"/>
      <c r="D9" s="44"/>
      <c r="E9" s="45"/>
      <c r="F9" s="103">
        <f>Assumptions!F48</f>
        <v>1.2689752995730101E-2</v>
      </c>
      <c r="G9" s="103">
        <f>Assumptions!G48</f>
        <v>1.2689752995730101E-2</v>
      </c>
      <c r="H9" s="103">
        <f>Assumptions!H48</f>
        <v>1.2689752995730101E-2</v>
      </c>
      <c r="I9" s="103">
        <f>Assumptions!I48</f>
        <v>1.2689752995730101E-2</v>
      </c>
      <c r="J9" s="103">
        <f>Assumptions!J48</f>
        <v>1.2689752995730101E-2</v>
      </c>
      <c r="K9" s="179"/>
      <c r="L9" s="179"/>
    </row>
    <row r="10" spans="1:12" x14ac:dyDescent="0.25">
      <c r="B10" s="4" t="s">
        <v>160</v>
      </c>
      <c r="C10" s="44"/>
      <c r="D10" s="44"/>
      <c r="E10" s="156"/>
      <c r="F10" s="102">
        <f>Assumptions!F47</f>
        <v>868025</v>
      </c>
      <c r="G10" s="102">
        <f>Assumptions!G47</f>
        <v>868025</v>
      </c>
      <c r="H10" s="102">
        <f>Assumptions!H47</f>
        <v>868025</v>
      </c>
      <c r="I10" s="102">
        <f>Assumptions!I47</f>
        <v>868025</v>
      </c>
      <c r="J10" s="102">
        <f>Assumptions!J47</f>
        <v>868025</v>
      </c>
      <c r="K10" s="205"/>
      <c r="L10" s="205"/>
    </row>
    <row r="11" spans="1:12" x14ac:dyDescent="0.25">
      <c r="C11" s="31"/>
      <c r="D11" s="31"/>
      <c r="E11" s="31"/>
      <c r="F11" s="104"/>
      <c r="G11" s="104"/>
      <c r="H11" s="104"/>
      <c r="I11" s="104"/>
      <c r="J11" s="104"/>
      <c r="K11" s="179"/>
      <c r="L11" s="179"/>
    </row>
    <row r="12" spans="1:12" x14ac:dyDescent="0.25">
      <c r="B12" s="4" t="s">
        <v>150</v>
      </c>
      <c r="C12" s="44"/>
      <c r="D12" s="44"/>
      <c r="E12" s="45"/>
      <c r="F12" s="103">
        <f>Assumptions!F52</f>
        <v>7.4983014440053536E-2</v>
      </c>
      <c r="G12" s="103">
        <f>Assumptions!G52</f>
        <v>7.4983014440053536E-2</v>
      </c>
      <c r="H12" s="103">
        <f>Assumptions!H52</f>
        <v>7.4983014440053536E-2</v>
      </c>
      <c r="I12" s="103">
        <f>Assumptions!I52</f>
        <v>7.4983014440053536E-2</v>
      </c>
      <c r="J12" s="103">
        <f>Assumptions!J52</f>
        <v>7.4983014440053536E-2</v>
      </c>
      <c r="K12" s="179"/>
      <c r="L12" s="179"/>
    </row>
    <row r="13" spans="1:12" x14ac:dyDescent="0.25">
      <c r="B13" s="4" t="s">
        <v>65</v>
      </c>
      <c r="C13" s="44"/>
      <c r="D13" s="44"/>
      <c r="E13" s="27"/>
      <c r="F13" s="103">
        <f>Assumptions!F53</f>
        <v>4.5644308795597749E-2</v>
      </c>
      <c r="G13" s="103">
        <f>Assumptions!G53</f>
        <v>4.5644308795597749E-2</v>
      </c>
      <c r="H13" s="103">
        <f>Assumptions!H53</f>
        <v>4.5644308795597749E-2</v>
      </c>
      <c r="I13" s="103">
        <f>Assumptions!I53</f>
        <v>4.5644308795597749E-2</v>
      </c>
      <c r="J13" s="103">
        <f>Assumptions!J53</f>
        <v>4.5644308795597749E-2</v>
      </c>
      <c r="K13" s="179"/>
      <c r="L13" s="179"/>
    </row>
    <row r="14" spans="1:12" x14ac:dyDescent="0.25">
      <c r="B14" s="4" t="s">
        <v>66</v>
      </c>
      <c r="C14" s="44"/>
      <c r="D14" s="44"/>
      <c r="E14" s="45"/>
      <c r="F14" s="269">
        <f>Assumptions!F54</f>
        <v>0.38714132135179768</v>
      </c>
      <c r="G14" s="269">
        <f>Assumptions!G54</f>
        <v>0.38714132135179768</v>
      </c>
      <c r="H14" s="269">
        <f>Assumptions!H54</f>
        <v>0.38714132135179768</v>
      </c>
      <c r="I14" s="269">
        <f>Assumptions!I54</f>
        <v>0.38714132135179768</v>
      </c>
      <c r="J14" s="269">
        <f>Assumptions!J54</f>
        <v>0.38714132135179768</v>
      </c>
      <c r="K14" s="179"/>
      <c r="L14" s="179"/>
    </row>
    <row r="15" spans="1:12" x14ac:dyDescent="0.25">
      <c r="C15" s="44"/>
      <c r="D15" s="44"/>
      <c r="E15" s="44"/>
      <c r="F15" s="104"/>
      <c r="G15" s="104"/>
      <c r="H15" s="104"/>
      <c r="I15" s="104"/>
      <c r="J15" s="104"/>
      <c r="K15" s="179"/>
      <c r="L15" s="179"/>
    </row>
    <row r="16" spans="1:12" ht="15" customHeight="1" x14ac:dyDescent="0.25">
      <c r="A16" s="187" t="s">
        <v>61</v>
      </c>
      <c r="B16" s="188"/>
      <c r="C16" s="157">
        <f>C2</f>
        <v>44926</v>
      </c>
      <c r="D16" s="157">
        <f t="shared" ref="D16:J16" si="1">D2</f>
        <v>45291</v>
      </c>
      <c r="E16" s="157">
        <f t="shared" si="1"/>
        <v>45657</v>
      </c>
      <c r="F16" s="157">
        <f t="shared" si="1"/>
        <v>46022</v>
      </c>
      <c r="G16" s="157">
        <f t="shared" si="1"/>
        <v>46387</v>
      </c>
      <c r="H16" s="157">
        <f t="shared" si="1"/>
        <v>46752</v>
      </c>
      <c r="I16" s="157">
        <f t="shared" si="1"/>
        <v>47118</v>
      </c>
      <c r="J16" s="157">
        <f t="shared" si="1"/>
        <v>47483</v>
      </c>
      <c r="K16" s="215"/>
      <c r="L16" s="215"/>
    </row>
    <row r="17" spans="1:12" x14ac:dyDescent="0.25">
      <c r="B17" s="4" t="s">
        <v>156</v>
      </c>
      <c r="C17" s="195">
        <f>1.5%*IncState!C15</f>
        <v>129519.78</v>
      </c>
      <c r="D17" s="195">
        <f>1.5%*IncState!D15</f>
        <v>148074.73499999999</v>
      </c>
      <c r="E17" s="196">
        <f>1.5%*IncState!E15</f>
        <v>169707.79499999998</v>
      </c>
      <c r="F17" s="4">
        <f>F4*IncState!F15</f>
        <v>178298.07851804461</v>
      </c>
      <c r="G17" s="4">
        <f>G4*IncState!G15</f>
        <v>191560.33427766344</v>
      </c>
      <c r="H17" s="4">
        <f>H4*IncState!H15</f>
        <v>210590.85355810245</v>
      </c>
      <c r="I17" s="4">
        <f>I4*IncState!I15</f>
        <v>231530.7004739517</v>
      </c>
      <c r="J17" s="4">
        <f>J4*IncState!J15</f>
        <v>254570.49400338394</v>
      </c>
    </row>
    <row r="18" spans="1:12" x14ac:dyDescent="0.25">
      <c r="B18" s="4" t="s">
        <v>157</v>
      </c>
      <c r="C18" s="195">
        <f>384000+515136-C17</f>
        <v>769616.22</v>
      </c>
      <c r="D18" s="195">
        <f>560609+734838-D17</f>
        <v>1147372.2650000001</v>
      </c>
      <c r="E18" s="196">
        <f>748537+674378-E17</f>
        <v>1253207.2050000001</v>
      </c>
      <c r="F18" s="4">
        <f>MAX(CashFlow!F21,0)</f>
        <v>2461949.9141383111</v>
      </c>
      <c r="G18" s="4">
        <f>MAX(CashFlow!G21,0)</f>
        <v>3967784.7695919713</v>
      </c>
      <c r="H18" s="4">
        <f>MAX(CashFlow!H21,0)</f>
        <v>5852041.5265121115</v>
      </c>
      <c r="I18" s="4">
        <f>MAX(CashFlow!I21,0)</f>
        <v>8007388.914793402</v>
      </c>
      <c r="J18" s="4">
        <f>MAX(CashFlow!J21,0)</f>
        <v>10469183.632709205</v>
      </c>
    </row>
    <row r="19" spans="1:12" x14ac:dyDescent="0.25">
      <c r="B19" s="4" t="s">
        <v>67</v>
      </c>
      <c r="C19" s="197">
        <f>106880</f>
        <v>106880</v>
      </c>
      <c r="D19" s="197">
        <v>115535</v>
      </c>
      <c r="E19" s="198">
        <v>143963</v>
      </c>
      <c r="F19" s="4">
        <f>F5*IncState!F15</f>
        <v>151250.13130771785</v>
      </c>
      <c r="G19" s="4">
        <f>G5*IncState!G15</f>
        <v>162500.49329563952</v>
      </c>
      <c r="H19" s="4">
        <f>H5*IncState!H15</f>
        <v>178644.06906462435</v>
      </c>
      <c r="I19" s="4">
        <f>I5*IncState!I15</f>
        <v>196407.32608853656</v>
      </c>
      <c r="J19" s="4">
        <f>J5*IncState!J15</f>
        <v>215951.96630896753</v>
      </c>
    </row>
    <row r="20" spans="1:12" x14ac:dyDescent="0.25">
      <c r="B20" s="4" t="s">
        <v>68</v>
      </c>
      <c r="C20" s="197">
        <v>35668</v>
      </c>
      <c r="D20" s="197">
        <v>39309</v>
      </c>
      <c r="E20" s="198">
        <v>48942</v>
      </c>
      <c r="F20" s="4">
        <f>F6*IncState!F16</f>
        <v>51085.012078234555</v>
      </c>
      <c r="G20" s="4">
        <f>G6*IncState!G16</f>
        <v>54525.635557038979</v>
      </c>
      <c r="H20" s="4">
        <f>H6*IncState!H16</f>
        <v>59547.580350292264</v>
      </c>
      <c r="I20" s="4">
        <f>I6*IncState!I16</f>
        <v>65034.463872393928</v>
      </c>
      <c r="J20" s="4">
        <f>J6*IncState!J16</f>
        <v>71028.73057614034</v>
      </c>
    </row>
    <row r="21" spans="1:12" x14ac:dyDescent="0.25">
      <c r="B21" s="4" t="s">
        <v>69</v>
      </c>
      <c r="C21" s="197">
        <f>1175837-SUM(C17:C20)</f>
        <v>134153</v>
      </c>
      <c r="D21" s="197">
        <f>117462+52960</f>
        <v>170422</v>
      </c>
      <c r="E21" s="198">
        <f>97538+67229</f>
        <v>164767</v>
      </c>
      <c r="F21" s="4">
        <f>F7*IncState!F15</f>
        <v>173107.18993893394</v>
      </c>
      <c r="G21" s="4">
        <f>G7*IncState!G15</f>
        <v>185983.3344598448</v>
      </c>
      <c r="H21" s="4">
        <f>H7*IncState!H15</f>
        <v>204459.80791988884</v>
      </c>
      <c r="I21" s="4">
        <f>I7*IncState!I15</f>
        <v>224790.02172523428</v>
      </c>
      <c r="J21" s="4">
        <f>J7*IncState!J15</f>
        <v>247159.04526044647</v>
      </c>
    </row>
    <row r="22" spans="1:12" s="11" customFormat="1" x14ac:dyDescent="0.25">
      <c r="B22" s="11" t="s">
        <v>70</v>
      </c>
      <c r="C22" s="11">
        <f>SUM(C17:C21)</f>
        <v>1175837</v>
      </c>
      <c r="D22" s="11">
        <f>SUM(D17:D21)</f>
        <v>1620713</v>
      </c>
      <c r="E22" s="25">
        <f t="shared" ref="E22" si="2">SUM(E17:E21)</f>
        <v>1780587</v>
      </c>
      <c r="F22" s="11">
        <f>SUM(F17:F21)</f>
        <v>3015690.3259812421</v>
      </c>
      <c r="G22" s="11">
        <f t="shared" ref="G22:J22" si="3">SUM(G17:G21)</f>
        <v>4562354.5671821581</v>
      </c>
      <c r="H22" s="11">
        <f t="shared" si="3"/>
        <v>6505283.8374050194</v>
      </c>
      <c r="I22" s="11">
        <f t="shared" si="3"/>
        <v>8725151.4269535188</v>
      </c>
      <c r="J22" s="11">
        <f t="shared" si="3"/>
        <v>11257893.868858144</v>
      </c>
    </row>
    <row r="23" spans="1:12" x14ac:dyDescent="0.25">
      <c r="A23" s="7"/>
      <c r="E23" s="28"/>
      <c r="I23" s="4"/>
      <c r="J23" s="4"/>
    </row>
    <row r="24" spans="1:12" x14ac:dyDescent="0.25">
      <c r="B24" s="4" t="s">
        <v>71</v>
      </c>
      <c r="C24" s="197">
        <f>1951147+3302402</f>
        <v>5253549</v>
      </c>
      <c r="D24" s="197">
        <f>2170038+3578548</f>
        <v>5748586</v>
      </c>
      <c r="E24" s="198">
        <f>2390126+4000127</f>
        <v>6390253</v>
      </c>
      <c r="F24" s="4">
        <f>Calcs!F9</f>
        <v>6606940.5076380698</v>
      </c>
      <c r="G24" s="4">
        <f>Calcs!G9</f>
        <v>6854819.154758689</v>
      </c>
      <c r="H24" s="4">
        <f>Calcs!H9</f>
        <v>7151130.010326826</v>
      </c>
      <c r="I24" s="4">
        <f>Calcs!I9</f>
        <v>7499359.0284756618</v>
      </c>
      <c r="J24" s="4">
        <f>Calcs!J9</f>
        <v>7903418.8240469024</v>
      </c>
    </row>
    <row r="25" spans="1:12" x14ac:dyDescent="0.25">
      <c r="B25" s="4" t="s">
        <v>158</v>
      </c>
      <c r="C25" s="197">
        <v>21939</v>
      </c>
      <c r="D25" s="197">
        <v>21939</v>
      </c>
      <c r="E25" s="198">
        <f>21939</f>
        <v>21939</v>
      </c>
      <c r="F25" s="135">
        <f>E25-IncState!F22</f>
        <v>21939</v>
      </c>
      <c r="G25" s="135">
        <f>F25-IncState!G22</f>
        <v>21939</v>
      </c>
      <c r="H25" s="135">
        <f>G25-IncState!H22</f>
        <v>21939</v>
      </c>
      <c r="I25" s="135">
        <f>H25-IncState!I22</f>
        <v>21939</v>
      </c>
      <c r="J25" s="135">
        <f>I25-IncState!J22</f>
        <v>21939</v>
      </c>
      <c r="K25" s="135"/>
      <c r="L25" s="135"/>
    </row>
    <row r="26" spans="1:12" x14ac:dyDescent="0.25">
      <c r="B26" s="4" t="s">
        <v>159</v>
      </c>
      <c r="C26" s="197">
        <v>388055</v>
      </c>
      <c r="D26" s="197">
        <v>564488</v>
      </c>
      <c r="E26" s="198">
        <v>868025</v>
      </c>
      <c r="F26" s="4">
        <f>F10</f>
        <v>868025</v>
      </c>
      <c r="G26" s="4">
        <f t="shared" ref="G26:J26" si="4">G10</f>
        <v>868025</v>
      </c>
      <c r="H26" s="4">
        <f t="shared" si="4"/>
        <v>868025</v>
      </c>
      <c r="I26" s="4">
        <f t="shared" si="4"/>
        <v>868025</v>
      </c>
      <c r="J26" s="4">
        <f t="shared" si="4"/>
        <v>868025</v>
      </c>
    </row>
    <row r="27" spans="1:12" x14ac:dyDescent="0.25">
      <c r="B27" s="4" t="s">
        <v>161</v>
      </c>
      <c r="C27" s="197">
        <f>63158+24966</f>
        <v>88124</v>
      </c>
      <c r="D27" s="197">
        <f>63082+25554</f>
        <v>88636</v>
      </c>
      <c r="E27" s="198">
        <f>29842+113728</f>
        <v>143570</v>
      </c>
      <c r="F27" s="4">
        <f>F9*IncState!F15</f>
        <v>150837.23840048519</v>
      </c>
      <c r="G27" s="4">
        <f>G9*IncState!G15</f>
        <v>162056.88838420264</v>
      </c>
      <c r="H27" s="4">
        <f>H9*IncState!H15</f>
        <v>178156.39432081932</v>
      </c>
      <c r="I27" s="4">
        <f>I9*IncState!I15</f>
        <v>195871.15999618784</v>
      </c>
      <c r="J27" s="4">
        <f>J9*IncState!J15</f>
        <v>215362.44592692892</v>
      </c>
    </row>
    <row r="28" spans="1:12" s="11" customFormat="1" x14ac:dyDescent="0.25">
      <c r="B28" s="11" t="s">
        <v>72</v>
      </c>
      <c r="C28" s="11">
        <f>SUM(C24:C27)</f>
        <v>5751667</v>
      </c>
      <c r="D28" s="11">
        <f>SUM(D24:D27)</f>
        <v>6423649</v>
      </c>
      <c r="E28" s="25">
        <f>SUM(E24:E27)</f>
        <v>7423787</v>
      </c>
      <c r="F28" s="11">
        <f>SUM(F24:F27)</f>
        <v>7647741.7460385552</v>
      </c>
      <c r="G28" s="11">
        <f t="shared" ref="G28:J28" si="5">SUM(G24:G27)</f>
        <v>7906840.0431428915</v>
      </c>
      <c r="H28" s="11">
        <f t="shared" si="5"/>
        <v>8219250.4046476455</v>
      </c>
      <c r="I28" s="11">
        <f t="shared" si="5"/>
        <v>8585194.1884718481</v>
      </c>
      <c r="J28" s="11">
        <f t="shared" si="5"/>
        <v>9008745.2699738313</v>
      </c>
    </row>
    <row r="29" spans="1:12" x14ac:dyDescent="0.25">
      <c r="E29" s="28"/>
      <c r="I29" s="4"/>
      <c r="J29" s="4"/>
    </row>
    <row r="30" spans="1:12" s="11" customFormat="1" x14ac:dyDescent="0.25">
      <c r="A30" s="11" t="s">
        <v>123</v>
      </c>
      <c r="B30" s="17" t="s">
        <v>73</v>
      </c>
      <c r="C30" s="18">
        <f>SUM(C28,C22)</f>
        <v>6927504</v>
      </c>
      <c r="D30" s="18">
        <f>SUM(D28,D22)</f>
        <v>8044362</v>
      </c>
      <c r="E30" s="18">
        <f>SUM(E28,E22)</f>
        <v>9204374</v>
      </c>
      <c r="F30" s="18">
        <f>SUM(F28,F22)</f>
        <v>10663432.072019797</v>
      </c>
      <c r="G30" s="18">
        <f t="shared" ref="G30:J30" si="6">SUM(G28,G22)</f>
        <v>12469194.61032505</v>
      </c>
      <c r="H30" s="18">
        <f t="shared" si="6"/>
        <v>14724534.242052665</v>
      </c>
      <c r="I30" s="18">
        <f t="shared" si="6"/>
        <v>17310345.615425367</v>
      </c>
      <c r="J30" s="18">
        <f t="shared" si="6"/>
        <v>20266639.138831973</v>
      </c>
    </row>
    <row r="31" spans="1:12" x14ac:dyDescent="0.25">
      <c r="A31" s="11"/>
      <c r="E31" s="28"/>
      <c r="I31" s="4"/>
      <c r="J31" s="4"/>
      <c r="K31" s="6"/>
      <c r="L31" s="6"/>
    </row>
    <row r="32" spans="1:12" x14ac:dyDescent="0.25">
      <c r="B32" s="4" t="s">
        <v>74</v>
      </c>
      <c r="C32" s="9">
        <v>0</v>
      </c>
      <c r="D32" s="9">
        <v>0</v>
      </c>
      <c r="E32" s="46">
        <v>0</v>
      </c>
      <c r="F32" s="4">
        <f>MIN(CashFlow!F21,0)</f>
        <v>0</v>
      </c>
      <c r="G32" s="4">
        <f>MIN(CashFlow!G21,0)</f>
        <v>0</v>
      </c>
      <c r="H32" s="4">
        <f>MIN(CashFlow!H21,0)</f>
        <v>0</v>
      </c>
      <c r="I32" s="4">
        <f>MIN(CashFlow!I21,0)</f>
        <v>0</v>
      </c>
      <c r="J32" s="4">
        <f>MIN(CashFlow!J21,0)</f>
        <v>0</v>
      </c>
    </row>
    <row r="33" spans="1:12" x14ac:dyDescent="0.25">
      <c r="B33" s="4" t="s">
        <v>149</v>
      </c>
      <c r="C33" s="197">
        <f>184566+170456+147539</f>
        <v>502561</v>
      </c>
      <c r="D33" s="9">
        <f>197646+227537+147688</f>
        <v>572871</v>
      </c>
      <c r="E33" s="46">
        <f>210695+261913+179747</f>
        <v>652355</v>
      </c>
      <c r="F33" s="4">
        <f>F12*IncState!F16</f>
        <v>680919.5180886907</v>
      </c>
      <c r="G33" s="4">
        <f>G12*IncState!G16</f>
        <v>726780.08630240208</v>
      </c>
      <c r="H33" s="4">
        <f>H12*IncState!H16</f>
        <v>793718.31513658841</v>
      </c>
      <c r="I33" s="4">
        <f>I12*IncState!I16</f>
        <v>866853.77956510847</v>
      </c>
      <c r="J33" s="4">
        <f>J12*IncState!J16</f>
        <v>946752.22784107784</v>
      </c>
    </row>
    <row r="34" spans="1:12" x14ac:dyDescent="0.25">
      <c r="B34" s="4" t="s">
        <v>75</v>
      </c>
      <c r="C34" s="197">
        <f>921880-C33</f>
        <v>419319</v>
      </c>
      <c r="D34" s="9">
        <f>209680+248074</f>
        <v>457754</v>
      </c>
      <c r="E34" s="46">
        <f>238577+277836</f>
        <v>516413</v>
      </c>
      <c r="F34" s="4">
        <f>F13*IncState!F15</f>
        <v>542552.83690262423</v>
      </c>
      <c r="G34" s="4">
        <f>G13*IncState!G15</f>
        <v>582909.27005050657</v>
      </c>
      <c r="H34" s="4">
        <f>H13*IncState!H15</f>
        <v>640818.26328896894</v>
      </c>
      <c r="I34" s="4">
        <f>I13*IncState!I15</f>
        <v>704537.25253960688</v>
      </c>
      <c r="J34" s="4">
        <f>J13*IncState!J15</f>
        <v>774646.28256922157</v>
      </c>
    </row>
    <row r="35" spans="1:12" s="11" customFormat="1" x14ac:dyDescent="0.25">
      <c r="B35" s="11" t="s">
        <v>76</v>
      </c>
      <c r="C35" s="11">
        <f t="shared" ref="C35:E35" si="7">SUM(C32:C34)</f>
        <v>921880</v>
      </c>
      <c r="D35" s="11">
        <f t="shared" si="7"/>
        <v>1030625</v>
      </c>
      <c r="E35" s="25">
        <f t="shared" si="7"/>
        <v>1168768</v>
      </c>
      <c r="F35" s="11">
        <f>SUM(F32:F34)</f>
        <v>1223472.3549913149</v>
      </c>
      <c r="G35" s="11">
        <f t="shared" ref="G35:J35" si="8">SUM(G32:G34)</f>
        <v>1309689.3563529085</v>
      </c>
      <c r="H35" s="11">
        <f t="shared" si="8"/>
        <v>1434536.5784255574</v>
      </c>
      <c r="I35" s="11">
        <f t="shared" si="8"/>
        <v>1571391.0321047152</v>
      </c>
      <c r="J35" s="11">
        <f t="shared" si="8"/>
        <v>1721398.5104102995</v>
      </c>
    </row>
    <row r="36" spans="1:12" x14ac:dyDescent="0.25">
      <c r="B36" s="11"/>
      <c r="E36" s="28"/>
      <c r="I36" s="4"/>
      <c r="J36" s="4"/>
    </row>
    <row r="37" spans="1:12" x14ac:dyDescent="0.25">
      <c r="B37" s="4" t="s">
        <v>77</v>
      </c>
      <c r="C37" s="197">
        <v>0</v>
      </c>
      <c r="D37" s="9">
        <v>0</v>
      </c>
      <c r="E37" s="46">
        <v>0</v>
      </c>
      <c r="F37" s="4">
        <f>E37+SUM(Debt!F8:F9)</f>
        <v>0</v>
      </c>
      <c r="G37" s="4">
        <f>F37+SUM(Debt!G8:G9)</f>
        <v>0</v>
      </c>
      <c r="H37" s="4">
        <f>G37+SUM(Debt!H8:H9)</f>
        <v>0</v>
      </c>
      <c r="I37" s="4">
        <f>H37+SUM(Debt!I8:I9)</f>
        <v>0</v>
      </c>
      <c r="J37" s="4">
        <f>I37+SUM(Debt!J8:J9)</f>
        <v>0</v>
      </c>
    </row>
    <row r="38" spans="1:12" x14ac:dyDescent="0.25">
      <c r="B38" s="4" t="s">
        <v>78</v>
      </c>
      <c r="C38" s="197">
        <f>4559481-C35</f>
        <v>3637601</v>
      </c>
      <c r="D38" s="9">
        <f>4982155-D35</f>
        <v>3951530</v>
      </c>
      <c r="E38" s="46">
        <f>5548828-E35</f>
        <v>4380060</v>
      </c>
      <c r="F38" s="4">
        <f>F14*IncState!F15</f>
        <v>4601770.2474641586</v>
      </c>
      <c r="G38" s="4">
        <f>G14*IncState!G15</f>
        <v>4944061.3953897795</v>
      </c>
      <c r="H38" s="4">
        <f>H14*IncState!H15</f>
        <v>5435228.0874057813</v>
      </c>
      <c r="I38" s="4">
        <f>I14*IncState!I15</f>
        <v>5975673.4209995307</v>
      </c>
      <c r="J38" s="4">
        <f>J14*IncState!J15</f>
        <v>6570317.1617099978</v>
      </c>
    </row>
    <row r="39" spans="1:12" x14ac:dyDescent="0.25">
      <c r="B39" s="11" t="s">
        <v>79</v>
      </c>
      <c r="C39" s="11">
        <f t="shared" ref="C39:E39" si="9">SUM(C37:C38)</f>
        <v>3637601</v>
      </c>
      <c r="D39" s="11">
        <f t="shared" si="9"/>
        <v>3951530</v>
      </c>
      <c r="E39" s="25">
        <f t="shared" si="9"/>
        <v>4380060</v>
      </c>
      <c r="F39" s="11">
        <f>SUM(F37:F38)</f>
        <v>4601770.2474641586</v>
      </c>
      <c r="G39" s="11">
        <f t="shared" ref="G39:J39" si="10">SUM(G37:G38)</f>
        <v>4944061.3953897795</v>
      </c>
      <c r="H39" s="11">
        <f t="shared" si="10"/>
        <v>5435228.0874057813</v>
      </c>
      <c r="I39" s="11">
        <f t="shared" si="10"/>
        <v>5975673.4209995307</v>
      </c>
      <c r="J39" s="11">
        <f t="shared" si="10"/>
        <v>6570317.1617099978</v>
      </c>
      <c r="K39" s="11"/>
      <c r="L39" s="11"/>
    </row>
    <row r="40" spans="1:12" x14ac:dyDescent="0.25">
      <c r="E40" s="28"/>
      <c r="I40" s="4"/>
      <c r="J40" s="4"/>
    </row>
    <row r="41" spans="1:12" x14ac:dyDescent="0.25">
      <c r="B41" s="4" t="s">
        <v>16</v>
      </c>
      <c r="C41" s="199">
        <v>2368023</v>
      </c>
      <c r="D41" s="199">
        <v>3062207</v>
      </c>
      <c r="E41" s="226">
        <v>3655546</v>
      </c>
      <c r="F41" s="4">
        <f>Calcs!F16</f>
        <v>4838189.4695643233</v>
      </c>
      <c r="G41" s="4">
        <f>Calcs!G16</f>
        <v>6215443.8585823616</v>
      </c>
      <c r="H41" s="4">
        <f>Calcs!H16</f>
        <v>7854769.5762213264</v>
      </c>
      <c r="I41" s="4">
        <f>Calcs!I16</f>
        <v>9763281.1623211205</v>
      </c>
      <c r="J41" s="4">
        <f>Calcs!J16</f>
        <v>11974923.466711676</v>
      </c>
    </row>
    <row r="42" spans="1:12" s="11" customFormat="1" x14ac:dyDescent="0.25">
      <c r="A42" s="11" t="s">
        <v>123</v>
      </c>
      <c r="B42" s="17" t="s">
        <v>80</v>
      </c>
      <c r="C42" s="18">
        <f>SUM(C41,C39,C35)</f>
        <v>6927504</v>
      </c>
      <c r="D42" s="18">
        <f>SUM(D41,D39,D35)</f>
        <v>8044362</v>
      </c>
      <c r="E42" s="18">
        <f t="shared" ref="E42:F42" si="11">SUM(E41,E39,E35)</f>
        <v>9204374</v>
      </c>
      <c r="F42" s="18">
        <f t="shared" si="11"/>
        <v>10663432.072019797</v>
      </c>
      <c r="G42" s="18">
        <f t="shared" ref="G42" si="12">SUM(G41,G39,G35)</f>
        <v>12469194.61032505</v>
      </c>
      <c r="H42" s="18">
        <f t="shared" ref="H42" si="13">SUM(H41,H39,H35)</f>
        <v>14724534.242052663</v>
      </c>
      <c r="I42" s="18">
        <f t="shared" ref="I42" si="14">SUM(I41,I39,I35)</f>
        <v>17310345.615425367</v>
      </c>
      <c r="J42" s="18">
        <f t="shared" ref="J42" si="15">SUM(J41,J39,J35)</f>
        <v>20266639.138831973</v>
      </c>
    </row>
    <row r="43" spans="1:12" x14ac:dyDescent="0.25">
      <c r="E43" s="28"/>
      <c r="H43" s="6"/>
      <c r="K43" s="6"/>
      <c r="L43" s="6"/>
    </row>
    <row r="44" spans="1:12" x14ac:dyDescent="0.25">
      <c r="A44" s="4" t="s">
        <v>123</v>
      </c>
      <c r="B44" s="11" t="s">
        <v>81</v>
      </c>
      <c r="C44" s="47">
        <f>C42-C30</f>
        <v>0</v>
      </c>
      <c r="D44" s="47">
        <f t="shared" ref="D44:J44" si="16">D42-D30</f>
        <v>0</v>
      </c>
      <c r="E44" s="158">
        <f t="shared" si="16"/>
        <v>0</v>
      </c>
      <c r="F44" s="47">
        <f t="shared" si="16"/>
        <v>0</v>
      </c>
      <c r="G44" s="47">
        <f t="shared" si="16"/>
        <v>0</v>
      </c>
      <c r="H44" s="47">
        <f t="shared" si="16"/>
        <v>0</v>
      </c>
      <c r="I44" s="47">
        <f t="shared" si="16"/>
        <v>0</v>
      </c>
      <c r="J44" s="47">
        <f t="shared" si="16"/>
        <v>0</v>
      </c>
      <c r="K44" s="47"/>
      <c r="L44" s="47"/>
    </row>
    <row r="45" spans="1:12" x14ac:dyDescent="0.25">
      <c r="I45" s="4"/>
      <c r="J45" s="4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  <row r="56" spans="8:8" x14ac:dyDescent="0.25">
      <c r="H56" s="6"/>
    </row>
    <row r="57" spans="8:8" x14ac:dyDescent="0.25">
      <c r="H57" s="6"/>
    </row>
  </sheetData>
  <conditionalFormatting sqref="F4:L15">
    <cfRule type="expression" dxfId="0" priority="30">
      <formula>$E$14&gt;1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1"/>
  <sheetViews>
    <sheetView showGridLines="0" zoomScaleNormal="100" workbookViewId="0">
      <selection activeCell="G4" sqref="G4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5" width="11.7109375" style="4" customWidth="1"/>
    <col min="6" max="8" width="12.7109375" style="4" customWidth="1"/>
    <col min="9" max="10" width="12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67" t="str">
        <f>CoName</f>
        <v>Chipotle Mexican Grill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/>
      <c r="L1" s="42"/>
    </row>
    <row r="2" spans="1:12" s="2" customFormat="1" x14ac:dyDescent="0.25">
      <c r="A2" s="187" t="s">
        <v>82</v>
      </c>
      <c r="B2" s="188"/>
      <c r="C2" s="193">
        <v>2022</v>
      </c>
      <c r="D2" s="193">
        <f>C2+1</f>
        <v>2023</v>
      </c>
      <c r="E2" s="193">
        <f t="shared" ref="E2:J2" si="0">D2+1</f>
        <v>2024</v>
      </c>
      <c r="F2" s="193">
        <f t="shared" si="0"/>
        <v>2025</v>
      </c>
      <c r="G2" s="193">
        <f t="shared" si="0"/>
        <v>2026</v>
      </c>
      <c r="H2" s="193">
        <f t="shared" si="0"/>
        <v>2027</v>
      </c>
      <c r="I2" s="193">
        <f t="shared" si="0"/>
        <v>2028</v>
      </c>
      <c r="J2" s="193">
        <f t="shared" si="0"/>
        <v>2029</v>
      </c>
      <c r="K2" s="215"/>
      <c r="L2" s="215"/>
    </row>
    <row r="3" spans="1:12" x14ac:dyDescent="0.25">
      <c r="B3" s="4" t="s">
        <v>154</v>
      </c>
      <c r="F3" s="4">
        <f>IncState!F34</f>
        <v>1542643.4695643231</v>
      </c>
      <c r="G3" s="4">
        <f>IncState!G34</f>
        <v>1737254.3890180383</v>
      </c>
      <c r="H3" s="4">
        <f>IncState!H34</f>
        <v>1999325.7176389643</v>
      </c>
      <c r="I3" s="4">
        <f>IncState!I34</f>
        <v>2268511.5860997951</v>
      </c>
      <c r="J3" s="4">
        <f>IncState!J34</f>
        <v>2571642.3043905557</v>
      </c>
    </row>
    <row r="4" spans="1:12" x14ac:dyDescent="0.25">
      <c r="B4" s="4" t="s">
        <v>14</v>
      </c>
      <c r="F4" s="4">
        <f>Calcs!F8</f>
        <v>372426.62153614819</v>
      </c>
      <c r="G4" s="4">
        <f>Calcs!G8</f>
        <v>385055.26024555997</v>
      </c>
      <c r="H4" s="4">
        <f>Calcs!H8</f>
        <v>399501.7316291004</v>
      </c>
      <c r="I4" s="4">
        <f>Calcs!I8</f>
        <v>416770.85240784369</v>
      </c>
      <c r="J4" s="4">
        <f>Calcs!J8</f>
        <v>437065.78544883925</v>
      </c>
    </row>
    <row r="5" spans="1:12" x14ac:dyDescent="0.25">
      <c r="B5" s="4" t="s">
        <v>52</v>
      </c>
      <c r="F5" s="4">
        <f>IncState!F22</f>
        <v>0</v>
      </c>
      <c r="G5" s="4">
        <f>IncState!G22</f>
        <v>0</v>
      </c>
      <c r="H5" s="4">
        <f>IncState!H22</f>
        <v>0</v>
      </c>
      <c r="I5" s="4">
        <f>IncState!I22</f>
        <v>0</v>
      </c>
      <c r="J5" s="4">
        <f>IncState!J22</f>
        <v>0</v>
      </c>
    </row>
    <row r="6" spans="1:12" x14ac:dyDescent="0.25">
      <c r="B6" s="4" t="s">
        <v>88</v>
      </c>
      <c r="F6" s="4">
        <f>Calcs!F25</f>
        <v>28343.738148383913</v>
      </c>
      <c r="G6" s="4">
        <f>Calcs!G25</f>
        <v>45387.61561433773</v>
      </c>
      <c r="H6" s="4">
        <f>Calcs!H25</f>
        <v>66174.708769927733</v>
      </c>
      <c r="I6" s="4">
        <f>Calcs!I25</f>
        <v>72334.252411949215</v>
      </c>
      <c r="J6" s="4">
        <f>Calcs!J25</f>
        <v>79059.754316762555</v>
      </c>
    </row>
    <row r="7" spans="1:12" x14ac:dyDescent="0.25">
      <c r="B7" s="4" t="s">
        <v>198</v>
      </c>
      <c r="F7" s="4">
        <f>BalSheet!E27-BalSheet!F27</f>
        <v>-7267.238400485192</v>
      </c>
      <c r="G7" s="4">
        <f>BalSheet!F27-BalSheet!G27</f>
        <v>-11219.649983717449</v>
      </c>
      <c r="H7" s="4">
        <f>BalSheet!G27-BalSheet!H27</f>
        <v>-16099.505936616682</v>
      </c>
      <c r="I7" s="4">
        <f>BalSheet!H27-BalSheet!I27</f>
        <v>-17714.765675368515</v>
      </c>
      <c r="J7" s="4">
        <f>BalSheet!I27-BalSheet!J27</f>
        <v>-19491.285930741084</v>
      </c>
    </row>
    <row r="8" spans="1:12" x14ac:dyDescent="0.25">
      <c r="B8" s="4" t="s">
        <v>199</v>
      </c>
      <c r="F8" s="4">
        <f>BalSheet!F38-BalSheet!E38</f>
        <v>221710.24746415857</v>
      </c>
      <c r="G8" s="4">
        <f>BalSheet!G38-BalSheet!F38</f>
        <v>342291.1479256209</v>
      </c>
      <c r="H8" s="4">
        <f>BalSheet!H38-BalSheet!G38</f>
        <v>491166.69201600179</v>
      </c>
      <c r="I8" s="4">
        <f>BalSheet!I38-BalSheet!H38</f>
        <v>540445.33359374944</v>
      </c>
      <c r="J8" s="4">
        <f>BalSheet!J38-BalSheet!I38</f>
        <v>594643.7407104671</v>
      </c>
    </row>
    <row r="9" spans="1:12" s="11" customFormat="1" x14ac:dyDescent="0.25">
      <c r="B9" s="11" t="s">
        <v>200</v>
      </c>
      <c r="F9" s="11">
        <f>SUM(F3:F8)</f>
        <v>2157856.838312529</v>
      </c>
      <c r="G9" s="11">
        <f t="shared" ref="G9:J9" si="1">SUM(G3:G8)</f>
        <v>2498768.7628198392</v>
      </c>
      <c r="H9" s="11">
        <f t="shared" si="1"/>
        <v>2940069.3441173774</v>
      </c>
      <c r="I9" s="11">
        <f t="shared" si="1"/>
        <v>3280347.258837969</v>
      </c>
      <c r="J9" s="11">
        <f t="shared" si="1"/>
        <v>3662920.2989358837</v>
      </c>
    </row>
    <row r="10" spans="1:12" x14ac:dyDescent="0.25">
      <c r="I10" s="4"/>
      <c r="J10" s="4"/>
    </row>
    <row r="11" spans="1:12" x14ac:dyDescent="0.25">
      <c r="B11" s="4" t="s">
        <v>13</v>
      </c>
      <c r="F11" s="4">
        <f>Calcs!F7</f>
        <v>589114.12917421793</v>
      </c>
      <c r="G11" s="4">
        <f>Calcs!G7</f>
        <v>632933.90736617905</v>
      </c>
      <c r="H11" s="4">
        <f>Calcs!H7</f>
        <v>695812.58719723718</v>
      </c>
      <c r="I11" s="4">
        <f>Calcs!I7</f>
        <v>764999.87055667909</v>
      </c>
      <c r="J11" s="4">
        <f>Calcs!J7</f>
        <v>841125.58102007932</v>
      </c>
    </row>
    <row r="12" spans="1:12" s="11" customFormat="1" x14ac:dyDescent="0.25">
      <c r="B12" s="11" t="s">
        <v>201</v>
      </c>
      <c r="F12" s="11">
        <f>-F11</f>
        <v>-589114.12917421793</v>
      </c>
      <c r="G12" s="11">
        <f t="shared" ref="G12:J12" si="2">-G11</f>
        <v>-632933.90736617905</v>
      </c>
      <c r="H12" s="11">
        <f t="shared" si="2"/>
        <v>-695812.58719723718</v>
      </c>
      <c r="I12" s="11">
        <f t="shared" si="2"/>
        <v>-764999.87055667909</v>
      </c>
      <c r="J12" s="11">
        <f t="shared" si="2"/>
        <v>-841125.58102007932</v>
      </c>
    </row>
    <row r="13" spans="1:12" x14ac:dyDescent="0.25">
      <c r="I13" s="4"/>
      <c r="J13" s="4"/>
    </row>
    <row r="14" spans="1:12" x14ac:dyDescent="0.25">
      <c r="B14" s="4" t="s">
        <v>202</v>
      </c>
      <c r="F14" s="4">
        <f>Calcs!F11</f>
        <v>-360000</v>
      </c>
      <c r="G14" s="4">
        <f>Calcs!G11</f>
        <v>-360000</v>
      </c>
      <c r="H14" s="4">
        <f>Calcs!H11</f>
        <v>-360000</v>
      </c>
      <c r="I14" s="4">
        <f>Calcs!I11</f>
        <v>-360000</v>
      </c>
      <c r="J14" s="4">
        <f>Calcs!J11</f>
        <v>-360000</v>
      </c>
    </row>
    <row r="15" spans="1:12" s="11" customFormat="1" x14ac:dyDescent="0.25">
      <c r="B15" s="11" t="s">
        <v>203</v>
      </c>
      <c r="F15" s="11">
        <f>F14</f>
        <v>-360000</v>
      </c>
      <c r="G15" s="11">
        <f t="shared" ref="G15:J15" si="3">G14</f>
        <v>-360000</v>
      </c>
      <c r="H15" s="11">
        <f t="shared" si="3"/>
        <v>-360000</v>
      </c>
      <c r="I15" s="11">
        <f t="shared" si="3"/>
        <v>-360000</v>
      </c>
      <c r="J15" s="11">
        <f t="shared" si="3"/>
        <v>-360000</v>
      </c>
    </row>
    <row r="16" spans="1:12" x14ac:dyDescent="0.25">
      <c r="I16" s="4"/>
      <c r="J16" s="4"/>
    </row>
    <row r="17" spans="2:10" x14ac:dyDescent="0.25">
      <c r="B17" s="4" t="s">
        <v>204</v>
      </c>
      <c r="F17" s="4">
        <f>SUM(F15,F12,F9)</f>
        <v>1208742.709138311</v>
      </c>
      <c r="G17" s="4">
        <f t="shared" ref="G17:J17" si="4">SUM(G15,G12,G9)</f>
        <v>1505834.8554536602</v>
      </c>
      <c r="H17" s="4">
        <f t="shared" si="4"/>
        <v>1884256.7569201402</v>
      </c>
      <c r="I17" s="4">
        <f t="shared" si="4"/>
        <v>2155347.38828129</v>
      </c>
      <c r="J17" s="4">
        <f t="shared" si="4"/>
        <v>2461794.7179158041</v>
      </c>
    </row>
    <row r="18" spans="2:10" x14ac:dyDescent="0.25">
      <c r="I18" s="4"/>
      <c r="J18" s="4"/>
    </row>
    <row r="19" spans="2:10" x14ac:dyDescent="0.25">
      <c r="B19" s="4" t="s">
        <v>205</v>
      </c>
      <c r="F19" s="4">
        <f>BalSheet!E18</f>
        <v>1253207.2050000001</v>
      </c>
      <c r="G19" s="4">
        <f>BalSheet!F18</f>
        <v>2461949.9141383111</v>
      </c>
      <c r="H19" s="4">
        <f>BalSheet!G18</f>
        <v>3967784.7695919713</v>
      </c>
      <c r="I19" s="4">
        <f>BalSheet!H18</f>
        <v>5852041.5265121115</v>
      </c>
      <c r="J19" s="4">
        <f>BalSheet!I18</f>
        <v>8007388.914793402</v>
      </c>
    </row>
    <row r="20" spans="2:10" x14ac:dyDescent="0.25">
      <c r="B20" s="4" t="s">
        <v>206</v>
      </c>
      <c r="F20" s="4">
        <f>F17</f>
        <v>1208742.709138311</v>
      </c>
      <c r="G20" s="4">
        <f t="shared" ref="G20:J20" si="5">G17</f>
        <v>1505834.8554536602</v>
      </c>
      <c r="H20" s="4">
        <f t="shared" si="5"/>
        <v>1884256.7569201402</v>
      </c>
      <c r="I20" s="4">
        <f t="shared" si="5"/>
        <v>2155347.38828129</v>
      </c>
      <c r="J20" s="4">
        <f t="shared" si="5"/>
        <v>2461794.7179158041</v>
      </c>
    </row>
    <row r="21" spans="2:10" x14ac:dyDescent="0.25">
      <c r="B21" s="4" t="s">
        <v>207</v>
      </c>
      <c r="F21" s="4">
        <f>SUM(F19:F20)</f>
        <v>2461949.9141383111</v>
      </c>
      <c r="G21" s="4">
        <f t="shared" ref="G21:J21" si="6">SUM(G19:G20)</f>
        <v>3967784.7695919713</v>
      </c>
      <c r="H21" s="4">
        <f t="shared" si="6"/>
        <v>5852041.5265121115</v>
      </c>
      <c r="I21" s="4">
        <f t="shared" si="6"/>
        <v>8007388.914793402</v>
      </c>
      <c r="J21" s="4">
        <f t="shared" si="6"/>
        <v>10469183.632709205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J7" sqref="J7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5" width="11.7109375" style="4" customWidth="1"/>
    <col min="6" max="8" width="12.7109375" style="4" customWidth="1"/>
    <col min="9" max="10" width="12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67" t="str">
        <f>CoName</f>
        <v>Chipotle Mexican Grill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/>
      <c r="L1" s="42"/>
    </row>
    <row r="2" spans="1:12" s="2" customFormat="1" ht="16.350000000000001" customHeight="1" x14ac:dyDescent="0.25">
      <c r="A2" s="187" t="s">
        <v>85</v>
      </c>
      <c r="B2" s="188"/>
      <c r="C2" s="193">
        <v>2022</v>
      </c>
      <c r="D2" s="193">
        <f>C2+1</f>
        <v>2023</v>
      </c>
      <c r="E2" s="193">
        <f t="shared" ref="E2:J2" si="0">D2+1</f>
        <v>2024</v>
      </c>
      <c r="F2" s="193">
        <f t="shared" si="0"/>
        <v>2025</v>
      </c>
      <c r="G2" s="193">
        <f t="shared" si="0"/>
        <v>2026</v>
      </c>
      <c r="H2" s="193">
        <f t="shared" si="0"/>
        <v>2027</v>
      </c>
      <c r="I2" s="193">
        <f t="shared" si="0"/>
        <v>2028</v>
      </c>
      <c r="J2" s="193">
        <f t="shared" si="0"/>
        <v>2029</v>
      </c>
      <c r="K2" s="215"/>
      <c r="L2" s="215"/>
    </row>
    <row r="3" spans="1:12" x14ac:dyDescent="0.25">
      <c r="A3" s="11" t="s">
        <v>123</v>
      </c>
      <c r="B3" s="4" t="s">
        <v>86</v>
      </c>
      <c r="D3" s="245"/>
      <c r="E3" s="24"/>
      <c r="F3" s="246">
        <f>IncState!F15</f>
        <v>11886538.567869643</v>
      </c>
      <c r="G3" s="246">
        <f>IncState!G15</f>
        <v>12770688.95184423</v>
      </c>
      <c r="H3" s="246">
        <f>IncState!H15</f>
        <v>14039390.237206832</v>
      </c>
      <c r="I3" s="246">
        <f>IncState!I15</f>
        <v>15435380.031596782</v>
      </c>
      <c r="J3" s="246">
        <f>IncState!J15</f>
        <v>16971366.266892266</v>
      </c>
      <c r="K3" s="223"/>
      <c r="L3" s="223"/>
    </row>
    <row r="4" spans="1:12" x14ac:dyDescent="0.25">
      <c r="B4" s="4" t="s">
        <v>53</v>
      </c>
      <c r="E4" s="28"/>
      <c r="F4" s="4">
        <f>IncState!F18</f>
        <v>2084653.3372490853</v>
      </c>
      <c r="G4" s="4">
        <f>IncState!G18</f>
        <v>2316339.1853573844</v>
      </c>
      <c r="H4" s="4">
        <f>IncState!H18</f>
        <v>2630691.7337354794</v>
      </c>
      <c r="I4" s="4">
        <f>IncState!I18</f>
        <v>2984883.6659207828</v>
      </c>
      <c r="J4" s="4">
        <f>IncState!J18</f>
        <v>3383739.8741980996</v>
      </c>
    </row>
    <row r="5" spans="1:12" x14ac:dyDescent="0.25">
      <c r="B5" s="31" t="s">
        <v>91</v>
      </c>
      <c r="C5" s="31"/>
      <c r="D5" s="31"/>
      <c r="E5" s="40"/>
      <c r="F5" s="44">
        <f>IncState!F10</f>
        <v>0.26</v>
      </c>
      <c r="G5" s="44">
        <f>IncState!G10</f>
        <v>0.25</v>
      </c>
      <c r="H5" s="44">
        <f>IncState!H10</f>
        <v>0.24</v>
      </c>
      <c r="I5" s="44">
        <f>IncState!I10</f>
        <v>0.24</v>
      </c>
      <c r="J5" s="44">
        <f>IncState!J10</f>
        <v>0.24</v>
      </c>
      <c r="K5" s="44"/>
      <c r="L5" s="44"/>
    </row>
    <row r="6" spans="1:12" x14ac:dyDescent="0.25">
      <c r="C6" s="5"/>
      <c r="D6" s="5"/>
      <c r="E6" s="24"/>
      <c r="F6" s="5"/>
      <c r="G6" s="5"/>
      <c r="H6" s="5"/>
      <c r="I6" s="5"/>
      <c r="J6" s="5"/>
      <c r="K6" s="180"/>
      <c r="L6" s="180"/>
    </row>
    <row r="7" spans="1:12" x14ac:dyDescent="0.25">
      <c r="A7" s="25" t="s">
        <v>123</v>
      </c>
      <c r="B7" s="22" t="s">
        <v>87</v>
      </c>
      <c r="C7" s="122"/>
      <c r="D7" s="122"/>
      <c r="E7" s="122"/>
      <c r="F7" s="137">
        <f t="shared" ref="F7" si="1">F4*(1-F5)</f>
        <v>1542643.4695643231</v>
      </c>
      <c r="G7" s="137">
        <f t="shared" ref="G7:J7" si="2">G4*(1-G5)</f>
        <v>1737254.3890180383</v>
      </c>
      <c r="H7" s="137">
        <f t="shared" si="2"/>
        <v>1999325.7176389643</v>
      </c>
      <c r="I7" s="137">
        <f t="shared" si="2"/>
        <v>2268511.5860997951</v>
      </c>
      <c r="J7" s="172">
        <f t="shared" si="2"/>
        <v>2571642.3043905557</v>
      </c>
      <c r="K7" s="223"/>
      <c r="L7" s="223"/>
    </row>
    <row r="8" spans="1:12" x14ac:dyDescent="0.25">
      <c r="B8" s="4" t="s">
        <v>14</v>
      </c>
      <c r="C8" s="122"/>
      <c r="D8" s="122"/>
      <c r="E8" s="123"/>
      <c r="F8" s="138">
        <f>CashFlow!F4</f>
        <v>372426.62153614819</v>
      </c>
      <c r="G8" s="138">
        <f>CashFlow!G4</f>
        <v>385055.26024555997</v>
      </c>
      <c r="H8" s="138">
        <f>CashFlow!H4</f>
        <v>399501.7316291004</v>
      </c>
      <c r="I8" s="138">
        <f>CashFlow!I4</f>
        <v>416770.85240784369</v>
      </c>
      <c r="J8" s="138">
        <f>CashFlow!J4</f>
        <v>437065.78544883925</v>
      </c>
      <c r="K8" s="222"/>
      <c r="L8" s="222"/>
    </row>
    <row r="9" spans="1:12" x14ac:dyDescent="0.25">
      <c r="B9" s="4" t="s">
        <v>52</v>
      </c>
      <c r="C9" s="5"/>
      <c r="D9" s="5"/>
      <c r="E9" s="24"/>
      <c r="F9" s="194">
        <f>CashFlow!F5</f>
        <v>0</v>
      </c>
      <c r="G9" s="194">
        <f>CashFlow!G5</f>
        <v>0</v>
      </c>
      <c r="H9" s="194">
        <f>CashFlow!H5</f>
        <v>0</v>
      </c>
      <c r="I9" s="194">
        <f>CashFlow!I5</f>
        <v>0</v>
      </c>
      <c r="J9" s="194">
        <f>CashFlow!J5</f>
        <v>0</v>
      </c>
      <c r="K9" s="222"/>
      <c r="L9" s="222"/>
    </row>
    <row r="10" spans="1:12" x14ac:dyDescent="0.25">
      <c r="B10" s="4" t="s">
        <v>88</v>
      </c>
      <c r="C10" s="5"/>
      <c r="D10" s="5"/>
      <c r="E10" s="24"/>
      <c r="F10" s="194">
        <f>CashFlow!F6</f>
        <v>28343.738148383913</v>
      </c>
      <c r="G10" s="194">
        <f>CashFlow!G6</f>
        <v>45387.61561433773</v>
      </c>
      <c r="H10" s="194">
        <f>CashFlow!H6</f>
        <v>66174.708769927733</v>
      </c>
      <c r="I10" s="194">
        <f>CashFlow!I6</f>
        <v>72334.252411949215</v>
      </c>
      <c r="J10" s="194">
        <f>CashFlow!J6</f>
        <v>79059.754316762555</v>
      </c>
      <c r="K10" s="222"/>
      <c r="L10" s="222"/>
    </row>
    <row r="11" spans="1:12" x14ac:dyDescent="0.25">
      <c r="B11" s="4" t="s">
        <v>163</v>
      </c>
      <c r="C11" s="5"/>
      <c r="D11" s="5"/>
      <c r="E11" s="24"/>
      <c r="F11" s="194">
        <f>CashFlow!F7</f>
        <v>-7267.238400485192</v>
      </c>
      <c r="G11" s="194">
        <f>CashFlow!G7</f>
        <v>-11219.649983717449</v>
      </c>
      <c r="H11" s="194">
        <f>CashFlow!H7</f>
        <v>-16099.505936616682</v>
      </c>
      <c r="I11" s="194">
        <f>CashFlow!I7</f>
        <v>-17714.765675368515</v>
      </c>
      <c r="J11" s="194">
        <f>CashFlow!J7</f>
        <v>-19491.285930741084</v>
      </c>
      <c r="K11" s="222"/>
      <c r="L11" s="222"/>
    </row>
    <row r="12" spans="1:12" x14ac:dyDescent="0.25">
      <c r="B12" s="4" t="s">
        <v>164</v>
      </c>
      <c r="E12" s="28"/>
      <c r="F12" s="194">
        <f>CashFlow!F8</f>
        <v>221710.24746415857</v>
      </c>
      <c r="G12" s="194">
        <f>CashFlow!G8</f>
        <v>342291.1479256209</v>
      </c>
      <c r="H12" s="194">
        <f>CashFlow!H8</f>
        <v>491166.69201600179</v>
      </c>
      <c r="I12" s="194">
        <f>CashFlow!I8</f>
        <v>540445.33359374944</v>
      </c>
      <c r="J12" s="194">
        <f>CashFlow!J8</f>
        <v>594643.7407104671</v>
      </c>
      <c r="K12" s="222"/>
      <c r="L12" s="222"/>
    </row>
    <row r="13" spans="1:12" x14ac:dyDescent="0.25">
      <c r="B13" s="4" t="s">
        <v>89</v>
      </c>
      <c r="E13" s="28"/>
      <c r="F13" s="135">
        <f>CashFlow!F12</f>
        <v>-589114.12917421793</v>
      </c>
      <c r="G13" s="135">
        <f>CashFlow!G12</f>
        <v>-632933.90736617905</v>
      </c>
      <c r="H13" s="135">
        <f>CashFlow!H12</f>
        <v>-695812.58719723718</v>
      </c>
      <c r="I13" s="135">
        <f>CashFlow!I12</f>
        <v>-764999.87055667909</v>
      </c>
      <c r="J13" s="135">
        <f>CashFlow!J12</f>
        <v>-841125.58102007932</v>
      </c>
      <c r="K13" s="135"/>
      <c r="L13" s="135"/>
    </row>
    <row r="14" spans="1:12" x14ac:dyDescent="0.25">
      <c r="E14" s="64"/>
      <c r="F14" s="139"/>
      <c r="G14" s="139"/>
      <c r="H14" s="139"/>
      <c r="I14" s="139"/>
      <c r="J14" s="139"/>
      <c r="K14" s="139"/>
      <c r="L14" s="139"/>
    </row>
    <row r="15" spans="1:12" s="11" customFormat="1" x14ac:dyDescent="0.25">
      <c r="A15" s="25" t="s">
        <v>123</v>
      </c>
      <c r="B15" s="35" t="s">
        <v>90</v>
      </c>
      <c r="C15" s="35"/>
      <c r="D15" s="35"/>
      <c r="E15" s="35"/>
      <c r="F15" s="35">
        <f>SUM(F7:F13)</f>
        <v>1568742.709138311</v>
      </c>
      <c r="G15" s="35">
        <f t="shared" ref="G15:J15" si="3">SUM(G7:G13)</f>
        <v>1865834.8554536602</v>
      </c>
      <c r="H15" s="35">
        <f t="shared" si="3"/>
        <v>2244256.7569201402</v>
      </c>
      <c r="I15" s="35">
        <f t="shared" si="3"/>
        <v>2515347.38828129</v>
      </c>
      <c r="J15" s="19">
        <f t="shared" si="3"/>
        <v>2821794.7179158041</v>
      </c>
    </row>
    <row r="16" spans="1:12" x14ac:dyDescent="0.25">
      <c r="B16" s="67"/>
      <c r="C16" s="67"/>
      <c r="D16" s="67"/>
      <c r="E16" s="67"/>
      <c r="F16" s="67"/>
      <c r="G16" s="67"/>
      <c r="H16" s="67"/>
      <c r="I16" s="84"/>
      <c r="J16" s="84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8" sqref="E8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67" t="str">
        <f>CoName</f>
        <v>Chipotle Mexican Grill Inc.</v>
      </c>
    </row>
    <row r="2" spans="1:13" x14ac:dyDescent="0.25">
      <c r="G2" s="149"/>
    </row>
    <row r="3" spans="1:13" x14ac:dyDescent="0.25">
      <c r="A3" s="28" t="s">
        <v>123</v>
      </c>
      <c r="B3" s="169" t="s">
        <v>99</v>
      </c>
      <c r="C3" s="170"/>
      <c r="D3" s="170"/>
      <c r="E3" s="171"/>
      <c r="F3" s="11"/>
      <c r="G3" s="78" t="s">
        <v>107</v>
      </c>
      <c r="H3" s="78" t="s">
        <v>102</v>
      </c>
      <c r="I3" s="78" t="s">
        <v>103</v>
      </c>
      <c r="J3" s="78" t="s">
        <v>104</v>
      </c>
      <c r="K3" s="78" t="s">
        <v>105</v>
      </c>
      <c r="L3" s="78" t="s">
        <v>110</v>
      </c>
      <c r="M3" s="78" t="s">
        <v>106</v>
      </c>
    </row>
    <row r="4" spans="1:13" x14ac:dyDescent="0.25">
      <c r="A4" s="28"/>
      <c r="B4" s="270" t="s">
        <v>165</v>
      </c>
      <c r="C4" s="68"/>
      <c r="D4" s="73"/>
      <c r="E4" s="271">
        <v>0.24</v>
      </c>
      <c r="G4" s="141" t="s">
        <v>210</v>
      </c>
      <c r="H4" s="142">
        <v>0.66</v>
      </c>
      <c r="I4" s="80">
        <f>142+2135</f>
        <v>2277</v>
      </c>
      <c r="J4" s="81">
        <f>116.3*180.1</f>
        <v>20945.629999999997</v>
      </c>
      <c r="K4" s="144">
        <f>I4/J4</f>
        <v>0.10871002686479234</v>
      </c>
      <c r="L4" s="159">
        <f>E4</f>
        <v>0.24</v>
      </c>
      <c r="M4" s="145">
        <f>H4/((1+K4*(1-L4)))</f>
        <v>0.60963240232579163</v>
      </c>
    </row>
    <row r="5" spans="1:13" x14ac:dyDescent="0.25">
      <c r="A5" s="28"/>
      <c r="B5" s="68" t="s">
        <v>92</v>
      </c>
      <c r="C5" s="68"/>
      <c r="D5" s="73"/>
      <c r="E5" s="140">
        <v>4.1000000000000002E-2</v>
      </c>
      <c r="G5" s="141" t="s">
        <v>208</v>
      </c>
      <c r="H5" s="142">
        <v>1</v>
      </c>
      <c r="I5" s="80">
        <f>14570+2748.2</f>
        <v>17318.2</v>
      </c>
      <c r="J5" s="81">
        <f>1100*83</f>
        <v>91300</v>
      </c>
      <c r="K5" s="144">
        <f t="shared" ref="K5:K7" si="0">I5/J5</f>
        <v>0.18968455640744797</v>
      </c>
      <c r="L5" s="159">
        <f>L4</f>
        <v>0.24</v>
      </c>
      <c r="M5" s="145">
        <f t="shared" ref="M5:M7" si="1">H5/((1+K5*(1-L5)))</f>
        <v>0.87400343505367584</v>
      </c>
    </row>
    <row r="6" spans="1:13" x14ac:dyDescent="0.25">
      <c r="A6" s="28"/>
      <c r="B6" s="68" t="s">
        <v>93</v>
      </c>
      <c r="C6" s="68"/>
      <c r="D6" s="73"/>
      <c r="E6" s="140">
        <v>5.5E-2</v>
      </c>
      <c r="G6" s="141" t="s">
        <v>209</v>
      </c>
      <c r="H6" s="143">
        <v>0.5</v>
      </c>
      <c r="I6" s="82">
        <f>40801+602</f>
        <v>41403</v>
      </c>
      <c r="J6" s="81">
        <f>305.79*713.6</f>
        <v>218211.74400000004</v>
      </c>
      <c r="K6" s="144">
        <f t="shared" si="0"/>
        <v>0.18973772557356031</v>
      </c>
      <c r="L6" s="159">
        <f t="shared" ref="L6:L7" si="2">L5</f>
        <v>0.24</v>
      </c>
      <c r="M6" s="145">
        <f t="shared" si="1"/>
        <v>0.43698628438360276</v>
      </c>
    </row>
    <row r="7" spans="1:13" x14ac:dyDescent="0.25">
      <c r="A7" s="28"/>
      <c r="B7" s="68" t="s">
        <v>94</v>
      </c>
      <c r="C7" s="68"/>
      <c r="D7" s="73"/>
      <c r="E7" s="228">
        <v>0.5</v>
      </c>
      <c r="G7" s="141" t="s">
        <v>211</v>
      </c>
      <c r="H7" s="143">
        <v>0.68</v>
      </c>
      <c r="I7" s="82">
        <f>971+10418</f>
        <v>11389</v>
      </c>
      <c r="J7" s="83">
        <f>149.4*277.5</f>
        <v>41458.5</v>
      </c>
      <c r="K7" s="144">
        <f t="shared" si="0"/>
        <v>0.27470844338314215</v>
      </c>
      <c r="L7" s="159">
        <f t="shared" si="2"/>
        <v>0.24</v>
      </c>
      <c r="M7" s="145">
        <f t="shared" si="1"/>
        <v>0.56255140764662437</v>
      </c>
    </row>
    <row r="8" spans="1:13" x14ac:dyDescent="0.25">
      <c r="A8" s="28"/>
      <c r="B8" s="68" t="s">
        <v>95</v>
      </c>
      <c r="C8" s="68"/>
      <c r="D8" s="73"/>
      <c r="E8" s="140">
        <f>E5+E6*E7</f>
        <v>6.8500000000000005E-2</v>
      </c>
      <c r="L8" s="67"/>
    </row>
    <row r="9" spans="1:13" x14ac:dyDescent="0.25">
      <c r="A9" s="28"/>
      <c r="B9" s="69" t="s">
        <v>96</v>
      </c>
      <c r="C9" s="69"/>
      <c r="D9" s="74"/>
      <c r="E9" s="146">
        <v>1</v>
      </c>
      <c r="G9" s="4" t="s">
        <v>108</v>
      </c>
      <c r="L9" s="28"/>
      <c r="M9" s="227">
        <f>AVERAGE(M4:M7)</f>
        <v>0.62079338235242365</v>
      </c>
    </row>
    <row r="10" spans="1:13" x14ac:dyDescent="0.25">
      <c r="A10" s="28"/>
      <c r="B10" s="70" t="s">
        <v>97</v>
      </c>
      <c r="C10" s="70"/>
      <c r="D10" s="75"/>
      <c r="E10" s="147">
        <v>0</v>
      </c>
      <c r="M10" s="67"/>
    </row>
    <row r="11" spans="1:13" x14ac:dyDescent="0.25">
      <c r="A11" s="28"/>
      <c r="B11" s="168" t="s">
        <v>177</v>
      </c>
      <c r="C11" s="71"/>
      <c r="D11" s="76"/>
      <c r="E11" s="148">
        <v>0</v>
      </c>
      <c r="G11" s="4" t="s">
        <v>109</v>
      </c>
      <c r="L11" s="28"/>
      <c r="M11" s="227">
        <f>M9*(1+E10*(1-E4))</f>
        <v>0.62079338235242365</v>
      </c>
    </row>
    <row r="12" spans="1:13" x14ac:dyDescent="0.25">
      <c r="A12" s="28"/>
      <c r="B12" s="72" t="s">
        <v>98</v>
      </c>
      <c r="C12" s="72"/>
      <c r="D12" s="77"/>
      <c r="E12" s="148">
        <f>E11*(1-E4)</f>
        <v>0</v>
      </c>
      <c r="M12" s="67"/>
    </row>
    <row r="13" spans="1:13" s="11" customFormat="1" x14ac:dyDescent="0.25">
      <c r="A13" s="25" t="s">
        <v>123</v>
      </c>
      <c r="B13" s="169" t="s">
        <v>99</v>
      </c>
      <c r="C13" s="170"/>
      <c r="D13" s="171"/>
      <c r="E13" s="165">
        <f>WACC!E8*WACC!E9+WACC!E12*WACC!E10</f>
        <v>6.8500000000000005E-2</v>
      </c>
      <c r="F13" s="4"/>
    </row>
    <row r="14" spans="1:13" s="11" customFormat="1" x14ac:dyDescent="0.25">
      <c r="A14" s="25"/>
      <c r="B14" s="78" t="s">
        <v>100</v>
      </c>
      <c r="C14" s="78"/>
      <c r="D14" s="115"/>
      <c r="E14" s="150">
        <v>2.5000000000000001E-2</v>
      </c>
      <c r="F14" s="4"/>
    </row>
    <row r="15" spans="1:13" x14ac:dyDescent="0.25">
      <c r="B15" s="67"/>
      <c r="C15" s="67"/>
      <c r="D15" s="67"/>
      <c r="E15" s="67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5"/>
  <sheetViews>
    <sheetView showGridLines="0" zoomScaleNormal="100" workbookViewId="0">
      <selection activeCell="G11" sqref="G11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3" width="12.7109375" style="4" customWidth="1"/>
    <col min="4" max="4" width="15.85546875" style="4" customWidth="1"/>
    <col min="5" max="5" width="11.42578125" style="4" bestFit="1" customWidth="1"/>
    <col min="6" max="6" width="12.140625" style="4" customWidth="1"/>
    <col min="7" max="8" width="12.42578125" style="4" bestFit="1" customWidth="1"/>
    <col min="9" max="12" width="11.7109375" style="4" customWidth="1"/>
    <col min="13" max="13" width="9" style="4"/>
    <col min="14" max="17" width="11.7109375" style="4" customWidth="1"/>
    <col min="18" max="16384" width="9" style="4"/>
  </cols>
  <sheetData>
    <row r="1" spans="1:17" ht="19.5" x14ac:dyDescent="0.3">
      <c r="A1" s="267" t="str">
        <f>CoName</f>
        <v>Chipotle Mexican Grill Inc.</v>
      </c>
      <c r="B1" s="3"/>
      <c r="C1" s="3"/>
      <c r="D1" s="42" t="s">
        <v>1</v>
      </c>
      <c r="E1" s="42" t="s">
        <v>1</v>
      </c>
      <c r="F1" s="42" t="s">
        <v>1</v>
      </c>
      <c r="G1" s="42" t="s">
        <v>1</v>
      </c>
      <c r="H1" s="42" t="s">
        <v>1</v>
      </c>
      <c r="I1" s="42"/>
      <c r="J1" s="42"/>
      <c r="K1" s="42"/>
      <c r="L1" s="42"/>
      <c r="M1" s="42"/>
    </row>
    <row r="2" spans="1:17" x14ac:dyDescent="0.25">
      <c r="A2" s="78" t="s">
        <v>111</v>
      </c>
      <c r="B2" s="20"/>
      <c r="C2" s="43"/>
      <c r="D2" s="78">
        <v>1</v>
      </c>
      <c r="E2" s="78">
        <f>D2+1</f>
        <v>2</v>
      </c>
      <c r="F2" s="78">
        <f t="shared" ref="F2:H2" si="0">E2+1</f>
        <v>3</v>
      </c>
      <c r="G2" s="78">
        <f t="shared" si="0"/>
        <v>4</v>
      </c>
      <c r="H2" s="78">
        <f t="shared" si="0"/>
        <v>5</v>
      </c>
      <c r="I2" s="166"/>
      <c r="J2" s="166"/>
      <c r="K2" s="166"/>
      <c r="L2" s="166"/>
      <c r="M2" s="166"/>
      <c r="N2" s="166"/>
    </row>
    <row r="3" spans="1:17" x14ac:dyDescent="0.25">
      <c r="B3" s="4" t="s">
        <v>212</v>
      </c>
      <c r="D3" s="8">
        <f>1/(1+$M$3)^D2</f>
        <v>0.93589143659335516</v>
      </c>
      <c r="E3" s="8">
        <f t="shared" ref="E3:H3" si="1">1/(1+$M$3)^E2</f>
        <v>0.87589278108877422</v>
      </c>
      <c r="F3" s="8">
        <f t="shared" si="1"/>
        <v>0.81974055319492201</v>
      </c>
      <c r="G3" s="8">
        <f t="shared" si="1"/>
        <v>0.76718816396342726</v>
      </c>
      <c r="H3" s="8">
        <f t="shared" si="1"/>
        <v>0.7180048329091504</v>
      </c>
      <c r="J3" s="169" t="s">
        <v>99</v>
      </c>
      <c r="K3" s="170"/>
      <c r="L3" s="171"/>
      <c r="M3" s="165">
        <f>WACC!E13</f>
        <v>6.8500000000000005E-2</v>
      </c>
    </row>
    <row r="4" spans="1:17" x14ac:dyDescent="0.25">
      <c r="B4" s="4" t="s">
        <v>213</v>
      </c>
      <c r="D4" s="4">
        <f>D3*'Free Cash Flow'!F15</f>
        <v>1468172.8677008059</v>
      </c>
      <c r="E4" s="4">
        <f>E3*'Free Cash Flow'!G15</f>
        <v>1634271.2805956774</v>
      </c>
      <c r="F4" s="4">
        <f>F3*'Free Cash Flow'!H15</f>
        <v>1839708.2754291573</v>
      </c>
      <c r="G4" s="4">
        <f>G3*'Free Cash Flow'!I15</f>
        <v>1929744.7445457247</v>
      </c>
      <c r="H4" s="4">
        <f>H3*'Free Cash Flow'!J15</f>
        <v>2026062.2449410602</v>
      </c>
      <c r="J4" s="78" t="s">
        <v>100</v>
      </c>
      <c r="K4" s="78"/>
      <c r="L4" s="115"/>
      <c r="M4" s="150">
        <v>2.5000000000000001E-2</v>
      </c>
    </row>
    <row r="5" spans="1:17" x14ac:dyDescent="0.25">
      <c r="G5" s="149"/>
      <c r="H5" s="4">
        <f>((H4*(1+M4)))/(M3-M4)</f>
        <v>47740547.150910027</v>
      </c>
    </row>
    <row r="6" spans="1:17" x14ac:dyDescent="0.25">
      <c r="A6" s="78" t="s">
        <v>112</v>
      </c>
      <c r="B6" s="20"/>
      <c r="C6" s="43"/>
      <c r="D6" s="86"/>
      <c r="E6" s="78" t="s">
        <v>170</v>
      </c>
      <c r="F6" s="20"/>
      <c r="G6" s="43"/>
      <c r="H6" s="86" t="s">
        <v>166</v>
      </c>
    </row>
    <row r="7" spans="1:17" x14ac:dyDescent="0.25">
      <c r="B7" s="4" t="s">
        <v>113</v>
      </c>
      <c r="C7" s="4">
        <f>SUM(D4:H4)</f>
        <v>8897959.4132124241</v>
      </c>
      <c r="E7" s="4" t="s">
        <v>113</v>
      </c>
      <c r="G7" s="4">
        <f>C7</f>
        <v>8897959.4132124241</v>
      </c>
      <c r="I7" s="177"/>
      <c r="J7" s="177"/>
      <c r="K7" s="177" t="s">
        <v>214</v>
      </c>
      <c r="L7" s="177"/>
      <c r="P7" s="4" t="s">
        <v>215</v>
      </c>
    </row>
    <row r="8" spans="1:17" x14ac:dyDescent="0.25">
      <c r="B8" s="4" t="s">
        <v>114</v>
      </c>
      <c r="C8" s="4">
        <f>H5*H3</f>
        <v>34277943.580080569</v>
      </c>
      <c r="E8" s="4" t="s">
        <v>171</v>
      </c>
      <c r="G8" s="4">
        <f>G10*H3*IncState!J23</f>
        <v>41150353.938497052</v>
      </c>
      <c r="I8" s="177">
        <f>C18</f>
        <v>33.727534598089811</v>
      </c>
      <c r="J8" s="238">
        <f>K8-E23</f>
        <v>2.2500000000000003E-2</v>
      </c>
      <c r="K8" s="238">
        <v>2.5000000000000001E-2</v>
      </c>
      <c r="L8" s="238">
        <f>K8+E23</f>
        <v>2.75E-2</v>
      </c>
      <c r="N8" s="4">
        <f>G18</f>
        <v>38.92493662581505</v>
      </c>
      <c r="O8" s="85">
        <f>P8-L23</f>
        <v>15.5</v>
      </c>
      <c r="P8" s="85">
        <v>17.5</v>
      </c>
      <c r="Q8" s="85">
        <f>P8+L23</f>
        <v>19.5</v>
      </c>
    </row>
    <row r="9" spans="1:17" x14ac:dyDescent="0.25">
      <c r="B9" s="4" t="s">
        <v>115</v>
      </c>
      <c r="C9" s="4">
        <f>SUM(C7:C8)</f>
        <v>43175902.993292995</v>
      </c>
      <c r="E9" s="4" t="s">
        <v>115</v>
      </c>
      <c r="G9" s="4">
        <f>SUM(G7:G8)</f>
        <v>50048313.351709478</v>
      </c>
      <c r="I9" s="238">
        <f>I10+$E$22</f>
        <v>7.2086181617629988E-2</v>
      </c>
      <c r="J9" s="287">
        <f t="dataTable" ref="J9:L13" dt2D="1" dtr="1" r1="M4" r2="M3" ca="1"/>
        <v>29.671932565713867</v>
      </c>
      <c r="K9" s="233">
        <v>30.893229389350683</v>
      </c>
      <c r="L9" s="287">
        <v>32.251485331185904</v>
      </c>
      <c r="N9" s="8">
        <f>I9</f>
        <v>7.2086181617629988E-2</v>
      </c>
      <c r="O9" s="264">
        <f t="dataTable" ref="O9:Q13" dt2D="1" dtr="1" r1="G10" r2="M3"/>
        <v>39.357259537154576</v>
      </c>
      <c r="P9" s="231">
        <v>43.437762337719903</v>
      </c>
      <c r="Q9" s="264">
        <v>47.51826513828523</v>
      </c>
    </row>
    <row r="10" spans="1:17" x14ac:dyDescent="0.25">
      <c r="C10" s="85"/>
      <c r="E10" s="4" t="s">
        <v>116</v>
      </c>
      <c r="G10" s="85">
        <v>15</v>
      </c>
      <c r="I10" s="238">
        <f>I11+$E$22</f>
        <v>6.7086181617629984E-2</v>
      </c>
      <c r="J10" s="287">
        <v>33.398813571758453</v>
      </c>
      <c r="K10" s="233">
        <v>34.98373370768099</v>
      </c>
      <c r="L10" s="287">
        <v>36.768839877107823</v>
      </c>
      <c r="N10" s="8">
        <f t="shared" ref="N10:N13" si="2">I10</f>
        <v>6.7086181617629984E-2</v>
      </c>
      <c r="O10" s="264">
        <v>40.20411257453285</v>
      </c>
      <c r="P10" s="231">
        <v>44.381114658473152</v>
      </c>
      <c r="Q10" s="264">
        <v>48.558116742413461</v>
      </c>
    </row>
    <row r="11" spans="1:17" x14ac:dyDescent="0.25">
      <c r="I11" s="238">
        <v>6.2086181617629979E-2</v>
      </c>
      <c r="J11" s="233">
        <v>38.113954613891444</v>
      </c>
      <c r="K11" s="233">
        <v>40.227195929991446</v>
      </c>
      <c r="L11" s="233">
        <v>42.645940949776218</v>
      </c>
      <c r="N11" s="8">
        <f>I11</f>
        <v>6.2086181617629979E-2</v>
      </c>
      <c r="O11" s="231">
        <v>41.074530281097438</v>
      </c>
      <c r="P11" s="231">
        <v>45.350783160729129</v>
      </c>
      <c r="Q11" s="231">
        <v>49.627036040360814</v>
      </c>
    </row>
    <row r="12" spans="1:17" x14ac:dyDescent="0.25">
      <c r="B12" s="28" t="s">
        <v>117</v>
      </c>
      <c r="C12" s="38">
        <f>MAIN!F7</f>
        <v>1421274</v>
      </c>
      <c r="E12" s="28" t="s">
        <v>117</v>
      </c>
      <c r="F12" s="162"/>
      <c r="G12" s="38">
        <f>C12</f>
        <v>1421274</v>
      </c>
      <c r="I12" s="238">
        <f>I11-$E$22</f>
        <v>5.7086181617629982E-2</v>
      </c>
      <c r="J12" s="287">
        <v>44.24967304541962</v>
      </c>
      <c r="K12" s="233">
        <v>47.166619360209168</v>
      </c>
      <c r="L12" s="287">
        <v>50.576523223980217</v>
      </c>
      <c r="N12" s="8">
        <f t="shared" si="2"/>
        <v>5.7086181617629982E-2</v>
      </c>
      <c r="O12" s="264">
        <v>41.969290308855982</v>
      </c>
      <c r="P12" s="231">
        <v>46.347637463301538</v>
      </c>
      <c r="Q12" s="264">
        <v>50.725984617747095</v>
      </c>
    </row>
    <row r="13" spans="1:17" x14ac:dyDescent="0.25">
      <c r="B13" s="28" t="s">
        <v>118</v>
      </c>
      <c r="C13" s="38">
        <f>MAIN!F8</f>
        <v>0</v>
      </c>
      <c r="E13" s="28" t="s">
        <v>118</v>
      </c>
      <c r="F13" s="162"/>
      <c r="G13" s="38">
        <f t="shared" ref="G13:G14" si="3">C13</f>
        <v>0</v>
      </c>
      <c r="I13" s="238">
        <f>I12-$E$22</f>
        <v>5.2086181617629984E-2</v>
      </c>
      <c r="J13" s="287">
        <v>52.530827972583751</v>
      </c>
      <c r="K13" s="233">
        <v>56.746279493154894</v>
      </c>
      <c r="L13" s="287">
        <v>61.819011657408481</v>
      </c>
      <c r="N13" s="8">
        <f t="shared" si="2"/>
        <v>5.2086181617629984E-2</v>
      </c>
      <c r="O13" s="264">
        <v>42.889199924177241</v>
      </c>
      <c r="P13" s="231">
        <v>47.372580329229692</v>
      </c>
      <c r="Q13" s="264">
        <v>51.855960734282149</v>
      </c>
    </row>
    <row r="14" spans="1:17" x14ac:dyDescent="0.25">
      <c r="B14" s="28" t="s">
        <v>119</v>
      </c>
      <c r="C14" s="38">
        <v>0</v>
      </c>
      <c r="E14" s="4" t="s">
        <v>119</v>
      </c>
      <c r="F14" s="28"/>
      <c r="G14" s="38">
        <f t="shared" si="3"/>
        <v>0</v>
      </c>
    </row>
    <row r="15" spans="1:17" x14ac:dyDescent="0.25">
      <c r="B15" s="4" t="s">
        <v>120</v>
      </c>
      <c r="C15" s="67">
        <f>C9+C12-C13-C14</f>
        <v>44597176.993292995</v>
      </c>
      <c r="E15" s="4" t="s">
        <v>120</v>
      </c>
      <c r="G15" s="67">
        <f>G9+G12-G13-G14</f>
        <v>51469587.351709478</v>
      </c>
      <c r="K15" s="4" t="s">
        <v>216</v>
      </c>
      <c r="P15" s="4" t="str">
        <f>K15</f>
        <v>Weighted avg</v>
      </c>
    </row>
    <row r="16" spans="1:17" x14ac:dyDescent="0.25">
      <c r="K16" s="231">
        <f>AVERAGE(J9:L13)</f>
        <v>42.136270712614206</v>
      </c>
      <c r="P16" s="231">
        <f>AVERAGE(O9:Q13)</f>
        <v>45.377975589890674</v>
      </c>
    </row>
    <row r="17" spans="1:17" x14ac:dyDescent="0.25">
      <c r="B17" s="4" t="s">
        <v>121</v>
      </c>
      <c r="C17" s="4">
        <f>MAIN!F5</f>
        <v>1322278</v>
      </c>
      <c r="E17" s="4" t="s">
        <v>121</v>
      </c>
      <c r="G17" s="4">
        <f>C17</f>
        <v>1322278</v>
      </c>
    </row>
    <row r="18" spans="1:17" x14ac:dyDescent="0.25">
      <c r="A18" s="4" t="s">
        <v>123</v>
      </c>
      <c r="B18" s="151" t="s">
        <v>122</v>
      </c>
      <c r="C18" s="164">
        <f>C15/C17</f>
        <v>33.727534598089811</v>
      </c>
      <c r="E18" s="151" t="s">
        <v>122</v>
      </c>
      <c r="F18" s="162"/>
      <c r="G18" s="164">
        <f>G15/G17</f>
        <v>38.92493662581505</v>
      </c>
    </row>
    <row r="19" spans="1:17" x14ac:dyDescent="0.25">
      <c r="C19" s="22"/>
    </row>
    <row r="20" spans="1:17" x14ac:dyDescent="0.25">
      <c r="A20" s="118" t="s">
        <v>144</v>
      </c>
      <c r="B20" s="20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224"/>
    </row>
    <row r="21" spans="1:17" x14ac:dyDescent="0.25">
      <c r="B21" s="119"/>
      <c r="C21" s="119"/>
      <c r="D21" s="119"/>
      <c r="E21" s="119"/>
      <c r="F21" s="119"/>
      <c r="G21" s="119"/>
      <c r="H21" s="119"/>
      <c r="I21" s="119"/>
    </row>
    <row r="22" spans="1:17" x14ac:dyDescent="0.25">
      <c r="B22" s="119"/>
      <c r="C22" s="119" t="s">
        <v>145</v>
      </c>
      <c r="D22" s="119"/>
      <c r="E22" s="120">
        <v>5.0000000000000001E-3</v>
      </c>
      <c r="F22" s="119"/>
      <c r="G22" s="119"/>
      <c r="J22" s="119" t="s">
        <v>145</v>
      </c>
      <c r="K22" s="119"/>
      <c r="L22" s="120">
        <v>5.0000000000000001E-3</v>
      </c>
    </row>
    <row r="23" spans="1:17" x14ac:dyDescent="0.25">
      <c r="B23" s="119"/>
      <c r="C23" s="119" t="s">
        <v>146</v>
      </c>
      <c r="D23" s="119"/>
      <c r="E23" s="152">
        <v>2.5000000000000001E-3</v>
      </c>
      <c r="F23" s="119"/>
      <c r="G23" s="119"/>
      <c r="J23" s="119" t="s">
        <v>169</v>
      </c>
      <c r="K23" s="119"/>
      <c r="L23" s="161">
        <v>2</v>
      </c>
    </row>
    <row r="24" spans="1:17" x14ac:dyDescent="0.25">
      <c r="B24" s="119"/>
      <c r="C24" s="119"/>
      <c r="D24" s="119"/>
      <c r="E24" s="175"/>
      <c r="F24" s="119"/>
      <c r="G24" s="119"/>
      <c r="J24" s="119"/>
      <c r="K24" s="119"/>
      <c r="L24" s="174"/>
    </row>
    <row r="25" spans="1:17" x14ac:dyDescent="0.25">
      <c r="A25" s="155" t="s">
        <v>172</v>
      </c>
      <c r="B25" s="15"/>
      <c r="C25" s="153"/>
      <c r="D25" s="153"/>
      <c r="E25" s="154"/>
      <c r="F25" s="153"/>
      <c r="G25" s="153"/>
      <c r="H25" s="153"/>
      <c r="I25" s="153"/>
      <c r="J25" s="163"/>
      <c r="K25" s="15"/>
      <c r="L25" s="15"/>
      <c r="M25" s="15"/>
      <c r="N25" s="15"/>
      <c r="O25" s="15"/>
      <c r="P25" s="15"/>
    </row>
    <row r="26" spans="1:17" x14ac:dyDescent="0.25">
      <c r="B26" s="119"/>
      <c r="C26" s="119"/>
      <c r="D26" s="119"/>
      <c r="E26" s="119"/>
      <c r="F26" s="119"/>
      <c r="H26" s="119"/>
      <c r="I26" s="177"/>
      <c r="P26" s="177"/>
    </row>
    <row r="27" spans="1:17" x14ac:dyDescent="0.25">
      <c r="B27" s="166"/>
      <c r="C27" s="173"/>
      <c r="D27" s="119"/>
      <c r="E27" s="247"/>
      <c r="F27" s="248"/>
      <c r="G27" s="247"/>
      <c r="I27" s="119"/>
      <c r="J27" s="247"/>
    </row>
    <row r="28" spans="1:17" x14ac:dyDescent="0.25">
      <c r="B28" s="166"/>
      <c r="C28" s="249"/>
      <c r="E28" s="119"/>
      <c r="F28" s="250"/>
      <c r="G28" s="250"/>
      <c r="H28" s="250"/>
      <c r="I28" s="177"/>
      <c r="J28" s="177"/>
      <c r="N28" s="251"/>
      <c r="P28" s="177"/>
    </row>
    <row r="29" spans="1:17" x14ac:dyDescent="0.25">
      <c r="B29" s="166"/>
      <c r="C29" s="249"/>
      <c r="E29" s="252"/>
      <c r="F29" s="177"/>
      <c r="G29" s="177"/>
      <c r="H29" s="236"/>
      <c r="I29" s="236"/>
      <c r="J29" s="236"/>
      <c r="N29" s="253"/>
      <c r="O29" s="48"/>
      <c r="P29" s="48"/>
      <c r="Q29" s="48"/>
    </row>
    <row r="30" spans="1:17" x14ac:dyDescent="0.25">
      <c r="E30" s="230"/>
      <c r="F30" s="177"/>
      <c r="G30" s="254"/>
      <c r="H30" s="255"/>
      <c r="I30" s="255"/>
      <c r="J30" s="255"/>
      <c r="N30" s="256"/>
      <c r="O30" s="173"/>
      <c r="P30" s="173"/>
      <c r="Q30" s="173"/>
    </row>
    <row r="31" spans="1:17" x14ac:dyDescent="0.25">
      <c r="F31" s="236"/>
      <c r="G31" s="255"/>
      <c r="H31" s="237"/>
      <c r="I31" s="237"/>
      <c r="J31" s="237"/>
      <c r="K31" s="257"/>
      <c r="M31" s="48"/>
      <c r="N31" s="173"/>
      <c r="O31" s="85"/>
      <c r="P31" s="85"/>
      <c r="Q31" s="85"/>
    </row>
    <row r="32" spans="1:17" x14ac:dyDescent="0.25">
      <c r="F32" s="236"/>
      <c r="G32" s="255"/>
      <c r="H32" s="237"/>
      <c r="I32" s="237"/>
      <c r="J32" s="237"/>
      <c r="K32" s="257"/>
      <c r="M32" s="48"/>
      <c r="N32" s="173"/>
      <c r="O32" s="85"/>
      <c r="P32" s="85"/>
      <c r="Q32" s="85"/>
    </row>
    <row r="33" spans="2:17" x14ac:dyDescent="0.25">
      <c r="D33" s="48"/>
      <c r="E33" s="149"/>
      <c r="F33" s="236"/>
      <c r="G33" s="255"/>
      <c r="H33" s="237"/>
      <c r="I33" s="237"/>
      <c r="J33" s="237"/>
      <c r="K33" s="257"/>
      <c r="L33" s="149"/>
      <c r="M33" s="48"/>
      <c r="N33" s="173"/>
      <c r="O33" s="85"/>
      <c r="P33" s="85"/>
      <c r="Q33" s="85"/>
    </row>
    <row r="34" spans="2:17" x14ac:dyDescent="0.25">
      <c r="D34" s="48"/>
      <c r="E34" s="230"/>
      <c r="F34" s="236"/>
      <c r="G34" s="255"/>
      <c r="H34" s="237"/>
      <c r="I34" s="237"/>
      <c r="J34" s="237"/>
      <c r="K34" s="251"/>
      <c r="M34" s="48"/>
      <c r="N34" s="173"/>
      <c r="O34" s="85"/>
      <c r="P34" s="85"/>
      <c r="Q34" s="85"/>
    </row>
    <row r="35" spans="2:17" x14ac:dyDescent="0.25">
      <c r="D35" s="48"/>
      <c r="E35" s="230"/>
      <c r="F35" s="236"/>
      <c r="G35" s="255"/>
      <c r="H35" s="237"/>
      <c r="I35" s="237"/>
      <c r="J35" s="237"/>
      <c r="K35" s="251"/>
      <c r="M35" s="48"/>
      <c r="N35" s="173"/>
      <c r="O35" s="85"/>
      <c r="P35" s="85"/>
      <c r="Q35" s="85"/>
    </row>
    <row r="36" spans="2:17" x14ac:dyDescent="0.25">
      <c r="B36" s="258"/>
      <c r="C36" s="258"/>
      <c r="D36" s="258"/>
      <c r="E36" s="259"/>
      <c r="F36" s="260"/>
      <c r="G36" s="259"/>
    </row>
    <row r="37" spans="2:17" x14ac:dyDescent="0.25">
      <c r="B37" s="119"/>
      <c r="C37" s="119"/>
      <c r="D37" s="119"/>
      <c r="E37" s="119"/>
      <c r="F37" s="248"/>
      <c r="G37" s="248"/>
      <c r="H37" s="248"/>
      <c r="I37" s="177"/>
      <c r="J37" s="177"/>
      <c r="P37" s="177"/>
    </row>
    <row r="38" spans="2:17" x14ac:dyDescent="0.25">
      <c r="F38" s="238"/>
      <c r="G38" s="238"/>
      <c r="H38" s="236"/>
      <c r="I38" s="236"/>
      <c r="J38" s="236"/>
      <c r="M38" s="177"/>
      <c r="O38" s="85"/>
      <c r="P38" s="85"/>
      <c r="Q38" s="85"/>
    </row>
    <row r="39" spans="2:17" x14ac:dyDescent="0.25">
      <c r="E39" s="48"/>
      <c r="F39" s="235"/>
      <c r="G39" s="261"/>
      <c r="H39" s="255"/>
      <c r="I39" s="255"/>
      <c r="J39" s="255"/>
      <c r="L39" s="85"/>
      <c r="M39" s="85"/>
      <c r="N39" s="262"/>
      <c r="O39" s="176"/>
      <c r="P39" s="176"/>
      <c r="Q39" s="176"/>
    </row>
    <row r="40" spans="2:17" x14ac:dyDescent="0.25">
      <c r="E40" s="48"/>
      <c r="F40" s="236"/>
      <c r="G40" s="255"/>
      <c r="H40" s="235"/>
      <c r="I40" s="235"/>
      <c r="J40" s="235"/>
      <c r="K40" s="48"/>
      <c r="M40" s="48"/>
      <c r="N40" s="173"/>
      <c r="O40" s="263"/>
      <c r="P40" s="263"/>
      <c r="Q40" s="263"/>
    </row>
    <row r="41" spans="2:17" x14ac:dyDescent="0.25">
      <c r="D41" s="8"/>
      <c r="E41" s="48"/>
      <c r="F41" s="236"/>
      <c r="G41" s="255"/>
      <c r="H41" s="235"/>
      <c r="I41" s="235"/>
      <c r="J41" s="235"/>
      <c r="K41" s="8"/>
      <c r="L41" s="48"/>
      <c r="M41" s="48"/>
      <c r="N41" s="173"/>
      <c r="O41" s="263"/>
      <c r="P41" s="263"/>
      <c r="Q41" s="263"/>
    </row>
    <row r="42" spans="2:17" x14ac:dyDescent="0.25">
      <c r="D42" s="8"/>
      <c r="E42" s="149"/>
      <c r="F42" s="236"/>
      <c r="G42" s="255"/>
      <c r="H42" s="235"/>
      <c r="I42" s="235"/>
      <c r="J42" s="235"/>
      <c r="K42" s="8"/>
      <c r="L42" s="149"/>
      <c r="M42" s="48"/>
      <c r="N42" s="173"/>
      <c r="O42" s="263"/>
      <c r="P42" s="263"/>
      <c r="Q42" s="263"/>
    </row>
    <row r="43" spans="2:17" x14ac:dyDescent="0.25">
      <c r="D43" s="8"/>
      <c r="E43" s="48"/>
      <c r="F43" s="236"/>
      <c r="G43" s="255"/>
      <c r="H43" s="235"/>
      <c r="I43" s="235"/>
      <c r="J43" s="235"/>
      <c r="K43" s="8"/>
      <c r="L43" s="48"/>
      <c r="M43" s="48"/>
      <c r="N43" s="173"/>
      <c r="O43" s="263"/>
      <c r="P43" s="263"/>
      <c r="Q43" s="263"/>
    </row>
    <row r="44" spans="2:17" x14ac:dyDescent="0.25">
      <c r="D44" s="8"/>
      <c r="E44" s="8"/>
      <c r="F44" s="236"/>
      <c r="G44" s="255"/>
      <c r="H44" s="235"/>
      <c r="I44" s="235"/>
      <c r="J44" s="235"/>
      <c r="K44" s="8"/>
      <c r="L44" s="48"/>
      <c r="M44" s="48"/>
      <c r="N44" s="173"/>
      <c r="O44" s="263"/>
      <c r="P44" s="263"/>
      <c r="Q44" s="263"/>
    </row>
    <row r="45" spans="2:17" x14ac:dyDescent="0.25">
      <c r="D45" s="8"/>
      <c r="E45" s="8"/>
      <c r="F45" s="85"/>
      <c r="G45" s="85"/>
      <c r="H45" s="85"/>
      <c r="J45" s="8"/>
      <c r="K45" s="8"/>
      <c r="L45" s="48"/>
      <c r="M45" s="48"/>
      <c r="N45" s="48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88a26cf8-717e-46a4-ac0d-03f11284dc6b"/>
    <ds:schemaRef ds:uri="http://www.w3.org/XML/1998/namespace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Assumptions</vt:lpstr>
      <vt:lpstr>Revenue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2025-12-09T20:49:52Z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