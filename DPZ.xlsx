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342" documentId="13_ncr:1_{B9808BB8-CB31-4D61-A479-9DE040827353}" xr6:coauthVersionLast="47" xr6:coauthVersionMax="47" xr10:uidLastSave="{CB40E54A-450E-4861-91DE-D7DE48F46348}"/>
  <bookViews>
    <workbookView xWindow="-105" yWindow="0" windowWidth="14610" windowHeight="163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8" i="12"/>
  <c r="K11" i="12" s="1"/>
  <c r="K7" i="12"/>
  <c r="K10" i="12"/>
  <c r="K6" i="3"/>
  <c r="J6" i="3"/>
  <c r="I6" i="3"/>
  <c r="J5" i="3"/>
  <c r="I5" i="3"/>
  <c r="G14" i="12"/>
  <c r="C17" i="12"/>
  <c r="G17" i="12" s="1"/>
  <c r="C13" i="12"/>
  <c r="G13" i="12" s="1"/>
  <c r="C12" i="12"/>
  <c r="G12" i="12" s="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8" i="10"/>
  <c r="H8" i="10"/>
  <c r="I8" i="10"/>
  <c r="J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15" i="10"/>
  <c r="H15" i="10"/>
  <c r="I15" i="10"/>
  <c r="J15" i="10"/>
  <c r="F13" i="10"/>
  <c r="F12" i="10"/>
  <c r="F11" i="10"/>
  <c r="F10" i="10"/>
  <c r="F9" i="10"/>
  <c r="F15" i="10"/>
  <c r="F8" i="10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1" i="9"/>
  <c r="H11" i="9"/>
  <c r="I11" i="9"/>
  <c r="J11" i="9"/>
  <c r="G12" i="9"/>
  <c r="H12" i="9"/>
  <c r="I12" i="9"/>
  <c r="J12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17" i="8"/>
  <c r="G19" i="5" s="1"/>
  <c r="G25" i="5" s="1"/>
  <c r="H17" i="8"/>
  <c r="H19" i="5" s="1"/>
  <c r="H25" i="5" s="1"/>
  <c r="I26" i="5" s="1"/>
  <c r="I17" i="8"/>
  <c r="I19" i="5" s="1"/>
  <c r="I25" i="5" s="1"/>
  <c r="J17" i="8"/>
  <c r="J19" i="5" s="1"/>
  <c r="J25" i="5" s="1"/>
  <c r="G19" i="8"/>
  <c r="G20" i="5" s="1"/>
  <c r="H19" i="8"/>
  <c r="H20" i="5" s="1"/>
  <c r="I19" i="8"/>
  <c r="I20" i="5" s="1"/>
  <c r="J19" i="8"/>
  <c r="J20" i="5" s="1"/>
  <c r="G20" i="8"/>
  <c r="G21" i="5" s="1"/>
  <c r="H20" i="8"/>
  <c r="H21" i="5" s="1"/>
  <c r="I20" i="8"/>
  <c r="I21" i="5" s="1"/>
  <c r="J20" i="8"/>
  <c r="J21" i="5" s="1"/>
  <c r="G21" i="8"/>
  <c r="G22" i="5" s="1"/>
  <c r="H21" i="8"/>
  <c r="H22" i="5" s="1"/>
  <c r="I21" i="8"/>
  <c r="I22" i="5" s="1"/>
  <c r="J21" i="8"/>
  <c r="J22" i="5" s="1"/>
  <c r="G24" i="8"/>
  <c r="G28" i="8" s="1"/>
  <c r="H24" i="8"/>
  <c r="H28" i="8" s="1"/>
  <c r="I24" i="8"/>
  <c r="J24" i="8"/>
  <c r="G25" i="8"/>
  <c r="H25" i="8"/>
  <c r="I25" i="8" s="1"/>
  <c r="J25" i="8" s="1"/>
  <c r="G26" i="8"/>
  <c r="H26" i="8"/>
  <c r="I26" i="8"/>
  <c r="J26" i="8"/>
  <c r="G27" i="8"/>
  <c r="H27" i="8"/>
  <c r="I27" i="8"/>
  <c r="J27" i="8"/>
  <c r="G33" i="8"/>
  <c r="H33" i="8"/>
  <c r="I33" i="8"/>
  <c r="J33" i="8"/>
  <c r="G34" i="8"/>
  <c r="H34" i="8"/>
  <c r="I34" i="8"/>
  <c r="J34" i="8"/>
  <c r="G37" i="8"/>
  <c r="H37" i="8"/>
  <c r="I37" i="8"/>
  <c r="J37" i="8"/>
  <c r="G38" i="8"/>
  <c r="H38" i="8"/>
  <c r="I38" i="8"/>
  <c r="J38" i="8"/>
  <c r="G39" i="8"/>
  <c r="H39" i="8"/>
  <c r="I39" i="8"/>
  <c r="J39" i="8"/>
  <c r="G16" i="7"/>
  <c r="G7" i="5" s="1"/>
  <c r="H16" i="7"/>
  <c r="H7" i="5" s="1"/>
  <c r="I16" i="7"/>
  <c r="I7" i="5" s="1"/>
  <c r="J16" i="7"/>
  <c r="J7" i="5" s="1"/>
  <c r="G17" i="7"/>
  <c r="H17" i="7"/>
  <c r="I17" i="7"/>
  <c r="J17" i="7"/>
  <c r="G18" i="7"/>
  <c r="H18" i="7"/>
  <c r="I18" i="7"/>
  <c r="J18" i="7"/>
  <c r="G19" i="7"/>
  <c r="H19" i="7"/>
  <c r="I19" i="7"/>
  <c r="J19" i="7"/>
  <c r="G21" i="7"/>
  <c r="G22" i="7"/>
  <c r="H22" i="7"/>
  <c r="I22" i="7"/>
  <c r="J22" i="7"/>
  <c r="G23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J31" i="7" s="1"/>
  <c r="H31" i="7"/>
  <c r="H33" i="7" s="1"/>
  <c r="H34" i="7" s="1"/>
  <c r="H40" i="7" s="1"/>
  <c r="I31" i="7"/>
  <c r="G35" i="7"/>
  <c r="H35" i="7"/>
  <c r="I35" i="7"/>
  <c r="I36" i="7" s="1"/>
  <c r="I15" i="5" s="1"/>
  <c r="J35" i="7"/>
  <c r="H36" i="7"/>
  <c r="H15" i="5" s="1"/>
  <c r="J36" i="7"/>
  <c r="J15" i="5" s="1"/>
  <c r="G38" i="7"/>
  <c r="G36" i="7" s="1"/>
  <c r="G15" i="5" s="1"/>
  <c r="H38" i="7"/>
  <c r="I38" i="7"/>
  <c r="J38" i="7"/>
  <c r="G39" i="7"/>
  <c r="H39" i="7"/>
  <c r="I39" i="7"/>
  <c r="J39" i="7"/>
  <c r="G13" i="6"/>
  <c r="H13" i="6"/>
  <c r="I13" i="6"/>
  <c r="J13" i="6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6" i="6"/>
  <c r="G30" i="6"/>
  <c r="H30" i="6"/>
  <c r="I30" i="6"/>
  <c r="J30" i="6"/>
  <c r="G32" i="6"/>
  <c r="H32" i="6"/>
  <c r="I32" i="6"/>
  <c r="J32" i="6"/>
  <c r="G6" i="5"/>
  <c r="G8" i="5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G23" i="5"/>
  <c r="H23" i="5"/>
  <c r="I23" i="5"/>
  <c r="J23" i="5"/>
  <c r="G24" i="5"/>
  <c r="H24" i="5"/>
  <c r="I24" i="5"/>
  <c r="J24" i="5"/>
  <c r="F29" i="7"/>
  <c r="F28" i="7"/>
  <c r="F31" i="7" s="1"/>
  <c r="F13" i="6"/>
  <c r="B22" i="9"/>
  <c r="F21" i="9"/>
  <c r="F17" i="9"/>
  <c r="F16" i="9"/>
  <c r="F15" i="9"/>
  <c r="F14" i="9"/>
  <c r="F12" i="9"/>
  <c r="F11" i="9"/>
  <c r="F8" i="9"/>
  <c r="F7" i="9"/>
  <c r="F6" i="9"/>
  <c r="F26" i="5"/>
  <c r="F24" i="5"/>
  <c r="F23" i="5"/>
  <c r="F22" i="5"/>
  <c r="F21" i="5"/>
  <c r="F20" i="5"/>
  <c r="F19" i="5"/>
  <c r="F25" i="5" s="1"/>
  <c r="E25" i="5"/>
  <c r="E24" i="5"/>
  <c r="E23" i="5"/>
  <c r="E22" i="5"/>
  <c r="E21" i="5"/>
  <c r="E20" i="5"/>
  <c r="E19" i="5"/>
  <c r="F16" i="5"/>
  <c r="F15" i="5"/>
  <c r="F13" i="5"/>
  <c r="E17" i="5"/>
  <c r="F5" i="9"/>
  <c r="F37" i="8"/>
  <c r="F32" i="6"/>
  <c r="F26" i="6"/>
  <c r="F22" i="6"/>
  <c r="E23" i="13"/>
  <c r="E24" i="13"/>
  <c r="D25" i="13"/>
  <c r="C25" i="13"/>
  <c r="E25" i="13"/>
  <c r="F20" i="6"/>
  <c r="F19" i="6"/>
  <c r="F18" i="6"/>
  <c r="F17" i="6"/>
  <c r="E20" i="6"/>
  <c r="F38" i="8"/>
  <c r="F34" i="8"/>
  <c r="F33" i="8"/>
  <c r="F27" i="8"/>
  <c r="F26" i="8"/>
  <c r="F25" i="8"/>
  <c r="F24" i="8"/>
  <c r="F21" i="7"/>
  <c r="F4" i="9" s="1"/>
  <c r="F9" i="5"/>
  <c r="F8" i="5"/>
  <c r="F7" i="5"/>
  <c r="F6" i="5"/>
  <c r="E9" i="5"/>
  <c r="F21" i="8"/>
  <c r="F20" i="8"/>
  <c r="F19" i="8"/>
  <c r="F17" i="8"/>
  <c r="G17" i="13"/>
  <c r="H17" i="13"/>
  <c r="I17" i="13"/>
  <c r="J17" i="13"/>
  <c r="F17" i="13"/>
  <c r="D35" i="7"/>
  <c r="C35" i="7"/>
  <c r="E35" i="7"/>
  <c r="F39" i="7"/>
  <c r="F38" i="7"/>
  <c r="F26" i="7"/>
  <c r="F25" i="7"/>
  <c r="F22" i="7"/>
  <c r="F23" i="7"/>
  <c r="F19" i="7"/>
  <c r="F18" i="7"/>
  <c r="F17" i="7"/>
  <c r="F16" i="7"/>
  <c r="C32" i="13"/>
  <c r="D32" i="13"/>
  <c r="E32" i="13"/>
  <c r="F12" i="13"/>
  <c r="G11" i="13"/>
  <c r="H11" i="13"/>
  <c r="I11" i="13"/>
  <c r="J11" i="13"/>
  <c r="F11" i="13"/>
  <c r="C38" i="8"/>
  <c r="C37" i="8"/>
  <c r="C34" i="8"/>
  <c r="C33" i="8"/>
  <c r="C25" i="8"/>
  <c r="C27" i="8"/>
  <c r="C24" i="8"/>
  <c r="C21" i="8"/>
  <c r="C18" i="8"/>
  <c r="D38" i="8"/>
  <c r="D37" i="8"/>
  <c r="E38" i="8"/>
  <c r="E37" i="8"/>
  <c r="D34" i="8"/>
  <c r="D33" i="8"/>
  <c r="E34" i="8"/>
  <c r="E33" i="8"/>
  <c r="D25" i="8"/>
  <c r="D27" i="8"/>
  <c r="E27" i="8"/>
  <c r="E25" i="8"/>
  <c r="E26" i="8"/>
  <c r="D24" i="8"/>
  <c r="E24" i="8"/>
  <c r="D21" i="8"/>
  <c r="E21" i="8"/>
  <c r="D17" i="8"/>
  <c r="D18" i="8" s="1"/>
  <c r="C17" i="8"/>
  <c r="E17" i="8"/>
  <c r="E18" i="8"/>
  <c r="C18" i="7"/>
  <c r="D18" i="7"/>
  <c r="E18" i="7"/>
  <c r="D36" i="13"/>
  <c r="E36" i="13"/>
  <c r="F36" i="13"/>
  <c r="G36" i="13"/>
  <c r="H36" i="13"/>
  <c r="I36" i="13"/>
  <c r="J36" i="13"/>
  <c r="C36" i="13"/>
  <c r="E2" i="6"/>
  <c r="F2" i="6" s="1"/>
  <c r="G2" i="6" s="1"/>
  <c r="H2" i="6" s="1"/>
  <c r="I2" i="6" s="1"/>
  <c r="J2" i="6" s="1"/>
  <c r="D2" i="6"/>
  <c r="F8" i="3"/>
  <c r="F7" i="3"/>
  <c r="J33" i="7" l="1"/>
  <c r="J34" i="7" s="1"/>
  <c r="G31" i="7"/>
  <c r="G26" i="5"/>
  <c r="H26" i="5"/>
  <c r="I28" i="8"/>
  <c r="J28" i="8"/>
  <c r="J26" i="5"/>
  <c r="G9" i="5"/>
  <c r="H6" i="5" s="1"/>
  <c r="I33" i="7"/>
  <c r="I34" i="7" s="1"/>
  <c r="H41" i="7"/>
  <c r="H14" i="5"/>
  <c r="I17" i="6"/>
  <c r="I20" i="6" s="1"/>
  <c r="H26" i="6"/>
  <c r="H22" i="6"/>
  <c r="H8" i="5"/>
  <c r="F33" i="7"/>
  <c r="F34" i="7" s="1"/>
  <c r="D17" i="13"/>
  <c r="C17" i="13"/>
  <c r="E14" i="13"/>
  <c r="D40" i="13"/>
  <c r="D14" i="13"/>
  <c r="E48" i="13"/>
  <c r="F48" i="13" s="1"/>
  <c r="F12" i="8" s="1"/>
  <c r="E12" i="13"/>
  <c r="D10" i="13"/>
  <c r="E10" i="13"/>
  <c r="D33" i="13"/>
  <c r="E33" i="13"/>
  <c r="F33" i="13" s="1"/>
  <c r="G33" i="13" s="1"/>
  <c r="H33" i="13" s="1"/>
  <c r="I33" i="13" s="1"/>
  <c r="J33" i="13" s="1"/>
  <c r="E50" i="13"/>
  <c r="D50" i="13"/>
  <c r="C50" i="13"/>
  <c r="E49" i="13"/>
  <c r="D49" i="13"/>
  <c r="C49" i="13"/>
  <c r="C48" i="13"/>
  <c r="E43" i="13"/>
  <c r="F43" i="13" s="1"/>
  <c r="G43" i="13" s="1"/>
  <c r="D43" i="13"/>
  <c r="C43" i="13"/>
  <c r="E44" i="13"/>
  <c r="D44" i="13"/>
  <c r="C44" i="13"/>
  <c r="E41" i="13"/>
  <c r="F41" i="13" s="1"/>
  <c r="D41" i="13"/>
  <c r="C41" i="13"/>
  <c r="C40" i="13"/>
  <c r="E39" i="13"/>
  <c r="D39" i="13"/>
  <c r="C39" i="13"/>
  <c r="E38" i="13"/>
  <c r="D38" i="13"/>
  <c r="C38" i="13"/>
  <c r="E1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F4" i="10"/>
  <c r="F3" i="10"/>
  <c r="F6" i="3"/>
  <c r="G8" i="13"/>
  <c r="H8" i="13"/>
  <c r="I8" i="13"/>
  <c r="J8" i="13"/>
  <c r="F8" i="13"/>
  <c r="G7" i="13"/>
  <c r="H7" i="13"/>
  <c r="I7" i="13"/>
  <c r="J7" i="13"/>
  <c r="F7" i="13"/>
  <c r="E2" i="8"/>
  <c r="E16" i="8" s="1"/>
  <c r="D2" i="8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46" i="13" s="1"/>
  <c r="D2" i="13"/>
  <c r="E2" i="13" s="1"/>
  <c r="G8" i="7"/>
  <c r="H8" i="7"/>
  <c r="I8" i="7"/>
  <c r="J8" i="7"/>
  <c r="G9" i="7"/>
  <c r="H9" i="7"/>
  <c r="I9" i="7"/>
  <c r="J9" i="7"/>
  <c r="A1" i="10"/>
  <c r="C22" i="8"/>
  <c r="D22" i="8"/>
  <c r="E22" i="8"/>
  <c r="D28" i="8"/>
  <c r="C28" i="8"/>
  <c r="E28" i="8"/>
  <c r="E35" i="8"/>
  <c r="C35" i="8"/>
  <c r="D35" i="8"/>
  <c r="C39" i="8"/>
  <c r="C42" i="8" s="1"/>
  <c r="D39" i="8"/>
  <c r="D42" i="8" s="1"/>
  <c r="E39" i="8"/>
  <c r="C10" i="5"/>
  <c r="C18" i="5" s="1"/>
  <c r="D2" i="5"/>
  <c r="E2" i="5" s="1"/>
  <c r="G10" i="13"/>
  <c r="G4" i="7" s="1"/>
  <c r="H10" i="13"/>
  <c r="H4" i="7" s="1"/>
  <c r="I10" i="13"/>
  <c r="I4" i="7" s="1"/>
  <c r="J10" i="13"/>
  <c r="J4" i="7" s="1"/>
  <c r="F32" i="13"/>
  <c r="F3" i="5" s="1"/>
  <c r="C11" i="6"/>
  <c r="C30" i="6" s="1"/>
  <c r="F24" i="13"/>
  <c r="F23" i="13"/>
  <c r="F4" i="6" s="1"/>
  <c r="F25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B21" i="5"/>
  <c r="G9" i="6"/>
  <c r="H9" i="6"/>
  <c r="I9" i="6"/>
  <c r="J9" i="6"/>
  <c r="J8" i="6"/>
  <c r="I8" i="6"/>
  <c r="H8" i="6"/>
  <c r="G8" i="6"/>
  <c r="E2" i="12"/>
  <c r="F8" i="7"/>
  <c r="F2" i="12" l="1"/>
  <c r="J14" i="5"/>
  <c r="J41" i="7"/>
  <c r="J40" i="7"/>
  <c r="G33" i="7"/>
  <c r="G34" i="7"/>
  <c r="G14" i="5"/>
  <c r="G41" i="7"/>
  <c r="G40" i="7"/>
  <c r="I40" i="7"/>
  <c r="I14" i="5"/>
  <c r="I41" i="7"/>
  <c r="H9" i="5"/>
  <c r="I6" i="5" s="1"/>
  <c r="H21" i="7"/>
  <c r="H23" i="7" s="1"/>
  <c r="J17" i="6"/>
  <c r="J20" i="6" s="1"/>
  <c r="I26" i="6"/>
  <c r="I22" i="6"/>
  <c r="I8" i="5"/>
  <c r="F40" i="7"/>
  <c r="F14" i="5"/>
  <c r="F17" i="5" s="1"/>
  <c r="F41" i="7"/>
  <c r="G24" i="13"/>
  <c r="E11" i="11"/>
  <c r="C23" i="7"/>
  <c r="C34" i="7"/>
  <c r="F11" i="7"/>
  <c r="F35" i="7" s="1"/>
  <c r="F36" i="7" s="1"/>
  <c r="D11" i="13"/>
  <c r="D48" i="13"/>
  <c r="D19" i="7"/>
  <c r="D23" i="7" s="1"/>
  <c r="E40" i="13"/>
  <c r="F40" i="13" s="1"/>
  <c r="F6" i="8" s="1"/>
  <c r="E11" i="13"/>
  <c r="F9" i="3"/>
  <c r="D21" i="13"/>
  <c r="D30" i="13" s="1"/>
  <c r="D46" i="13" s="1"/>
  <c r="F2" i="13"/>
  <c r="E21" i="13"/>
  <c r="E30" i="13" s="1"/>
  <c r="E46" i="13" s="1"/>
  <c r="F2" i="8"/>
  <c r="F11" i="6"/>
  <c r="F30" i="6" s="1"/>
  <c r="E11" i="6"/>
  <c r="E16" i="6" s="1"/>
  <c r="E24" i="6" s="1"/>
  <c r="E30" i="6"/>
  <c r="F5" i="6"/>
  <c r="F21" i="6" s="1"/>
  <c r="F10" i="8"/>
  <c r="G25" i="13"/>
  <c r="G6" i="6" s="1"/>
  <c r="G48" i="13"/>
  <c r="G13" i="13"/>
  <c r="G23" i="13"/>
  <c r="G4" i="6" s="1"/>
  <c r="D10" i="5"/>
  <c r="D18" i="5" s="1"/>
  <c r="E10" i="5"/>
  <c r="E18" i="5" s="1"/>
  <c r="F2" i="5"/>
  <c r="D30" i="6"/>
  <c r="D30" i="8"/>
  <c r="D44" i="8" s="1"/>
  <c r="C16" i="6"/>
  <c r="C24" i="6" s="1"/>
  <c r="E42" i="8"/>
  <c r="E30" i="8"/>
  <c r="C30" i="8"/>
  <c r="C44" i="8" s="1"/>
  <c r="G10" i="8"/>
  <c r="H43" i="13"/>
  <c r="H10" i="8" s="1"/>
  <c r="G32" i="13"/>
  <c r="F4" i="5"/>
  <c r="G4" i="5" s="1"/>
  <c r="H4" i="5" s="1"/>
  <c r="I4" i="5" s="1"/>
  <c r="J4" i="5" s="1"/>
  <c r="F7" i="8"/>
  <c r="G41" i="13"/>
  <c r="F38" i="13"/>
  <c r="F49" i="13"/>
  <c r="F39" i="13"/>
  <c r="E19" i="7"/>
  <c r="E23" i="7" s="1"/>
  <c r="F44" i="13"/>
  <c r="F50" i="13"/>
  <c r="F41" i="8" l="1"/>
  <c r="G13" i="5"/>
  <c r="G17" i="5" s="1"/>
  <c r="G2" i="12"/>
  <c r="I9" i="5"/>
  <c r="J6" i="5" s="1"/>
  <c r="I21" i="7"/>
  <c r="I23" i="7" s="1"/>
  <c r="J26" i="6"/>
  <c r="J22" i="6"/>
  <c r="J8" i="5"/>
  <c r="C39" i="7"/>
  <c r="C19" i="13" s="1"/>
  <c r="C38" i="7"/>
  <c r="C18" i="13" s="1"/>
  <c r="H24" i="13"/>
  <c r="G5" i="6"/>
  <c r="D31" i="7"/>
  <c r="G40" i="13"/>
  <c r="H40" i="13" s="1"/>
  <c r="H6" i="8" s="1"/>
  <c r="G2" i="13"/>
  <c r="F21" i="13"/>
  <c r="F30" i="13" s="1"/>
  <c r="F46" i="13" s="1"/>
  <c r="F16" i="8"/>
  <c r="G2" i="8"/>
  <c r="G11" i="6"/>
  <c r="F16" i="6"/>
  <c r="F24" i="6" s="1"/>
  <c r="E44" i="8"/>
  <c r="H25" i="13"/>
  <c r="I25" i="13" s="1"/>
  <c r="I43" i="13"/>
  <c r="H23" i="13"/>
  <c r="H13" i="13"/>
  <c r="G7" i="7"/>
  <c r="G12" i="8"/>
  <c r="H48" i="13"/>
  <c r="G2" i="5"/>
  <c r="F10" i="5"/>
  <c r="F18" i="5" s="1"/>
  <c r="H32" i="13"/>
  <c r="G3" i="5"/>
  <c r="H4" i="6"/>
  <c r="I23" i="13"/>
  <c r="J43" i="13"/>
  <c r="I10" i="8"/>
  <c r="F5" i="8"/>
  <c r="G39" i="13"/>
  <c r="G38" i="13"/>
  <c r="H38" i="13" s="1"/>
  <c r="I38" i="13" s="1"/>
  <c r="J38" i="13" s="1"/>
  <c r="F4" i="8"/>
  <c r="G12" i="13"/>
  <c r="F14" i="8"/>
  <c r="G50" i="13"/>
  <c r="G44" i="13"/>
  <c r="F9" i="8"/>
  <c r="E31" i="7"/>
  <c r="F13" i="8"/>
  <c r="G49" i="13"/>
  <c r="G7" i="8"/>
  <c r="H41" i="13"/>
  <c r="G41" i="8" l="1"/>
  <c r="H13" i="5"/>
  <c r="H17" i="5" s="1"/>
  <c r="H2" i="12"/>
  <c r="H41" i="8"/>
  <c r="I13" i="5"/>
  <c r="I17" i="5" s="1"/>
  <c r="J9" i="5"/>
  <c r="J21" i="7"/>
  <c r="J23" i="7" s="1"/>
  <c r="H5" i="6"/>
  <c r="I24" i="13"/>
  <c r="G11" i="7"/>
  <c r="I40" i="13"/>
  <c r="G6" i="8"/>
  <c r="D34" i="7"/>
  <c r="D16" i="13"/>
  <c r="E34" i="7"/>
  <c r="E16" i="13"/>
  <c r="H2" i="13"/>
  <c r="G21" i="13"/>
  <c r="G30" i="13" s="1"/>
  <c r="G46" i="13" s="1"/>
  <c r="G16" i="8"/>
  <c r="H2" i="8"/>
  <c r="H11" i="6"/>
  <c r="H6" i="6"/>
  <c r="H12" i="8"/>
  <c r="I48" i="13"/>
  <c r="G5" i="7"/>
  <c r="I13" i="13"/>
  <c r="H7" i="7"/>
  <c r="H12" i="13"/>
  <c r="G6" i="7"/>
  <c r="H2" i="5"/>
  <c r="I4" i="6"/>
  <c r="J23" i="13"/>
  <c r="I32" i="13"/>
  <c r="H3" i="5"/>
  <c r="J10" i="8"/>
  <c r="J25" i="13"/>
  <c r="I6" i="6"/>
  <c r="F28" i="8"/>
  <c r="H49" i="13"/>
  <c r="G13" i="8"/>
  <c r="F5" i="7"/>
  <c r="H44" i="13"/>
  <c r="G9" i="8"/>
  <c r="H50" i="13"/>
  <c r="G14" i="8"/>
  <c r="F39" i="8"/>
  <c r="I41" i="13"/>
  <c r="H7" i="8"/>
  <c r="F6" i="7"/>
  <c r="G4" i="8"/>
  <c r="H39" i="13"/>
  <c r="G5" i="8"/>
  <c r="J13" i="5" l="1"/>
  <c r="J17" i="5" s="1"/>
  <c r="J41" i="8" s="1"/>
  <c r="I41" i="8"/>
  <c r="J24" i="13"/>
  <c r="J5" i="6" s="1"/>
  <c r="I5" i="6"/>
  <c r="D38" i="7"/>
  <c r="D18" i="13" s="1"/>
  <c r="D39" i="7"/>
  <c r="D19" i="13" s="1"/>
  <c r="E39" i="7"/>
  <c r="E19" i="13" s="1"/>
  <c r="E38" i="7"/>
  <c r="E18" i="13" s="1"/>
  <c r="F18" i="13" s="1"/>
  <c r="H11" i="7"/>
  <c r="J40" i="13"/>
  <c r="J6" i="8" s="1"/>
  <c r="I6" i="8"/>
  <c r="G16" i="13"/>
  <c r="F5" i="10"/>
  <c r="E4" i="11"/>
  <c r="L4" i="11" s="1"/>
  <c r="L5" i="11" s="1"/>
  <c r="L6" i="11" s="1"/>
  <c r="L7" i="11" s="1"/>
  <c r="I2" i="13"/>
  <c r="H21" i="13"/>
  <c r="H30" i="13" s="1"/>
  <c r="H46" i="13" s="1"/>
  <c r="I2" i="8"/>
  <c r="H16" i="8"/>
  <c r="J11" i="6"/>
  <c r="I11" i="6"/>
  <c r="I12" i="13"/>
  <c r="H6" i="7"/>
  <c r="J13" i="13"/>
  <c r="I7" i="7"/>
  <c r="H5" i="7"/>
  <c r="J48" i="13"/>
  <c r="I12" i="8"/>
  <c r="I2" i="5"/>
  <c r="I3" i="5"/>
  <c r="J32" i="13"/>
  <c r="J4" i="6"/>
  <c r="J6" i="6"/>
  <c r="J41" i="13"/>
  <c r="I7" i="8"/>
  <c r="H14" i="8"/>
  <c r="I50" i="13"/>
  <c r="I44" i="13"/>
  <c r="H9" i="8"/>
  <c r="I39" i="13"/>
  <c r="H5" i="8"/>
  <c r="H4" i="8"/>
  <c r="I49" i="13"/>
  <c r="H13" i="8"/>
  <c r="J11" i="7" l="1"/>
  <c r="I11" i="7"/>
  <c r="G10" i="7"/>
  <c r="H16" i="13"/>
  <c r="J2" i="13"/>
  <c r="J21" i="13" s="1"/>
  <c r="J30" i="13" s="1"/>
  <c r="J46" i="13" s="1"/>
  <c r="I21" i="13"/>
  <c r="I30" i="13" s="1"/>
  <c r="I46" i="13" s="1"/>
  <c r="G18" i="13"/>
  <c r="I16" i="8"/>
  <c r="J2" i="8"/>
  <c r="J16" i="8" s="1"/>
  <c r="J12" i="8"/>
  <c r="I5" i="7"/>
  <c r="J7" i="7"/>
  <c r="I6" i="7"/>
  <c r="J12" i="13"/>
  <c r="J2" i="5"/>
  <c r="J3" i="5"/>
  <c r="I4" i="8"/>
  <c r="F19" i="13"/>
  <c r="I5" i="8"/>
  <c r="J39" i="13"/>
  <c r="J44" i="13"/>
  <c r="I9" i="8"/>
  <c r="I14" i="8"/>
  <c r="J50" i="13"/>
  <c r="J7" i="8"/>
  <c r="J49" i="13"/>
  <c r="I13" i="8"/>
  <c r="F10" i="7"/>
  <c r="E12" i="11"/>
  <c r="F12" i="7"/>
  <c r="H10" i="7" l="1"/>
  <c r="I16" i="13"/>
  <c r="G12" i="7"/>
  <c r="G19" i="13"/>
  <c r="H18" i="13"/>
  <c r="J6" i="7"/>
  <c r="J5" i="7"/>
  <c r="J9" i="8"/>
  <c r="M4" i="11"/>
  <c r="J14" i="8"/>
  <c r="J13" i="8"/>
  <c r="F7" i="10"/>
  <c r="J5" i="8"/>
  <c r="F13" i="7"/>
  <c r="J4" i="8"/>
  <c r="G13" i="7" l="1"/>
  <c r="I18" i="13"/>
  <c r="H19" i="13"/>
  <c r="H13" i="7" s="1"/>
  <c r="H12" i="7"/>
  <c r="J16" i="13"/>
  <c r="J10" i="7" s="1"/>
  <c r="I10" i="7"/>
  <c r="F3" i="9"/>
  <c r="F9" i="9" s="1"/>
  <c r="F19" i="9" s="1"/>
  <c r="F22" i="9" s="1"/>
  <c r="F23" i="9" s="1"/>
  <c r="G21" i="9" s="1"/>
  <c r="M5" i="11"/>
  <c r="F18" i="8" l="1"/>
  <c r="F31" i="6" s="1"/>
  <c r="F33" i="6" s="1"/>
  <c r="F32" i="8"/>
  <c r="J18" i="13"/>
  <c r="I12" i="7"/>
  <c r="I19" i="13"/>
  <c r="J19" i="13" s="1"/>
  <c r="G3" i="9"/>
  <c r="G9" i="9" s="1"/>
  <c r="G19" i="9" s="1"/>
  <c r="G22" i="9" s="1"/>
  <c r="G23" i="9" s="1"/>
  <c r="H21" i="9" s="1"/>
  <c r="M6" i="11"/>
  <c r="M7" i="11"/>
  <c r="G18" i="8" l="1"/>
  <c r="G32" i="8"/>
  <c r="E10" i="11"/>
  <c r="E9" i="11" s="1"/>
  <c r="F12" i="6"/>
  <c r="I13" i="7"/>
  <c r="J12" i="7"/>
  <c r="J13" i="7"/>
  <c r="M9" i="11"/>
  <c r="H3" i="9"/>
  <c r="H9" i="9" s="1"/>
  <c r="H19" i="9" s="1"/>
  <c r="H22" i="9" s="1"/>
  <c r="H23" i="9" s="1"/>
  <c r="I21" i="9" s="1"/>
  <c r="F22" i="8"/>
  <c r="F30" i="8" s="1"/>
  <c r="F35" i="8"/>
  <c r="G31" i="6" l="1"/>
  <c r="G33" i="6" s="1"/>
  <c r="G22" i="8"/>
  <c r="G30" i="8" s="1"/>
  <c r="G12" i="6"/>
  <c r="G35" i="8"/>
  <c r="G42" i="8" s="1"/>
  <c r="F14" i="6"/>
  <c r="F28" i="6" s="1"/>
  <c r="F25" i="6"/>
  <c r="F27" i="6" s="1"/>
  <c r="M11" i="11"/>
  <c r="E8" i="11" s="1"/>
  <c r="E13" i="11" s="1"/>
  <c r="K17" i="12" s="1"/>
  <c r="F42" i="8"/>
  <c r="F44" i="8" s="1"/>
  <c r="J3" i="9"/>
  <c r="J9" i="9" s="1"/>
  <c r="J19" i="9" s="1"/>
  <c r="J22" i="9" s="1"/>
  <c r="I3" i="9"/>
  <c r="I9" i="9" s="1"/>
  <c r="I19" i="9" s="1"/>
  <c r="I22" i="9" s="1"/>
  <c r="I23" i="9" s="1"/>
  <c r="J21" i="9" s="1"/>
  <c r="J23" i="9" l="1"/>
  <c r="G3" i="12"/>
  <c r="G4" i="12" s="1"/>
  <c r="H3" i="12"/>
  <c r="F3" i="12"/>
  <c r="F4" i="12" s="1"/>
  <c r="E3" i="12"/>
  <c r="E4" i="12" s="1"/>
  <c r="D3" i="12"/>
  <c r="D4" i="12" s="1"/>
  <c r="H32" i="8"/>
  <c r="H18" i="8"/>
  <c r="G14" i="6"/>
  <c r="G28" i="6" s="1"/>
  <c r="G25" i="6"/>
  <c r="G27" i="6" s="1"/>
  <c r="G44" i="8"/>
  <c r="G8" i="12" l="1"/>
  <c r="H4" i="12"/>
  <c r="H35" i="8"/>
  <c r="H42" i="8" s="1"/>
  <c r="H12" i="6"/>
  <c r="H22" i="8"/>
  <c r="H30" i="8" s="1"/>
  <c r="H31" i="6"/>
  <c r="H33" i="6" s="1"/>
  <c r="C7" i="12" l="1"/>
  <c r="H5" i="12"/>
  <c r="C8" i="12" s="1"/>
  <c r="H25" i="6"/>
  <c r="H27" i="6" s="1"/>
  <c r="H14" i="6"/>
  <c r="H28" i="6" s="1"/>
  <c r="I18" i="8"/>
  <c r="I32" i="8"/>
  <c r="H44" i="8"/>
  <c r="C9" i="12" l="1"/>
  <c r="C15" i="12" s="1"/>
  <c r="C18" i="12" s="1"/>
  <c r="G7" i="12"/>
  <c r="G9" i="12" s="1"/>
  <c r="G15" i="12" s="1"/>
  <c r="G18" i="12" s="1"/>
  <c r="I22" i="8"/>
  <c r="I30" i="8" s="1"/>
  <c r="I31" i="6"/>
  <c r="I33" i="6" s="1"/>
  <c r="I12" i="6"/>
  <c r="I35" i="8"/>
  <c r="I42" i="8" s="1"/>
  <c r="J32" i="8" l="1"/>
  <c r="J18" i="8"/>
  <c r="I25" i="6"/>
  <c r="I27" i="6" s="1"/>
  <c r="I14" i="6"/>
  <c r="I28" i="6" s="1"/>
  <c r="I44" i="8"/>
  <c r="J12" i="6" l="1"/>
  <c r="J35" i="8"/>
  <c r="J42" i="8" s="1"/>
  <c r="J22" i="8"/>
  <c r="J30" i="8" s="1"/>
  <c r="J31" i="6"/>
  <c r="J33" i="6" s="1"/>
  <c r="F10" i="13"/>
  <c r="J25" i="6" l="1"/>
  <c r="J27" i="6" s="1"/>
  <c r="J14" i="6"/>
  <c r="J28" i="6" s="1"/>
  <c r="J44" i="8"/>
  <c r="F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<sst xmlns="http://schemas.openxmlformats.org/spreadsheetml/2006/main" count="341" uniqueCount="202">
  <si>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</si>
  <si>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</si>
  <si>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</si>
  <si>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</si>
  <si>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</si>
  <si>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</si>
  <si>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</si>
  <si>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</si>
  <si>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</si>
  <si>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</si>
  <si>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</si>
  <si>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</si>
  <si>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</si>
  <si>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</si>
  <si>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</si>
  <si>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</si>
  <si>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</si>
  <si>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</si>
  <si>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</si>
  <si>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</si>
  <si>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</si>
  <si>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</si>
  <si>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</si>
  <si>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</si>
  <si>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</si>
  <si>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</si>
  <si>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</si>
  <si>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</si>
  <si>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</si>
  <si>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</si>
  <si>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</si>
  <si>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</si>
  <si>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</si>
  <si>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</si>
  <si>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</si>
  <si>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</si>
  <si>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</si>
  <si>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</si>
  <si>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</si>
  <si>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</si>
  <si>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</si>
  <si>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</si>
  <si>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</si>
  <si>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</si>
  <si>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</si>
  <si>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</si>
  <si>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</si>
  <si>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</si>
  <si>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</si>
  <si>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</si>
  <si>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</si>
  <si>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</si>
  <si>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</si>
  <si>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</si>
  <si>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</si>
  <si>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</si>
  <si>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</si>
  <si>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</si>
  <si>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</si>
  <si>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</si>
  <si>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</si>
  <si>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</si>
  <si>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</si>
  <si>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</si>
  <si>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</si>
  <si>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</si>
  <si>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</si>
  <si>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</si>
  <si>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</si>
  <si>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</si>
  <si>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</si>
  <si>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</si>
  <si>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</si>
  <si>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</si>
  <si>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</si>
  <si>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</si>
  <si>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</si>
  <si>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</si>
  <si>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</si>
  <si>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</si>
  <si>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</si>
  <si>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</si>
  <si>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</si>
  <si>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</si>
  <si>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</si>
  <si>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</si>
  <si>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</si>
  <si>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</si>
  <si>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</si>
  <si>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</si>
  <si>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</si>
  <si>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</si>
  <si>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</si>
  <si>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</si>
  <si>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</si>
  <si>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</si>
  <si>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</si>
  <si>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</si>
  <si>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</si>
  <si>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</si>
  <si>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</si>
  <si>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</si>
  <si>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</si>
  <si>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</si>
  <si>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</si>
  <si>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</si>
  <si>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</si>
  <si>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</si>
  <si>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</si>
  <si>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</si>
  <si>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</si>
  <si>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</si>
  <si>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</si>
  <si>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</si>
  <si>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</si>
  <si>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</si>
  <si>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</si>
  <si>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</si>
  <si>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</si>
  <si>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</si>
  <si>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</si>
  <si>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</si>
  <si>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</si>
  <si>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</si>
  <si>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</si>
  <si>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</si>
  <si>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</si>
  <si>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</si>
  <si>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</si>
  <si>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</si>
  <si>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</si>
  <si>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</si>
  <si>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</si>
  <si>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</si>
  <si>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</si>
  <si>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</si>
  <si>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</si>
  <si>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</si>
  <si>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</si>
  <si>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</si>
  <si>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</si>
  <si>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</si>
  <si>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</si>
  <si>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</si>
  <si>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</si>
  <si>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</si>
  <si>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</si>
  <si>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</si>
  <si>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</si>
  <si>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</si>
  <si>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</si>
  <si>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</si>
  <si>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</si>
  <si>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</si>
  <si>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</si>
  <si>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</si>
  <si>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</si>
  <si>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</si>
  <si>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</si>
  <si>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</si>
  <si>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</si>
  <si>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</si>
  <si>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</si>
  <si>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</si>
  <si>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</si>
  <si>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</si>
  <si>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</si>
  <si>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</si>
  <si>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</si>
  <si>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</si>
  <si>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</si>
  <si>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</si>
  <si>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</si>
  <si>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</si>
  <si>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</si>
  <si>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</si>
  <si>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</si>
  <si>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</si>
  <si>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</si>
  <si>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</si>
  <si>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</si>
  <si>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</si>
  <si>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</si>
  <si>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</si>
  <si>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</si>
  <si>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</si>
  <si>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</si>
  <si>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</si>
  <si>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</si>
  <si>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Domino's Pizza Inc</t>
  </si>
  <si>
    <t>(inc) / dec in LT assets</t>
  </si>
  <si>
    <t>inc / (dec) in LT liabilities</t>
  </si>
  <si>
    <t>CFFO</t>
  </si>
  <si>
    <t>CFFI</t>
  </si>
  <si>
    <t>Debt issuance / (repayments)</t>
  </si>
  <si>
    <t>CFFF</t>
  </si>
  <si>
    <t>Net changes In cash</t>
  </si>
  <si>
    <t>Beginning cash</t>
  </si>
  <si>
    <t>Ending Cash</t>
  </si>
  <si>
    <t>Dividend Discount</t>
  </si>
  <si>
    <t>FY dividends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</si>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</sst>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8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73" fontId="45" fillId="0" borderId="0" xfId="0" applyNumberFormat="1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79" fontId="37" fillId="0" borderId="0" xfId="0" applyNumberFormat="1" applyFont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66" fontId="37" fillId="0" borderId="0" xfId="0" applyNumberFormat="1" applyFont="1" applyBorder="1"/>
    <xf numFmtId="173" fontId="39" fillId="0" borderId="18" xfId="4" applyNumberFormat="1" applyFont="1" applyFill="1" applyBorder="1"/>
    <xf numFmtId="166" fontId="39" fillId="0" borderId="0" xfId="57" applyFont="1" applyFill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E1" zoomScaleNormal="100" workbookViewId="0">
      <selection activeCell="L5" sqref="L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9" t="str">
        <f>CoName</f>
        <v>Domino's Pizza Inc</v>
      </c>
      <c r="B1" s="2"/>
      <c r="C1" s="2"/>
      <c r="D1" s="155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6" customFormat="1" x14ac:dyDescent="0.25">
      <c r="A2" s="65" t="s">
        <v>185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189</v>
      </c>
      <c r="E4" s="4" t="s">
        <v>171</v>
      </c>
      <c r="F4" s="225">
        <v>432</v>
      </c>
      <c r="H4" s="171" t="s">
        <v>186</v>
      </c>
      <c r="I4" s="170" t="s">
        <v>183</v>
      </c>
      <c r="J4" s="170" t="s">
        <v>184</v>
      </c>
      <c r="K4" s="170" t="s">
        <v>201</v>
      </c>
    </row>
    <row r="5" spans="1:15" x14ac:dyDescent="0.25">
      <c r="B5" s="4" t="s">
        <v>4</v>
      </c>
      <c r="C5" s="52">
        <v>247.43</v>
      </c>
      <c r="E5" s="4" t="s">
        <v>176</v>
      </c>
      <c r="F5" s="161">
        <v>33786</v>
      </c>
      <c r="H5" s="170" t="s">
        <v>178</v>
      </c>
      <c r="I5" s="232">
        <f>'DCF Model'!C18</f>
        <v>338.86878478711293</v>
      </c>
      <c r="J5" s="231">
        <f>'DCF Model'!G18</f>
        <v>413.94928532276026</v>
      </c>
      <c r="K5" s="231">
        <f>AVERAGE(I5:J5)</f>
        <v>376.40903505493657</v>
      </c>
    </row>
    <row r="6" spans="1:15" x14ac:dyDescent="0.25">
      <c r="B6" s="4" t="s">
        <v>5</v>
      </c>
      <c r="C6" s="51" t="s">
        <v>9</v>
      </c>
      <c r="E6" s="4" t="s">
        <v>104</v>
      </c>
      <c r="F6" s="161">
        <f>F5*F4</f>
        <v>14595552</v>
      </c>
      <c r="H6" s="170" t="s">
        <v>179</v>
      </c>
      <c r="I6" s="226">
        <f>I5/$F$4-1</f>
        <v>-0.21558151669649783</v>
      </c>
      <c r="J6" s="226">
        <f>J5/$F$4-1</f>
        <v>-4.178406175286975E-2</v>
      </c>
      <c r="K6" s="226">
        <f>K5/$F$4-1</f>
        <v>-0.1286827892246839</v>
      </c>
    </row>
    <row r="7" spans="1:15" x14ac:dyDescent="0.25">
      <c r="B7" s="4" t="s">
        <v>6</v>
      </c>
      <c r="C7" s="51" t="s">
        <v>8</v>
      </c>
      <c r="E7" s="4" t="s">
        <v>177</v>
      </c>
      <c r="F7" s="51">
        <f>139728+202501</f>
        <v>342229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5521+46163+4810274+190757</f>
        <v>5052715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19306038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9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3"/>
  <sheetViews>
    <sheetView showGridLines="0" zoomScaleNormal="100" workbookViewId="0">
      <selection activeCell="E24" sqref="E2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126</v>
      </c>
      <c r="B2" s="267" t="s">
        <v>127</v>
      </c>
      <c r="C2" s="267">
        <v>2022</v>
      </c>
      <c r="D2" s="267">
        <f>C2+1</f>
        <v>2023</v>
      </c>
      <c r="E2" s="267">
        <f t="shared" ref="E2:J2" si="0">D2+1</f>
        <v>2024</v>
      </c>
      <c r="F2" s="267">
        <f t="shared" si="0"/>
        <v>2025</v>
      </c>
      <c r="G2" s="267">
        <f t="shared" si="0"/>
        <v>2026</v>
      </c>
      <c r="H2" s="267">
        <f t="shared" si="0"/>
        <v>2027</v>
      </c>
      <c r="I2" s="267">
        <f t="shared" si="0"/>
        <v>2028</v>
      </c>
      <c r="J2" s="267">
        <f t="shared" si="0"/>
        <v>2029</v>
      </c>
      <c r="K2" s="197"/>
      <c r="L2" s="197"/>
    </row>
    <row r="3" spans="1:20" x14ac:dyDescent="0.25">
      <c r="A3" s="86"/>
      <c r="B3" s="160"/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1:20" x14ac:dyDescent="0.25">
      <c r="B4" s="94" t="s">
        <v>133</v>
      </c>
      <c r="C4"/>
      <c r="D4" s="264">
        <v>1</v>
      </c>
      <c r="E4"/>
      <c r="F4"/>
      <c r="G4" s="89"/>
      <c r="H4" s="89"/>
      <c r="I4" s="89"/>
      <c r="J4" s="89"/>
      <c r="K4" s="89"/>
      <c r="M4" s="233"/>
      <c r="N4" s="234"/>
      <c r="O4" s="234"/>
    </row>
    <row r="5" spans="1:20" x14ac:dyDescent="0.25">
      <c r="B5" s="88"/>
      <c r="C5" s="90"/>
      <c r="D5" s="113" t="s">
        <v>128</v>
      </c>
      <c r="E5" s="91"/>
      <c r="K5" s="89"/>
      <c r="M5" s="235"/>
      <c r="N5" s="236"/>
      <c r="O5" s="236"/>
    </row>
    <row r="6" spans="1:20" x14ac:dyDescent="0.25">
      <c r="B6" s="92" t="s">
        <v>134</v>
      </c>
      <c r="D6" s="101">
        <v>0</v>
      </c>
      <c r="E6" s="93"/>
      <c r="F6" s="101">
        <v>0.05</v>
      </c>
      <c r="G6" s="101">
        <v>6.5000000000000002E-2</v>
      </c>
      <c r="H6" s="101">
        <v>0.06</v>
      </c>
      <c r="I6" s="101">
        <v>5.5E-2</v>
      </c>
      <c r="J6" s="101">
        <v>0.05</v>
      </c>
      <c r="K6" s="172"/>
      <c r="M6" s="172"/>
      <c r="N6" s="237"/>
      <c r="O6" s="237"/>
      <c r="P6" s="237"/>
      <c r="Q6" s="237"/>
      <c r="R6" s="237"/>
      <c r="S6" s="237"/>
      <c r="T6" s="237"/>
    </row>
    <row r="7" spans="1:20" x14ac:dyDescent="0.25">
      <c r="B7" s="4" t="s">
        <v>130</v>
      </c>
      <c r="D7" s="101">
        <v>2.5000000000000001E-2</v>
      </c>
      <c r="E7" s="93"/>
      <c r="F7" s="101">
        <f>F6+$D$7</f>
        <v>7.5000000000000011E-2</v>
      </c>
      <c r="G7" s="101">
        <f t="shared" ref="G7:J7" si="1">G6+$D$7</f>
        <v>0.09</v>
      </c>
      <c r="H7" s="101">
        <f t="shared" si="1"/>
        <v>8.4999999999999992E-2</v>
      </c>
      <c r="I7" s="101">
        <f t="shared" si="1"/>
        <v>0.08</v>
      </c>
      <c r="J7" s="101">
        <f t="shared" si="1"/>
        <v>7.5000000000000011E-2</v>
      </c>
      <c r="K7" s="172"/>
      <c r="M7" s="172"/>
      <c r="N7" s="172"/>
      <c r="O7" s="172"/>
      <c r="P7" s="172"/>
      <c r="Q7" s="172"/>
      <c r="R7" s="172"/>
      <c r="S7" s="172"/>
      <c r="T7" s="172"/>
    </row>
    <row r="8" spans="1:20" x14ac:dyDescent="0.25">
      <c r="B8" s="4" t="s">
        <v>129</v>
      </c>
      <c r="D8" s="101">
        <v>-2.5000000000000001E-2</v>
      </c>
      <c r="E8" s="93"/>
      <c r="F8" s="101">
        <f>F6+$D$8</f>
        <v>2.5000000000000001E-2</v>
      </c>
      <c r="G8" s="101">
        <f t="shared" ref="G8:J8" si="2">G6+$D$8</f>
        <v>0.04</v>
      </c>
      <c r="H8" s="101">
        <f t="shared" si="2"/>
        <v>3.4999999999999996E-2</v>
      </c>
      <c r="I8" s="101">
        <f t="shared" si="2"/>
        <v>0.03</v>
      </c>
      <c r="J8" s="101">
        <f t="shared" si="2"/>
        <v>2.5000000000000001E-2</v>
      </c>
      <c r="K8" s="172"/>
    </row>
    <row r="9" spans="1:20" x14ac:dyDescent="0.25">
      <c r="K9" s="30"/>
      <c r="L9" s="30"/>
      <c r="M9" s="172"/>
      <c r="N9" s="172"/>
    </row>
    <row r="10" spans="1:20" x14ac:dyDescent="0.25">
      <c r="B10" s="118" t="s">
        <v>151</v>
      </c>
      <c r="C10" s="192"/>
      <c r="D10" s="279">
        <f>IncState!D16/IncState!C16-1</f>
        <v>-1.2739252192672135E-2</v>
      </c>
      <c r="E10" s="193">
        <f>IncState!E16/IncState!D16-1</f>
        <v>5.0689853322730682E-2</v>
      </c>
      <c r="F10" s="105">
        <f t="shared" ref="F10" si="3">CHOOSE(ScenarioREV,F6,F7,F8)</f>
        <v>0.05</v>
      </c>
      <c r="G10" s="105">
        <f t="shared" ref="G10:J10" si="4">CHOOSE(ScenarioREV,G6,G7,G8)</f>
        <v>6.5000000000000002E-2</v>
      </c>
      <c r="H10" s="105">
        <f t="shared" si="4"/>
        <v>0.06</v>
      </c>
      <c r="I10" s="105">
        <f t="shared" si="4"/>
        <v>5.5E-2</v>
      </c>
      <c r="J10" s="105">
        <f t="shared" si="4"/>
        <v>0.05</v>
      </c>
      <c r="K10" s="29"/>
      <c r="L10" s="29"/>
      <c r="M10" s="172"/>
      <c r="N10" s="172"/>
    </row>
    <row r="11" spans="1:20" x14ac:dyDescent="0.25">
      <c r="B11" s="4" t="s">
        <v>135</v>
      </c>
      <c r="C11" s="8">
        <f>IncState!C17/IncState!C16</f>
        <v>0.63664346712192965</v>
      </c>
      <c r="D11" s="8">
        <f>IncState!D17/IncState!D16</f>
        <v>0.61436058470879085</v>
      </c>
      <c r="E11" s="8">
        <f>IncState!E17/IncState!E16</f>
        <v>0.60723786422619674</v>
      </c>
      <c r="F11" s="101">
        <f>E11-0.002</f>
        <v>0.60523786422619674</v>
      </c>
      <c r="G11" s="101">
        <f t="shared" ref="G11:J11" si="5">F11-0.002</f>
        <v>0.60323786422619674</v>
      </c>
      <c r="H11" s="101">
        <f t="shared" si="5"/>
        <v>0.60123786422619674</v>
      </c>
      <c r="I11" s="101">
        <f t="shared" si="5"/>
        <v>0.59923786422619674</v>
      </c>
      <c r="J11" s="101">
        <f t="shared" si="5"/>
        <v>0.59723786422619674</v>
      </c>
      <c r="K11" s="172"/>
      <c r="L11" s="172"/>
      <c r="M11" s="172"/>
      <c r="N11" s="172"/>
    </row>
    <row r="12" spans="1:20" x14ac:dyDescent="0.25">
      <c r="B12" s="4" t="s">
        <v>45</v>
      </c>
      <c r="C12" s="8">
        <f>IncState!C18/IncState!C16</f>
        <v>0.19410410657949315</v>
      </c>
      <c r="D12" s="8">
        <f>IncState!D18/IncState!D16</f>
        <v>0.20268484903416964</v>
      </c>
      <c r="E12" s="8">
        <f>IncState!E18/IncState!E16</f>
        <v>0.20599602755047577</v>
      </c>
      <c r="F12" s="101">
        <f>AVERAGE(C12:E12)</f>
        <v>0.2009283277213795</v>
      </c>
      <c r="G12" s="101">
        <f t="shared" ref="G12:J12" si="6">F12</f>
        <v>0.2009283277213795</v>
      </c>
      <c r="H12" s="101">
        <f t="shared" si="6"/>
        <v>0.2009283277213795</v>
      </c>
      <c r="I12" s="101">
        <f t="shared" si="6"/>
        <v>0.2009283277213795</v>
      </c>
      <c r="J12" s="101">
        <f t="shared" si="6"/>
        <v>0.2009283277213795</v>
      </c>
      <c r="K12" s="172"/>
      <c r="L12" s="172"/>
    </row>
    <row r="13" spans="1:20" x14ac:dyDescent="0.25">
      <c r="B13" s="4" t="s">
        <v>137</v>
      </c>
      <c r="C13" s="4">
        <f>IncState!C22</f>
        <v>0</v>
      </c>
      <c r="D13" s="4">
        <f>IncState!D22</f>
        <v>0</v>
      </c>
      <c r="E13" s="4">
        <f>IncState!E22</f>
        <v>0</v>
      </c>
      <c r="F13" s="102">
        <f>E13</f>
        <v>0</v>
      </c>
      <c r="G13" s="102">
        <f t="shared" ref="G13:J13" si="7">F13</f>
        <v>0</v>
      </c>
      <c r="H13" s="102">
        <f t="shared" si="7"/>
        <v>0</v>
      </c>
      <c r="I13" s="102">
        <f t="shared" si="7"/>
        <v>0</v>
      </c>
      <c r="J13" s="102">
        <f t="shared" si="7"/>
        <v>0</v>
      </c>
      <c r="K13" s="198"/>
      <c r="L13" s="198"/>
    </row>
    <row r="14" spans="1:20" x14ac:dyDescent="0.25">
      <c r="B14" s="4" t="s">
        <v>138</v>
      </c>
      <c r="C14" s="4">
        <f>IncState!C25</f>
        <v>0</v>
      </c>
      <c r="D14" s="4">
        <f>IncState!D25</f>
        <v>0</v>
      </c>
      <c r="E14" s="4">
        <f>IncState!E25</f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8"/>
      <c r="L14" s="198"/>
    </row>
    <row r="15" spans="1:20" x14ac:dyDescent="0.25">
      <c r="B15" s="4" t="s">
        <v>140</v>
      </c>
      <c r="C15" s="4">
        <f>IncState!C26</f>
        <v>0</v>
      </c>
      <c r="D15" s="4">
        <f>IncState!D26</f>
        <v>17713</v>
      </c>
      <c r="E15" s="4">
        <f>IncState!E26</f>
        <v>22064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8"/>
      <c r="L15" s="198"/>
    </row>
    <row r="16" spans="1:20" x14ac:dyDescent="0.25">
      <c r="B16" s="4" t="s">
        <v>48</v>
      </c>
      <c r="C16" s="8">
        <f>IncState!C33/IncState!C31</f>
        <v>0.2104801923073566</v>
      </c>
      <c r="D16" s="8">
        <f>IncState!D33/IncState!D31</f>
        <v>0.20434369443933542</v>
      </c>
      <c r="E16" s="8">
        <f>IncState!E33/IncState!E31</f>
        <v>0.19114114218065256</v>
      </c>
      <c r="F16" s="101">
        <v>0.21</v>
      </c>
      <c r="G16" s="101">
        <f t="shared" ref="G16:J16" si="8">F16</f>
        <v>0.21</v>
      </c>
      <c r="H16" s="101">
        <f t="shared" si="8"/>
        <v>0.21</v>
      </c>
      <c r="I16" s="101">
        <f t="shared" si="8"/>
        <v>0.21</v>
      </c>
      <c r="J16" s="101">
        <f t="shared" si="8"/>
        <v>0.21</v>
      </c>
      <c r="K16" s="172"/>
      <c r="L16" s="172"/>
    </row>
    <row r="17" spans="1:12" s="270" customFormat="1" x14ac:dyDescent="0.25">
      <c r="B17" s="270" t="s">
        <v>141</v>
      </c>
      <c r="C17" s="270">
        <f>IncState!C35</f>
        <v>4.4096962608040018</v>
      </c>
      <c r="D17" s="270">
        <f>IncState!D35</f>
        <v>4.8401820010094045</v>
      </c>
      <c r="E17" s="270">
        <f>IncState!E35</f>
        <v>6.0485378400123242</v>
      </c>
      <c r="F17" s="271">
        <f>E17+0.4</f>
        <v>6.4485378400123246</v>
      </c>
      <c r="G17" s="271">
        <f t="shared" ref="G17:J17" si="9">F17+0.4</f>
        <v>6.8485378400123249</v>
      </c>
      <c r="H17" s="271">
        <f t="shared" si="9"/>
        <v>7.2485378400123253</v>
      </c>
      <c r="I17" s="271">
        <f t="shared" si="9"/>
        <v>7.6485378400123256</v>
      </c>
      <c r="J17" s="271">
        <f t="shared" si="9"/>
        <v>8.048537840012326</v>
      </c>
      <c r="K17" s="272"/>
      <c r="L17" s="272"/>
    </row>
    <row r="18" spans="1:12" x14ac:dyDescent="0.25">
      <c r="B18" s="4" t="s">
        <v>49</v>
      </c>
      <c r="C18" s="4">
        <f>IncState!C38</f>
        <v>35723.775671406001</v>
      </c>
      <c r="D18" s="4">
        <f>IncState!D38</f>
        <v>35075.54054054054</v>
      </c>
      <c r="E18" s="4">
        <f>IncState!E38</f>
        <v>34710.04159239454</v>
      </c>
      <c r="F18" s="102">
        <f>E18</f>
        <v>34710.04159239454</v>
      </c>
      <c r="G18" s="102">
        <f t="shared" ref="G18:J18" si="10">F18</f>
        <v>34710.04159239454</v>
      </c>
      <c r="H18" s="102">
        <f t="shared" si="10"/>
        <v>34710.04159239454</v>
      </c>
      <c r="I18" s="102">
        <f t="shared" si="10"/>
        <v>34710.04159239454</v>
      </c>
      <c r="J18" s="102">
        <f t="shared" si="10"/>
        <v>34710.04159239454</v>
      </c>
      <c r="K18" s="198"/>
      <c r="L18" s="198"/>
    </row>
    <row r="19" spans="1:12" x14ac:dyDescent="0.25">
      <c r="B19" s="4" t="s">
        <v>50</v>
      </c>
      <c r="C19" s="4">
        <f>IncState!C39</f>
        <v>36094.41340782123</v>
      </c>
      <c r="D19" s="4">
        <f>IncState!D39</f>
        <v>35410.504774897679</v>
      </c>
      <c r="E19" s="4">
        <f>IncState!E39</f>
        <v>35001.198322348711</v>
      </c>
      <c r="F19" s="102">
        <f>E19</f>
        <v>35001.198322348711</v>
      </c>
      <c r="G19" s="102">
        <f t="shared" ref="G19:J19" si="11">F19</f>
        <v>35001.198322348711</v>
      </c>
      <c r="H19" s="102">
        <f t="shared" si="11"/>
        <v>35001.198322348711</v>
      </c>
      <c r="I19" s="102">
        <f t="shared" si="11"/>
        <v>35001.198322348711</v>
      </c>
      <c r="J19" s="102">
        <f t="shared" si="11"/>
        <v>35001.198322348711</v>
      </c>
      <c r="K19" s="198"/>
      <c r="L19" s="198"/>
    </row>
    <row r="20" spans="1:12" x14ac:dyDescent="0.25">
      <c r="F20" s="104"/>
      <c r="G20" s="104"/>
      <c r="H20" s="104"/>
      <c r="I20" s="104"/>
      <c r="J20" s="104"/>
      <c r="K20" s="172"/>
      <c r="L20" s="172"/>
    </row>
    <row r="21" spans="1:12" x14ac:dyDescent="0.25">
      <c r="A21" s="64" t="s">
        <v>126</v>
      </c>
      <c r="B21" s="107" t="s">
        <v>146</v>
      </c>
      <c r="C21" s="267">
        <f>C2</f>
        <v>2022</v>
      </c>
      <c r="D21" s="267">
        <f>D2</f>
        <v>2023</v>
      </c>
      <c r="E21" s="267">
        <f>E2</f>
        <v>2024</v>
      </c>
      <c r="F21" s="267">
        <f>F2</f>
        <v>2025</v>
      </c>
      <c r="G21" s="267">
        <f>G2</f>
        <v>2026</v>
      </c>
      <c r="H21" s="267">
        <f>H2</f>
        <v>2027</v>
      </c>
      <c r="I21" s="267">
        <f>I2</f>
        <v>2028</v>
      </c>
      <c r="J21" s="267">
        <f>J2</f>
        <v>2029</v>
      </c>
      <c r="K21" s="199"/>
      <c r="L21" s="199"/>
    </row>
    <row r="22" spans="1:12" x14ac:dyDescent="0.25">
      <c r="A22" s="86"/>
      <c r="B22" s="160"/>
      <c r="C22" s="197"/>
      <c r="D22" s="197"/>
      <c r="E22" s="197"/>
      <c r="F22" s="199"/>
      <c r="G22" s="199"/>
      <c r="H22" s="199"/>
      <c r="I22" s="199"/>
      <c r="J22" s="199"/>
      <c r="K22" s="199"/>
      <c r="L22" s="199"/>
    </row>
    <row r="23" spans="1:12" x14ac:dyDescent="0.25">
      <c r="B23" s="4" t="s">
        <v>139</v>
      </c>
      <c r="E23" s="8">
        <f>E24+1%</f>
        <v>4.9368179609103946E-2</v>
      </c>
      <c r="F23" s="101">
        <f>E23</f>
        <v>4.9368179609103946E-2</v>
      </c>
      <c r="G23" s="101">
        <f t="shared" ref="G23:J23" si="12">F23</f>
        <v>4.9368179609103946E-2</v>
      </c>
      <c r="H23" s="101">
        <f t="shared" si="12"/>
        <v>4.9368179609103946E-2</v>
      </c>
      <c r="I23" s="101">
        <f t="shared" si="12"/>
        <v>4.9368179609103946E-2</v>
      </c>
      <c r="J23" s="101">
        <f t="shared" si="12"/>
        <v>4.9368179609103946E-2</v>
      </c>
      <c r="K23" s="172"/>
      <c r="L23" s="172"/>
    </row>
    <row r="24" spans="1:12" x14ac:dyDescent="0.25">
      <c r="B24" s="4" t="s">
        <v>26</v>
      </c>
      <c r="E24" s="8">
        <f>IncState!E29/-BalSheet!E37</f>
        <v>3.9368179609103944E-2</v>
      </c>
      <c r="F24" s="101">
        <f>E24</f>
        <v>3.9368179609103944E-2</v>
      </c>
      <c r="G24" s="101">
        <f t="shared" ref="G24:J24" si="13">F24</f>
        <v>3.9368179609103944E-2</v>
      </c>
      <c r="H24" s="101">
        <f t="shared" si="13"/>
        <v>3.9368179609103944E-2</v>
      </c>
      <c r="I24" s="101">
        <f t="shared" si="13"/>
        <v>3.9368179609103944E-2</v>
      </c>
      <c r="J24" s="101">
        <f t="shared" si="13"/>
        <v>3.9368179609103944E-2</v>
      </c>
      <c r="K24" s="172"/>
      <c r="L24" s="172"/>
    </row>
    <row r="25" spans="1:12" x14ac:dyDescent="0.25">
      <c r="B25" s="4" t="s">
        <v>27</v>
      </c>
      <c r="C25" s="8">
        <f>IncState!C28/SUM(BalSheet!C17:C18)</f>
        <v>5.2389157664523824E-2</v>
      </c>
      <c r="D25" s="8">
        <f>IncState!D28/SUM(BalSheet!D17:D18)</f>
        <v>0.10239443285596593</v>
      </c>
      <c r="E25" s="8">
        <f>IncState!E28/SUM(BalSheet!E17:E18)</f>
        <v>9.1454176203217177E-2</v>
      </c>
      <c r="F25" s="127">
        <f>E25</f>
        <v>9.1454176203217177E-2</v>
      </c>
      <c r="G25" s="127">
        <f t="shared" ref="G25:J25" si="14">F25</f>
        <v>9.1454176203217177E-2</v>
      </c>
      <c r="H25" s="127">
        <f t="shared" si="14"/>
        <v>9.1454176203217177E-2</v>
      </c>
      <c r="I25" s="127">
        <f t="shared" si="14"/>
        <v>9.1454176203217177E-2</v>
      </c>
      <c r="J25" s="127">
        <f t="shared" si="14"/>
        <v>9.1454176203217177E-2</v>
      </c>
      <c r="K25" s="172"/>
      <c r="L25" s="172"/>
    </row>
    <row r="26" spans="1:12" x14ac:dyDescent="0.25">
      <c r="F26" s="104"/>
      <c r="G26" s="104"/>
      <c r="H26" s="104"/>
      <c r="I26" s="104"/>
      <c r="J26" s="104"/>
      <c r="K26" s="172"/>
      <c r="L26" s="172"/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8"/>
      <c r="L27" s="198"/>
    </row>
    <row r="28" spans="1:12" x14ac:dyDescent="0.25">
      <c r="B28" s="4" t="s">
        <v>29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98"/>
      <c r="L28" s="198"/>
    </row>
    <row r="29" spans="1:12" x14ac:dyDescent="0.25">
      <c r="F29" s="104"/>
      <c r="G29" s="104"/>
      <c r="H29" s="104"/>
      <c r="I29" s="104"/>
      <c r="J29" s="104"/>
      <c r="K29" s="172"/>
      <c r="L29" s="172"/>
    </row>
    <row r="30" spans="1:12" x14ac:dyDescent="0.25">
      <c r="A30" s="64" t="s">
        <v>126</v>
      </c>
      <c r="B30" s="107" t="s">
        <v>143</v>
      </c>
      <c r="C30" s="267">
        <f>C21</f>
        <v>2022</v>
      </c>
      <c r="D30" s="267">
        <f t="shared" ref="D30:J30" si="15">D21</f>
        <v>2023</v>
      </c>
      <c r="E30" s="267">
        <f t="shared" si="15"/>
        <v>2024</v>
      </c>
      <c r="F30" s="267">
        <f t="shared" si="15"/>
        <v>2025</v>
      </c>
      <c r="G30" s="267">
        <f t="shared" si="15"/>
        <v>2026</v>
      </c>
      <c r="H30" s="267">
        <f t="shared" si="15"/>
        <v>2027</v>
      </c>
      <c r="I30" s="267">
        <f t="shared" si="15"/>
        <v>2028</v>
      </c>
      <c r="J30" s="267">
        <f t="shared" si="15"/>
        <v>2029</v>
      </c>
      <c r="K30" s="200"/>
      <c r="L30" s="200"/>
    </row>
    <row r="31" spans="1:12" x14ac:dyDescent="0.25">
      <c r="A31" s="86"/>
      <c r="B31" s="160"/>
      <c r="C31" s="197"/>
      <c r="D31" s="197"/>
      <c r="E31" s="197"/>
      <c r="F31" s="199"/>
      <c r="G31" s="199"/>
      <c r="H31" s="199"/>
      <c r="I31" s="199"/>
      <c r="J31" s="199"/>
      <c r="K31" s="200"/>
      <c r="L31" s="200"/>
    </row>
    <row r="32" spans="1:12" x14ac:dyDescent="0.25">
      <c r="B32" s="4" t="s">
        <v>144</v>
      </c>
      <c r="C32" s="8">
        <f>87234/IncState!C16</f>
        <v>1.922657311030385E-2</v>
      </c>
      <c r="D32" s="8">
        <f>105396/IncState!D16</f>
        <v>2.352926468480528E-2</v>
      </c>
      <c r="E32" s="8">
        <f>112885/IncState!E16</f>
        <v>2.3985342562153452E-2</v>
      </c>
      <c r="F32" s="223">
        <f>E32</f>
        <v>2.3985342562153452E-2</v>
      </c>
      <c r="G32" s="223">
        <f t="shared" ref="G32:J32" si="16">F32</f>
        <v>2.3985342562153452E-2</v>
      </c>
      <c r="H32" s="223">
        <f t="shared" si="16"/>
        <v>2.3985342562153452E-2</v>
      </c>
      <c r="I32" s="223">
        <f t="shared" si="16"/>
        <v>2.3985342562153452E-2</v>
      </c>
      <c r="J32" s="223">
        <f t="shared" si="16"/>
        <v>2.3985342562153452E-2</v>
      </c>
      <c r="K32" s="172"/>
      <c r="L32" s="172"/>
    </row>
    <row r="33" spans="1:12" x14ac:dyDescent="0.25">
      <c r="B33" s="4" t="s">
        <v>157</v>
      </c>
      <c r="D33" s="8">
        <f>IncState!D21/BalSheet!C24</f>
        <v>0.15464955497979621</v>
      </c>
      <c r="E33" s="8">
        <f>IncState!E21/BalSheet!D24</f>
        <v>0.17145604352652397</v>
      </c>
      <c r="F33" s="101">
        <f>E33</f>
        <v>0.17145604352652397</v>
      </c>
      <c r="G33" s="101">
        <f t="shared" ref="G33:J33" si="17">F33</f>
        <v>0.17145604352652397</v>
      </c>
      <c r="H33" s="101">
        <f t="shared" si="17"/>
        <v>0.17145604352652397</v>
      </c>
      <c r="I33" s="101">
        <f t="shared" si="17"/>
        <v>0.17145604352652397</v>
      </c>
      <c r="J33" s="101">
        <f t="shared" si="17"/>
        <v>0.17145604352652397</v>
      </c>
      <c r="K33" s="172"/>
      <c r="L33" s="172"/>
    </row>
    <row r="34" spans="1:12" x14ac:dyDescent="0.25">
      <c r="B34" s="4" t="s">
        <v>145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201"/>
      <c r="L34" s="201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126</v>
      </c>
      <c r="B36" s="107" t="s">
        <v>131</v>
      </c>
      <c r="C36" s="267">
        <f>C30</f>
        <v>2022</v>
      </c>
      <c r="D36" s="267">
        <f t="shared" ref="D36:J36" si="18">D30</f>
        <v>2023</v>
      </c>
      <c r="E36" s="267">
        <f t="shared" si="18"/>
        <v>2024</v>
      </c>
      <c r="F36" s="267">
        <f t="shared" si="18"/>
        <v>2025</v>
      </c>
      <c r="G36" s="267">
        <f t="shared" si="18"/>
        <v>2026</v>
      </c>
      <c r="H36" s="267">
        <f t="shared" si="18"/>
        <v>2027</v>
      </c>
      <c r="I36" s="267">
        <f t="shared" si="18"/>
        <v>2028</v>
      </c>
      <c r="J36" s="267">
        <f t="shared" si="18"/>
        <v>2029</v>
      </c>
      <c r="K36" s="200"/>
      <c r="L36" s="200"/>
    </row>
    <row r="37" spans="1:12" x14ac:dyDescent="0.25">
      <c r="A37" s="86"/>
      <c r="B37" s="160"/>
      <c r="C37" s="197"/>
      <c r="D37" s="197"/>
      <c r="E37" s="197"/>
      <c r="F37" s="265"/>
      <c r="G37" s="265"/>
      <c r="H37" s="265"/>
      <c r="I37" s="265"/>
      <c r="J37" s="265"/>
      <c r="K37" s="200"/>
      <c r="L37" s="200"/>
    </row>
    <row r="38" spans="1:12" x14ac:dyDescent="0.25">
      <c r="B38" s="4" t="s">
        <v>142</v>
      </c>
      <c r="C38" s="8">
        <f>BalSheet!C17/IncState!C16</f>
        <v>0.01</v>
      </c>
      <c r="D38" s="8">
        <f>BalSheet!D17/IncState!D16</f>
        <v>0.01</v>
      </c>
      <c r="E38" s="8">
        <f>BalSheet!E17/IncState!E16</f>
        <v>0.01</v>
      </c>
      <c r="F38" s="101">
        <f>E38</f>
        <v>0.01</v>
      </c>
      <c r="G38" s="101">
        <f t="shared" ref="G38:J38" si="19">F38</f>
        <v>0.01</v>
      </c>
      <c r="H38" s="101">
        <f t="shared" si="19"/>
        <v>0.01</v>
      </c>
      <c r="I38" s="101">
        <f t="shared" si="19"/>
        <v>0.01</v>
      </c>
      <c r="J38" s="101">
        <f t="shared" si="19"/>
        <v>0.01</v>
      </c>
      <c r="K38" s="172"/>
      <c r="L38" s="172"/>
    </row>
    <row r="39" spans="1:12" x14ac:dyDescent="0.25">
      <c r="B39" s="4" t="s">
        <v>155</v>
      </c>
      <c r="C39" s="8">
        <f>BalSheet!C19/IncState!C16</f>
        <v>5.6751825702344945E-2</v>
      </c>
      <c r="D39" s="8">
        <f>BalSheet!D19/IncState!D16</f>
        <v>6.3136056550961092E-2</v>
      </c>
      <c r="E39" s="8">
        <f>BalSheet!E19/IncState!E16</f>
        <v>6.5677152210939282E-2</v>
      </c>
      <c r="F39" s="101">
        <f>E39</f>
        <v>6.5677152210939282E-2</v>
      </c>
      <c r="G39" s="101">
        <f t="shared" ref="G39:J39" si="20">F39</f>
        <v>6.5677152210939282E-2</v>
      </c>
      <c r="H39" s="101">
        <f t="shared" si="20"/>
        <v>6.5677152210939282E-2</v>
      </c>
      <c r="I39" s="101">
        <f t="shared" si="20"/>
        <v>6.5677152210939282E-2</v>
      </c>
      <c r="J39" s="101">
        <f t="shared" si="20"/>
        <v>6.5677152210939282E-2</v>
      </c>
      <c r="K39" s="172"/>
      <c r="L39" s="172"/>
    </row>
    <row r="40" spans="1:12" x14ac:dyDescent="0.25">
      <c r="B40" s="4" t="s">
        <v>65</v>
      </c>
      <c r="C40" s="8">
        <f>BalSheet!C20/IncState!C17</f>
        <v>2.8239062339885174E-2</v>
      </c>
      <c r="D40" s="8">
        <f>BalSheet!D20/IncState!D17</f>
        <v>3.0147448655330911E-2</v>
      </c>
      <c r="E40" s="8">
        <f>BalSheet!E20/IncState!E17</f>
        <v>2.4814952444335275E-2</v>
      </c>
      <c r="F40" s="101">
        <f t="shared" ref="F40:J40" si="21">E40</f>
        <v>2.4814952444335275E-2</v>
      </c>
      <c r="G40" s="101">
        <f t="shared" si="21"/>
        <v>2.4814952444335275E-2</v>
      </c>
      <c r="H40" s="101">
        <f t="shared" si="21"/>
        <v>2.4814952444335275E-2</v>
      </c>
      <c r="I40" s="101">
        <f t="shared" si="21"/>
        <v>2.4814952444335275E-2</v>
      </c>
      <c r="J40" s="101">
        <f t="shared" si="21"/>
        <v>2.4814952444335275E-2</v>
      </c>
      <c r="K40" s="172"/>
      <c r="L40" s="172"/>
    </row>
    <row r="41" spans="1:12" x14ac:dyDescent="0.25">
      <c r="B41" s="4" t="s">
        <v>66</v>
      </c>
      <c r="C41" s="8">
        <f>BalSheet!C21/IncState!C16</f>
        <v>8.6229309184295541E-2</v>
      </c>
      <c r="D41" s="8">
        <f>BalSheet!D21/IncState!D16</f>
        <v>7.5327759022609936E-2</v>
      </c>
      <c r="E41" s="8">
        <f>BalSheet!E21/IncState!E16</f>
        <v>7.2056741265540486E-2</v>
      </c>
      <c r="F41" s="101">
        <f t="shared" ref="F41:J41" si="22">E41</f>
        <v>7.2056741265540486E-2</v>
      </c>
      <c r="G41" s="101">
        <f t="shared" si="22"/>
        <v>7.2056741265540486E-2</v>
      </c>
      <c r="H41" s="101">
        <f t="shared" si="22"/>
        <v>7.2056741265540486E-2</v>
      </c>
      <c r="I41" s="101">
        <f t="shared" si="22"/>
        <v>7.2056741265540486E-2</v>
      </c>
      <c r="J41" s="101">
        <f t="shared" si="22"/>
        <v>7.2056741265540486E-2</v>
      </c>
      <c r="K41" s="172"/>
      <c r="L41" s="172"/>
    </row>
    <row r="42" spans="1:12" x14ac:dyDescent="0.25">
      <c r="E42" s="8"/>
      <c r="F42" s="104"/>
      <c r="G42" s="104"/>
      <c r="H42" s="104"/>
      <c r="I42" s="104"/>
      <c r="J42" s="104"/>
      <c r="K42" s="172"/>
      <c r="L42" s="172"/>
    </row>
    <row r="43" spans="1:12" x14ac:dyDescent="0.25">
      <c r="B43" s="4" t="s">
        <v>180</v>
      </c>
      <c r="C43" s="4">
        <f>BalSheet!C26</f>
        <v>13395</v>
      </c>
      <c r="D43" s="4">
        <f>BalSheet!D26</f>
        <v>16720</v>
      </c>
      <c r="E43" s="4">
        <f>BalSheet!E26</f>
        <v>20638</v>
      </c>
      <c r="F43" s="102">
        <f>E43</f>
        <v>20638</v>
      </c>
      <c r="G43" s="102">
        <f t="shared" ref="G43:J43" si="23">F43</f>
        <v>20638</v>
      </c>
      <c r="H43" s="102">
        <f t="shared" si="23"/>
        <v>20638</v>
      </c>
      <c r="I43" s="102">
        <f t="shared" si="23"/>
        <v>20638</v>
      </c>
      <c r="J43" s="102">
        <f t="shared" si="23"/>
        <v>20638</v>
      </c>
      <c r="K43" s="198"/>
      <c r="L43" s="198"/>
    </row>
    <row r="44" spans="1:12" x14ac:dyDescent="0.25">
      <c r="B44" s="4" t="s">
        <v>67</v>
      </c>
      <c r="C44" s="8">
        <f>BalSheet!C27/IncState!C16</f>
        <v>3.4518965396400127E-2</v>
      </c>
      <c r="D44" s="8">
        <f>BalSheet!D27/IncState!D16</f>
        <v>4.0944930054708735E-2</v>
      </c>
      <c r="E44" s="8">
        <f>BalSheet!E27/IncState!E16</f>
        <v>2.8262057582670124E-2</v>
      </c>
      <c r="F44" s="101">
        <f>E44</f>
        <v>2.8262057582670124E-2</v>
      </c>
      <c r="G44" s="101">
        <f t="shared" ref="G44:J44" si="24">F44</f>
        <v>2.8262057582670124E-2</v>
      </c>
      <c r="H44" s="101">
        <f t="shared" si="24"/>
        <v>2.8262057582670124E-2</v>
      </c>
      <c r="I44" s="101">
        <f t="shared" si="24"/>
        <v>2.8262057582670124E-2</v>
      </c>
      <c r="J44" s="101">
        <f t="shared" si="24"/>
        <v>2.8262057582670124E-2</v>
      </c>
      <c r="K44" s="172"/>
      <c r="L44" s="172"/>
    </row>
    <row r="45" spans="1:12" x14ac:dyDescent="0.25">
      <c r="F45" s="30"/>
      <c r="G45" s="30"/>
      <c r="H45" s="30"/>
      <c r="I45" s="30"/>
      <c r="J45" s="30"/>
      <c r="K45" s="30"/>
      <c r="L45" s="30"/>
    </row>
    <row r="46" spans="1:12" x14ac:dyDescent="0.25">
      <c r="A46" s="64" t="s">
        <v>126</v>
      </c>
      <c r="B46" s="107" t="s">
        <v>132</v>
      </c>
      <c r="C46" s="267">
        <f>C36</f>
        <v>2022</v>
      </c>
      <c r="D46" s="267">
        <f t="shared" ref="D46:J46" si="25">D36</f>
        <v>2023</v>
      </c>
      <c r="E46" s="267">
        <f t="shared" si="25"/>
        <v>2024</v>
      </c>
      <c r="F46" s="267">
        <f t="shared" si="25"/>
        <v>2025</v>
      </c>
      <c r="G46" s="267">
        <f t="shared" si="25"/>
        <v>2026</v>
      </c>
      <c r="H46" s="267">
        <f t="shared" si="25"/>
        <v>2027</v>
      </c>
      <c r="I46" s="267">
        <f t="shared" si="25"/>
        <v>2028</v>
      </c>
      <c r="J46" s="267">
        <f t="shared" si="25"/>
        <v>2029</v>
      </c>
      <c r="K46" s="200"/>
      <c r="L46" s="200"/>
    </row>
    <row r="47" spans="1:12" x14ac:dyDescent="0.25">
      <c r="A47" s="86"/>
      <c r="B47" s="160"/>
      <c r="C47" s="197"/>
      <c r="D47" s="197"/>
      <c r="E47" s="197"/>
      <c r="F47" s="265"/>
      <c r="G47" s="265"/>
      <c r="H47" s="265"/>
      <c r="I47" s="265"/>
      <c r="J47" s="265"/>
      <c r="K47" s="200"/>
      <c r="L47" s="200"/>
    </row>
    <row r="48" spans="1:12" x14ac:dyDescent="0.25">
      <c r="B48" s="4" t="s">
        <v>156</v>
      </c>
      <c r="C48" s="8">
        <f>BalSheet!C33/IncState!C17</f>
        <v>5.6993954064181639E-2</v>
      </c>
      <c r="D48" s="8">
        <f>BalSheet!D33/IncState!D17</f>
        <v>7.0613069102862303E-2</v>
      </c>
      <c r="E48" s="8">
        <f>BalSheet!E33/IncState!E17</f>
        <v>6.1892695161575889E-2</v>
      </c>
      <c r="F48" s="101">
        <f t="shared" ref="F48:J48" si="26">E48</f>
        <v>6.1892695161575889E-2</v>
      </c>
      <c r="G48" s="101">
        <f t="shared" si="26"/>
        <v>6.1892695161575889E-2</v>
      </c>
      <c r="H48" s="101">
        <f t="shared" si="26"/>
        <v>6.1892695161575889E-2</v>
      </c>
      <c r="I48" s="101">
        <f t="shared" si="26"/>
        <v>6.1892695161575889E-2</v>
      </c>
      <c r="J48" s="101">
        <f t="shared" si="26"/>
        <v>6.1892695161575889E-2</v>
      </c>
      <c r="K48" s="172"/>
      <c r="L48" s="172"/>
    </row>
    <row r="49" spans="2:12" x14ac:dyDescent="0.25">
      <c r="B49" s="4" t="s">
        <v>68</v>
      </c>
      <c r="C49" s="8">
        <f>BalSheet!C34/IncState!C16</f>
        <v>6.9906756608431972E-2</v>
      </c>
      <c r="D49" s="8">
        <f>BalSheet!D34/IncState!D16</f>
        <v>6.6228463989705666E-2</v>
      </c>
      <c r="E49" s="8">
        <f>BalSheet!E34/IncState!E16</f>
        <v>6.0746648830022676E-2</v>
      </c>
      <c r="F49" s="101">
        <f t="shared" ref="F49:J49" si="27">E49</f>
        <v>6.0746648830022676E-2</v>
      </c>
      <c r="G49" s="101">
        <f t="shared" si="27"/>
        <v>6.0746648830022676E-2</v>
      </c>
      <c r="H49" s="101">
        <f t="shared" si="27"/>
        <v>6.0746648830022676E-2</v>
      </c>
      <c r="I49" s="101">
        <f t="shared" si="27"/>
        <v>6.0746648830022676E-2</v>
      </c>
      <c r="J49" s="101">
        <f t="shared" si="27"/>
        <v>6.0746648830022676E-2</v>
      </c>
      <c r="K49" s="172"/>
      <c r="L49" s="172"/>
    </row>
    <row r="50" spans="2:12" x14ac:dyDescent="0.25">
      <c r="B50" s="4" t="s">
        <v>69</v>
      </c>
      <c r="C50" s="8">
        <f>BalSheet!C38/IncState!C16</f>
        <v>6.3309454949552119E-2</v>
      </c>
      <c r="D50" s="8">
        <f>BalSheet!D38/IncState!D16</f>
        <v>5.8904423357097155E-2</v>
      </c>
      <c r="E50" s="8">
        <f>BalSheet!E38/IncState!E16</f>
        <v>5.5495094356299998E-2</v>
      </c>
      <c r="F50" s="101">
        <f t="shared" ref="F50:J50" si="28">E50</f>
        <v>5.5495094356299998E-2</v>
      </c>
      <c r="G50" s="101">
        <f t="shared" si="28"/>
        <v>5.5495094356299998E-2</v>
      </c>
      <c r="H50" s="101">
        <f t="shared" si="28"/>
        <v>5.5495094356299998E-2</v>
      </c>
      <c r="I50" s="101">
        <f t="shared" si="28"/>
        <v>5.5495094356299998E-2</v>
      </c>
      <c r="J50" s="101">
        <f t="shared" si="28"/>
        <v>5.5495094356299998E-2</v>
      </c>
      <c r="K50" s="172"/>
      <c r="L50" s="172"/>
    </row>
    <row r="51" spans="2:12" x14ac:dyDescent="0.25">
      <c r="F51" s="122"/>
      <c r="G51" s="30"/>
      <c r="H51" s="30"/>
      <c r="I51" s="30"/>
      <c r="J51" s="30"/>
    </row>
    <row r="52" spans="2:12" x14ac:dyDescent="0.25">
      <c r="F52" s="123"/>
      <c r="G52" s="95"/>
      <c r="H52" s="95"/>
      <c r="I52" s="95"/>
      <c r="J52" s="95"/>
    </row>
    <row r="53" spans="2:12" x14ac:dyDescent="0.25">
      <c r="F53" s="95"/>
      <c r="G53" s="95"/>
      <c r="H53" s="95"/>
      <c r="I53" s="95"/>
      <c r="J53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K21:L21 F22:L29 K30:L30 F31:L34 K36:L44 F38:J44 K46:L50 F48:J50 F52:J53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topLeftCell="C1" zoomScaleNormal="100" workbookViewId="0">
      <selection activeCell="F26" sqref="F6:J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4" width="11.7109375" style="4" customWidth="1"/>
    <col min="5" max="6" width="12.140625" style="4" bestFit="1" customWidth="1"/>
    <col min="7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1" t="s">
        <v>11</v>
      </c>
      <c r="B2" s="20"/>
      <c r="C2" s="194">
        <v>2022</v>
      </c>
      <c r="D2" s="258">
        <f>C2+1</f>
        <v>2023</v>
      </c>
      <c r="E2" s="258">
        <f t="shared" ref="E2:J2" si="0">D2+1</f>
        <v>2024</v>
      </c>
      <c r="F2" s="258">
        <f t="shared" si="0"/>
        <v>2025</v>
      </c>
      <c r="G2" s="258">
        <f t="shared" si="0"/>
        <v>2026</v>
      </c>
      <c r="H2" s="258">
        <f t="shared" si="0"/>
        <v>2027</v>
      </c>
      <c r="I2" s="258">
        <f t="shared" si="0"/>
        <v>2028</v>
      </c>
      <c r="J2" s="258">
        <f t="shared" si="0"/>
        <v>2029</v>
      </c>
      <c r="K2" s="195"/>
      <c r="L2" s="195"/>
      <c r="M2" s="195"/>
    </row>
    <row r="3" spans="1:13" x14ac:dyDescent="0.25">
      <c r="B3" s="4" t="s">
        <v>12</v>
      </c>
      <c r="C3" s="29"/>
      <c r="D3" s="29"/>
      <c r="E3" s="40"/>
      <c r="F3" s="204">
        <f>Assumptions!F32</f>
        <v>2.3985342562153452E-2</v>
      </c>
      <c r="G3" s="204">
        <f>Assumptions!G32</f>
        <v>2.3985342562153452E-2</v>
      </c>
      <c r="H3" s="204">
        <f>Assumptions!H32</f>
        <v>2.3985342562153452E-2</v>
      </c>
      <c r="I3" s="204">
        <f>Assumptions!I32</f>
        <v>2.3985342562153452E-2</v>
      </c>
      <c r="J3" s="204">
        <f>Assumptions!J32</f>
        <v>2.3985342562153452E-2</v>
      </c>
      <c r="K3" s="202"/>
      <c r="L3" s="202"/>
    </row>
    <row r="4" spans="1:13" x14ac:dyDescent="0.25">
      <c r="B4" s="4" t="s">
        <v>136</v>
      </c>
      <c r="C4" s="29"/>
      <c r="D4" s="29"/>
      <c r="E4" s="40"/>
      <c r="F4" s="204">
        <f>Assumptions!F33</f>
        <v>0.17145604352652397</v>
      </c>
      <c r="G4" s="204">
        <f>F4</f>
        <v>0.17145604352652397</v>
      </c>
      <c r="H4" s="204">
        <f t="shared" ref="H4:J4" si="1">G4</f>
        <v>0.17145604352652397</v>
      </c>
      <c r="I4" s="204">
        <f t="shared" si="1"/>
        <v>0.17145604352652397</v>
      </c>
      <c r="J4" s="204">
        <f t="shared" si="1"/>
        <v>0.17145604352652397</v>
      </c>
      <c r="K4" s="202"/>
      <c r="L4" s="202"/>
    </row>
    <row r="5" spans="1:13" x14ac:dyDescent="0.25">
      <c r="E5" s="28"/>
      <c r="F5" s="78"/>
      <c r="G5" s="66"/>
      <c r="H5" s="84"/>
      <c r="I5" s="66"/>
      <c r="J5" s="66"/>
    </row>
    <row r="6" spans="1:13" x14ac:dyDescent="0.25">
      <c r="B6" s="4" t="s">
        <v>13</v>
      </c>
      <c r="E6" s="28"/>
      <c r="F6" s="4">
        <f>E9</f>
        <v>511481</v>
      </c>
      <c r="G6" s="4">
        <f t="shared" ref="G6:J6" si="2">F9</f>
        <v>542313.74140100996</v>
      </c>
      <c r="H6" s="4">
        <f t="shared" si="2"/>
        <v>575564.42420032632</v>
      </c>
      <c r="I6" s="4">
        <f t="shared" si="2"/>
        <v>610688.09555731644</v>
      </c>
      <c r="J6" s="4">
        <f t="shared" si="2"/>
        <v>647149.02305718616</v>
      </c>
    </row>
    <row r="7" spans="1:13" x14ac:dyDescent="0.25">
      <c r="B7" s="4" t="s">
        <v>14</v>
      </c>
      <c r="C7" s="13"/>
      <c r="D7" s="13"/>
      <c r="E7" s="128"/>
      <c r="F7" s="4">
        <f>F3*IncState!F16</f>
        <v>118529.25</v>
      </c>
      <c r="G7" s="4">
        <f>G3*IncState!G16</f>
        <v>126233.65125</v>
      </c>
      <c r="H7" s="4">
        <f>H3*IncState!H16</f>
        <v>133807.67032499998</v>
      </c>
      <c r="I7" s="4">
        <f>I3*IncState!I16</f>
        <v>141167.09219287499</v>
      </c>
      <c r="J7" s="4">
        <f>J3*IncState!J16</f>
        <v>148225.44680251877</v>
      </c>
    </row>
    <row r="8" spans="1:13" x14ac:dyDescent="0.25">
      <c r="B8" s="4" t="s">
        <v>15</v>
      </c>
      <c r="E8" s="28"/>
      <c r="F8" s="4">
        <f>F4*F6</f>
        <v>87696.508598990011</v>
      </c>
      <c r="G8" s="4">
        <f t="shared" ref="G8:J8" si="3">G4*G6</f>
        <v>92982.96845068362</v>
      </c>
      <c r="H8" s="4">
        <f t="shared" si="3"/>
        <v>98683.998968009852</v>
      </c>
      <c r="I8" s="4">
        <f t="shared" si="3"/>
        <v>104706.16469300528</v>
      </c>
      <c r="J8" s="4">
        <f t="shared" si="3"/>
        <v>110957.61106544037</v>
      </c>
    </row>
    <row r="9" spans="1:13" x14ac:dyDescent="0.25">
      <c r="B9" s="4" t="s">
        <v>16</v>
      </c>
      <c r="E9" s="28">
        <f>BalSheet!E24</f>
        <v>511481</v>
      </c>
      <c r="F9" s="4">
        <f>F6+F7-F8</f>
        <v>542313.74140100996</v>
      </c>
      <c r="G9" s="4">
        <f t="shared" ref="G9:J9" si="4">G6+G7-G8</f>
        <v>575564.42420032632</v>
      </c>
      <c r="H9" s="4">
        <f t="shared" si="4"/>
        <v>610688.09555731644</v>
      </c>
      <c r="I9" s="4">
        <f t="shared" si="4"/>
        <v>647149.02305718616</v>
      </c>
      <c r="J9" s="4">
        <f t="shared" si="4"/>
        <v>684416.85879426461</v>
      </c>
    </row>
    <row r="10" spans="1:13" x14ac:dyDescent="0.25">
      <c r="A10" s="21" t="s">
        <v>17</v>
      </c>
      <c r="B10" s="42"/>
      <c r="C10" s="238">
        <f t="shared" ref="C10:J10" si="5">C2</f>
        <v>2022</v>
      </c>
      <c r="D10" s="238">
        <f t="shared" si="5"/>
        <v>2023</v>
      </c>
      <c r="E10" s="238">
        <f t="shared" si="5"/>
        <v>2024</v>
      </c>
      <c r="F10" s="238">
        <f t="shared" si="5"/>
        <v>2025</v>
      </c>
      <c r="G10" s="238">
        <f t="shared" ref="G10:J10" si="6">G2</f>
        <v>2026</v>
      </c>
      <c r="H10" s="238">
        <f t="shared" si="6"/>
        <v>2027</v>
      </c>
      <c r="I10" s="238">
        <f t="shared" si="6"/>
        <v>2028</v>
      </c>
      <c r="J10" s="238">
        <f t="shared" si="6"/>
        <v>2029</v>
      </c>
      <c r="K10" s="197"/>
      <c r="L10" s="197"/>
    </row>
    <row r="11" spans="1:13" x14ac:dyDescent="0.25">
      <c r="B11" s="4" t="s">
        <v>18</v>
      </c>
      <c r="E11" s="28"/>
      <c r="F11" s="260">
        <f>Assumptions!F34</f>
        <v>0</v>
      </c>
      <c r="G11" s="260">
        <f>Assumptions!G34</f>
        <v>0</v>
      </c>
      <c r="H11" s="260">
        <f>Assumptions!H34</f>
        <v>0</v>
      </c>
      <c r="I11" s="260">
        <f>Assumptions!I34</f>
        <v>0</v>
      </c>
      <c r="J11" s="260">
        <f>Assumptions!J34</f>
        <v>0</v>
      </c>
      <c r="K11" s="203"/>
      <c r="L11" s="203"/>
    </row>
    <row r="12" spans="1:13" x14ac:dyDescent="0.25">
      <c r="E12" s="28"/>
      <c r="F12" s="78"/>
      <c r="G12" s="78"/>
      <c r="H12" s="78"/>
      <c r="I12" s="78"/>
      <c r="J12" s="78"/>
    </row>
    <row r="13" spans="1:13" x14ac:dyDescent="0.25">
      <c r="B13" s="4" t="s">
        <v>19</v>
      </c>
      <c r="E13" s="28"/>
      <c r="F13" s="4">
        <f>E17</f>
        <v>-3962291</v>
      </c>
      <c r="G13" s="4">
        <f t="shared" ref="G13:J13" si="7">F17</f>
        <v>-3429398.243390887</v>
      </c>
      <c r="H13" s="4">
        <f t="shared" si="7"/>
        <v>-2852887.1276443773</v>
      </c>
      <c r="I13" s="4">
        <f t="shared" si="7"/>
        <v>-2232592.1914494378</v>
      </c>
      <c r="J13" s="4">
        <f t="shared" si="7"/>
        <v>-1568928.0331635459</v>
      </c>
    </row>
    <row r="14" spans="1:13" x14ac:dyDescent="0.25">
      <c r="B14" s="4" t="s">
        <v>20</v>
      </c>
      <c r="E14" s="28"/>
      <c r="F14" s="4">
        <f>IncState!F34</f>
        <v>756721.77324607072</v>
      </c>
      <c r="G14" s="4">
        <f>IncState!G34</f>
        <v>814224.14902042563</v>
      </c>
      <c r="H14" s="4">
        <f>IncState!H34</f>
        <v>871891.98610581306</v>
      </c>
      <c r="I14" s="4">
        <f>IncState!I34</f>
        <v>929145.22483372304</v>
      </c>
      <c r="J14" s="4">
        <f>IncState!J34</f>
        <v>985366.62454210455</v>
      </c>
    </row>
    <row r="15" spans="1:13" x14ac:dyDescent="0.25">
      <c r="B15" s="4" t="s">
        <v>21</v>
      </c>
      <c r="E15" s="28"/>
      <c r="F15" s="4">
        <f>-IncState!F36</f>
        <v>-223829.01663695782</v>
      </c>
      <c r="G15" s="4">
        <f>-IncState!G36</f>
        <v>-237713.03327391567</v>
      </c>
      <c r="H15" s="4">
        <f>-IncState!H36</f>
        <v>-251597.04991087349</v>
      </c>
      <c r="I15" s="4">
        <f>-IncState!I36</f>
        <v>-265481.06654783135</v>
      </c>
      <c r="J15" s="4">
        <f>-IncState!J36</f>
        <v>-279365.08318478917</v>
      </c>
    </row>
    <row r="16" spans="1:13" x14ac:dyDescent="0.25">
      <c r="B16" s="4" t="s">
        <v>22</v>
      </c>
      <c r="E16" s="28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8">
        <f>BalSheet!E41</f>
        <v>-3962291</v>
      </c>
      <c r="F17" s="4">
        <f>SUM(F13:F16)</f>
        <v>-3429398.243390887</v>
      </c>
      <c r="G17" s="4">
        <f t="shared" ref="G17:J17" si="9">SUM(G13:G16)</f>
        <v>-2852887.1276443773</v>
      </c>
      <c r="H17" s="4">
        <f t="shared" si="9"/>
        <v>-2232592.1914494378</v>
      </c>
      <c r="I17" s="4">
        <f t="shared" si="9"/>
        <v>-1568928.0331635459</v>
      </c>
      <c r="J17" s="4">
        <f t="shared" si="9"/>
        <v>-862926.49180623051</v>
      </c>
    </row>
    <row r="18" spans="1:12" x14ac:dyDescent="0.25">
      <c r="A18" s="21" t="s">
        <v>24</v>
      </c>
      <c r="B18" s="42"/>
      <c r="C18" s="238">
        <f>C10</f>
        <v>2022</v>
      </c>
      <c r="D18" s="238">
        <f t="shared" ref="D18:J18" si="10">D10</f>
        <v>2023</v>
      </c>
      <c r="E18" s="238">
        <f t="shared" si="10"/>
        <v>2024</v>
      </c>
      <c r="F18" s="238">
        <f t="shared" si="10"/>
        <v>2025</v>
      </c>
      <c r="G18" s="238">
        <f t="shared" ref="G18:J18" si="11">G10</f>
        <v>2026</v>
      </c>
      <c r="H18" s="238">
        <f t="shared" si="11"/>
        <v>2027</v>
      </c>
      <c r="I18" s="238">
        <f t="shared" si="11"/>
        <v>2028</v>
      </c>
      <c r="J18" s="238">
        <f t="shared" si="11"/>
        <v>2029</v>
      </c>
      <c r="K18" s="197"/>
      <c r="L18" s="197"/>
    </row>
    <row r="19" spans="1:12" x14ac:dyDescent="0.25">
      <c r="A19" s="87"/>
      <c r="B19" s="174" t="s">
        <v>160</v>
      </c>
      <c r="C19" s="197"/>
      <c r="D19" s="197"/>
      <c r="E19" s="218">
        <f>BalSheet!E17</f>
        <v>47064.160000000003</v>
      </c>
      <c r="F19" s="219">
        <f>BalSheet!F17</f>
        <v>49417.368000000002</v>
      </c>
      <c r="G19" s="219">
        <f>BalSheet!G17</f>
        <v>52629.496919999998</v>
      </c>
      <c r="H19" s="219">
        <f>BalSheet!H17</f>
        <v>55787.266735199999</v>
      </c>
      <c r="I19" s="219">
        <f>BalSheet!I17</f>
        <v>58855.566405635996</v>
      </c>
      <c r="J19" s="219">
        <f>BalSheet!J17</f>
        <v>61798.344725917799</v>
      </c>
      <c r="K19" s="197"/>
      <c r="L19" s="197"/>
    </row>
    <row r="20" spans="1:12" x14ac:dyDescent="0.25">
      <c r="B20" s="4" t="str">
        <f>BalSheet!B19</f>
        <v>Accounts receivable</v>
      </c>
      <c r="D20" s="98"/>
      <c r="E20" s="99">
        <f>BalSheet!E19</f>
        <v>309104</v>
      </c>
      <c r="F20" s="98">
        <f>BalSheet!F19</f>
        <v>324559.2</v>
      </c>
      <c r="G20" s="98">
        <f>BalSheet!G19</f>
        <v>345655.54800000001</v>
      </c>
      <c r="H20" s="98">
        <f>BalSheet!H19</f>
        <v>366394.88088000001</v>
      </c>
      <c r="I20" s="98">
        <f>BalSheet!I19</f>
        <v>386546.59932839999</v>
      </c>
      <c r="J20" s="98">
        <f>BalSheet!J19</f>
        <v>405873.92929482</v>
      </c>
      <c r="K20" s="98"/>
      <c r="L20" s="98"/>
    </row>
    <row r="21" spans="1:12" x14ac:dyDescent="0.25">
      <c r="B21" s="4" t="str">
        <f>BalSheet!B20</f>
        <v>Inventories</v>
      </c>
      <c r="C21" s="98"/>
      <c r="D21" s="98"/>
      <c r="E21" s="99">
        <f>BalSheet!E20</f>
        <v>70919</v>
      </c>
      <c r="F21" s="98">
        <f>BalSheet!F20</f>
        <v>74219.692072631166</v>
      </c>
      <c r="G21" s="98">
        <f>BalSheet!G20</f>
        <v>78782.77236470436</v>
      </c>
      <c r="H21" s="98">
        <f>BalSheet!H20</f>
        <v>83232.867032379945</v>
      </c>
      <c r="I21" s="98">
        <f>BalSheet!I20</f>
        <v>87518.575102872783</v>
      </c>
      <c r="J21" s="98">
        <f>BalSheet!J20</f>
        <v>91587.799260913962</v>
      </c>
      <c r="K21" s="98"/>
      <c r="L21" s="98"/>
    </row>
    <row r="22" spans="1:12" x14ac:dyDescent="0.25">
      <c r="B22" s="4" t="s">
        <v>72</v>
      </c>
      <c r="C22" s="98"/>
      <c r="D22" s="98"/>
      <c r="E22" s="99">
        <f>BalSheet!E21</f>
        <v>339129</v>
      </c>
      <c r="F22" s="98">
        <f>BalSheet!F21</f>
        <v>356085.44999999995</v>
      </c>
      <c r="G22" s="98">
        <f>BalSheet!G21</f>
        <v>379231.00425</v>
      </c>
      <c r="H22" s="98">
        <f>BalSheet!H21</f>
        <v>401984.86450499995</v>
      </c>
      <c r="I22" s="98">
        <f>BalSheet!I21</f>
        <v>424094.03205277497</v>
      </c>
      <c r="J22" s="98">
        <f>BalSheet!J21</f>
        <v>445298.73365541373</v>
      </c>
      <c r="K22" s="98"/>
      <c r="L22" s="98"/>
    </row>
    <row r="23" spans="1:12" x14ac:dyDescent="0.25">
      <c r="B23" s="4" t="s">
        <v>166</v>
      </c>
      <c r="C23" s="98"/>
      <c r="D23" s="98"/>
      <c r="E23" s="99">
        <f>BalSheet!E33</f>
        <v>176884</v>
      </c>
      <c r="F23" s="98">
        <f>BalSheet!F33</f>
        <v>185116.48518133772</v>
      </c>
      <c r="G23" s="98">
        <f>BalSheet!G33</f>
        <v>196497.58043624932</v>
      </c>
      <c r="H23" s="98">
        <f>BalSheet!H33</f>
        <v>207596.87040363645</v>
      </c>
      <c r="I23" s="98">
        <f>BalSheet!I33</f>
        <v>218286.15234981524</v>
      </c>
      <c r="J23" s="98">
        <f>BalSheet!J33</f>
        <v>228435.48674498376</v>
      </c>
      <c r="K23" s="98"/>
      <c r="L23" s="98"/>
    </row>
    <row r="24" spans="1:12" x14ac:dyDescent="0.25">
      <c r="B24" s="4" t="s">
        <v>78</v>
      </c>
      <c r="C24" s="98"/>
      <c r="D24" s="98"/>
      <c r="E24" s="99">
        <f>BalSheet!E34</f>
        <v>285899</v>
      </c>
      <c r="F24" s="98">
        <f>BalSheet!F34</f>
        <v>300193.95</v>
      </c>
      <c r="G24" s="98">
        <f>BalSheet!G34</f>
        <v>319706.55674999999</v>
      </c>
      <c r="H24" s="98">
        <f>BalSheet!H34</f>
        <v>338888.95015499997</v>
      </c>
      <c r="I24" s="98">
        <f>BalSheet!I34</f>
        <v>357527.84241352498</v>
      </c>
      <c r="J24" s="98">
        <f>BalSheet!J34</f>
        <v>375404.23453420127</v>
      </c>
      <c r="K24" s="98"/>
      <c r="L24" s="98"/>
    </row>
    <row r="25" spans="1:12" x14ac:dyDescent="0.25">
      <c r="A25" s="11" t="s">
        <v>126</v>
      </c>
      <c r="B25" s="18" t="s">
        <v>24</v>
      </c>
      <c r="C25" s="19"/>
      <c r="D25" s="19"/>
      <c r="E25" s="19">
        <f>SUM(E19:E22)-SUM(E23:E24)</f>
        <v>303433.16000000003</v>
      </c>
      <c r="F25" s="19">
        <f>SUM(F19:F22)-SUM(F23:F24)</f>
        <v>318971.27489129337</v>
      </c>
      <c r="G25" s="19">
        <f t="shared" ref="G25:J25" si="12">SUM(G19:G22)-SUM(G23:G24)</f>
        <v>340094.68434845511</v>
      </c>
      <c r="H25" s="19">
        <f t="shared" si="12"/>
        <v>360914.05859394348</v>
      </c>
      <c r="I25" s="19">
        <f t="shared" si="12"/>
        <v>381200.7781263435</v>
      </c>
      <c r="J25" s="19">
        <f t="shared" si="12"/>
        <v>400719.08565788041</v>
      </c>
      <c r="K25" s="11"/>
      <c r="L25" s="11"/>
    </row>
    <row r="26" spans="1:12" s="11" customFormat="1" x14ac:dyDescent="0.25">
      <c r="A26" s="25"/>
      <c r="B26" s="11" t="s">
        <v>152</v>
      </c>
      <c r="F26" s="11">
        <f>E25-F25</f>
        <v>-15538.114891293342</v>
      </c>
      <c r="G26" s="11">
        <f t="shared" ref="G26:J26" si="13">F25-G25</f>
        <v>-21123.409457161732</v>
      </c>
      <c r="H26" s="11">
        <f t="shared" si="13"/>
        <v>-20819.374245488376</v>
      </c>
      <c r="I26" s="11">
        <f t="shared" si="13"/>
        <v>-20286.71953240002</v>
      </c>
      <c r="J26" s="11">
        <f t="shared" si="13"/>
        <v>-19518.307531536906</v>
      </c>
    </row>
    <row r="27" spans="1:12" x14ac:dyDescent="0.25">
      <c r="B27" s="66"/>
      <c r="C27" s="66"/>
      <c r="D27" s="66"/>
      <c r="E27" s="66"/>
      <c r="F27" s="66"/>
      <c r="G27" s="66"/>
      <c r="H27" s="84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topLeftCell="C1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6" width="12.42578125" style="4" bestFit="1" customWidth="1"/>
    <col min="7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7" t="s">
        <v>10</v>
      </c>
      <c r="B2" s="196"/>
      <c r="C2" s="267">
        <v>2022</v>
      </c>
      <c r="D2" s="267">
        <f>C2+1</f>
        <v>2023</v>
      </c>
      <c r="E2" s="267">
        <f t="shared" ref="E2:J2" si="0">D2+1</f>
        <v>2024</v>
      </c>
      <c r="F2" s="267">
        <f t="shared" si="0"/>
        <v>2025</v>
      </c>
      <c r="G2" s="267">
        <f t="shared" si="0"/>
        <v>2026</v>
      </c>
      <c r="H2" s="267">
        <f t="shared" si="0"/>
        <v>2027</v>
      </c>
      <c r="I2" s="267">
        <f t="shared" si="0"/>
        <v>2028</v>
      </c>
      <c r="J2" s="267">
        <f t="shared" si="0"/>
        <v>2029</v>
      </c>
      <c r="K2" s="205"/>
      <c r="L2" s="205"/>
    </row>
    <row r="3" spans="1:13" s="2" customFormat="1" x14ac:dyDescent="0.25">
      <c r="A3" s="87"/>
      <c r="B3" s="11"/>
      <c r="C3" s="197"/>
      <c r="D3" s="197"/>
      <c r="E3" s="197"/>
      <c r="F3" s="197"/>
      <c r="G3" s="197"/>
      <c r="H3" s="197"/>
      <c r="I3" s="197"/>
      <c r="J3" s="197"/>
      <c r="K3" s="205"/>
      <c r="L3" s="205"/>
    </row>
    <row r="4" spans="1:13" s="2" customFormat="1" x14ac:dyDescent="0.25">
      <c r="A4" s="11"/>
      <c r="B4" s="4" t="s">
        <v>25</v>
      </c>
      <c r="C4" s="30"/>
      <c r="D4" s="56"/>
      <c r="E4" s="60"/>
      <c r="F4" s="111">
        <f>Assumptions!F23</f>
        <v>4.9368179609103946E-2</v>
      </c>
      <c r="G4" s="111">
        <f>Assumptions!G23</f>
        <v>4.9368179609103946E-2</v>
      </c>
      <c r="H4" s="111">
        <f>Assumptions!H23</f>
        <v>4.9368179609103946E-2</v>
      </c>
      <c r="I4" s="111">
        <f>Assumptions!I23</f>
        <v>4.9368179609103946E-2</v>
      </c>
      <c r="J4" s="111">
        <f>Assumptions!J23</f>
        <v>4.9368179609103946E-2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1">
        <f>Assumptions!F24</f>
        <v>3.9368179609103944E-2</v>
      </c>
      <c r="G5" s="111">
        <f>Assumptions!G24</f>
        <v>3.9368179609103944E-2</v>
      </c>
      <c r="H5" s="111">
        <f>Assumptions!H24</f>
        <v>3.9368179609103944E-2</v>
      </c>
      <c r="I5" s="111">
        <f>Assumptions!I24</f>
        <v>3.9368179609103944E-2</v>
      </c>
      <c r="J5" s="111">
        <f>Assumptions!J24</f>
        <v>3.9368179609103944E-2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1">
        <f>Assumptions!F25</f>
        <v>9.1454176203217177E-2</v>
      </c>
      <c r="G6" s="111">
        <f>Assumptions!G25</f>
        <v>9.1454176203217177E-2</v>
      </c>
      <c r="H6" s="111">
        <f>Assumptions!H25</f>
        <v>9.1454176203217177E-2</v>
      </c>
      <c r="I6" s="111">
        <f>Assumptions!I25</f>
        <v>9.1454176203217177E-2</v>
      </c>
      <c r="J6" s="111">
        <f>Assumptions!J25</f>
        <v>9.1454176203217177E-2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6"/>
      <c r="L7" s="206"/>
    </row>
    <row r="8" spans="1:13" s="2" customFormat="1" x14ac:dyDescent="0.25">
      <c r="A8" s="11"/>
      <c r="B8" s="4" t="s">
        <v>28</v>
      </c>
      <c r="C8" s="30"/>
      <c r="D8" s="58"/>
      <c r="E8" s="62"/>
      <c r="F8" s="112">
        <f>Assumptions!F27</f>
        <v>0</v>
      </c>
      <c r="G8" s="112">
        <f>Assumptions!G27</f>
        <v>0</v>
      </c>
      <c r="H8" s="112">
        <f>Assumptions!H27</f>
        <v>0</v>
      </c>
      <c r="I8" s="112">
        <f>Assumptions!I27</f>
        <v>0</v>
      </c>
      <c r="J8" s="112">
        <f>Assumptions!J27</f>
        <v>0</v>
      </c>
      <c r="K8" s="207"/>
      <c r="L8" s="207"/>
    </row>
    <row r="9" spans="1:13" s="2" customFormat="1" x14ac:dyDescent="0.25">
      <c r="A9" s="11"/>
      <c r="B9" s="4" t="s">
        <v>29</v>
      </c>
      <c r="C9" s="30"/>
      <c r="D9" s="58"/>
      <c r="E9" s="62"/>
      <c r="F9" s="112">
        <v>-1149679</v>
      </c>
      <c r="G9" s="112">
        <f>Assumptions!G28</f>
        <v>0</v>
      </c>
      <c r="H9" s="112">
        <f>Assumptions!H28</f>
        <v>0</v>
      </c>
      <c r="I9" s="112">
        <f>Assumptions!I28</f>
        <v>0</v>
      </c>
      <c r="J9" s="112">
        <f>Assumptions!J28</f>
        <v>0</v>
      </c>
      <c r="K9" s="207"/>
      <c r="L9" s="207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1" t="s">
        <v>30</v>
      </c>
      <c r="B11" s="54"/>
      <c r="C11" s="258">
        <f>C2</f>
        <v>2022</v>
      </c>
      <c r="D11" s="258">
        <f t="shared" ref="D11:J11" si="1">D2</f>
        <v>2023</v>
      </c>
      <c r="E11" s="258">
        <f t="shared" si="1"/>
        <v>2024</v>
      </c>
      <c r="F11" s="258">
        <f t="shared" si="1"/>
        <v>2025</v>
      </c>
      <c r="G11" s="258">
        <f t="shared" si="1"/>
        <v>2026</v>
      </c>
      <c r="H11" s="258">
        <f t="shared" si="1"/>
        <v>2027</v>
      </c>
      <c r="I11" s="258">
        <f t="shared" si="1"/>
        <v>2028</v>
      </c>
      <c r="J11" s="258">
        <f t="shared" si="1"/>
        <v>2029</v>
      </c>
      <c r="K11" s="208"/>
      <c r="L11" s="208"/>
      <c r="M11" s="47"/>
    </row>
    <row r="12" spans="1:13" x14ac:dyDescent="0.25">
      <c r="B12" s="4" t="s">
        <v>31</v>
      </c>
      <c r="E12" s="28"/>
      <c r="F12" s="4">
        <f>BalSheet!F32</f>
        <v>517686.7596831905</v>
      </c>
      <c r="G12" s="4">
        <f>BalSheet!G32</f>
        <v>0</v>
      </c>
      <c r="H12" s="4">
        <f>BalSheet!H32</f>
        <v>0</v>
      </c>
      <c r="I12" s="4">
        <f>BalSheet!I32</f>
        <v>0</v>
      </c>
      <c r="J12" s="4">
        <f>BalSheet!J32</f>
        <v>0</v>
      </c>
      <c r="M12" s="47"/>
    </row>
    <row r="13" spans="1:13" s="8" customFormat="1" x14ac:dyDescent="0.25">
      <c r="A13" s="12"/>
      <c r="B13" s="8" t="s">
        <v>32</v>
      </c>
      <c r="E13" s="282"/>
      <c r="F13" s="8">
        <f>F4</f>
        <v>4.9368179609103946E-2</v>
      </c>
      <c r="G13" s="8">
        <f t="shared" ref="G13:J13" si="2">G4</f>
        <v>4.9368179609103946E-2</v>
      </c>
      <c r="H13" s="8">
        <f t="shared" si="2"/>
        <v>4.9368179609103946E-2</v>
      </c>
      <c r="I13" s="8">
        <f t="shared" si="2"/>
        <v>4.9368179609103946E-2</v>
      </c>
      <c r="J13" s="8">
        <f t="shared" si="2"/>
        <v>4.9368179609103946E-2</v>
      </c>
    </row>
    <row r="14" spans="1:13" x14ac:dyDescent="0.25">
      <c r="B14" s="4" t="s">
        <v>33</v>
      </c>
      <c r="E14" s="28"/>
      <c r="F14" s="4">
        <f>-F12*F13</f>
        <v>-25557.252933294782</v>
      </c>
      <c r="G14" s="4">
        <f t="shared" ref="G14:J14" si="3">-G12*G13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M14" s="47"/>
    </row>
    <row r="15" spans="1:13" x14ac:dyDescent="0.25">
      <c r="E15" s="28"/>
      <c r="I15" s="4"/>
      <c r="J15" s="4"/>
      <c r="M15" s="47"/>
    </row>
    <row r="16" spans="1:13" x14ac:dyDescent="0.25">
      <c r="A16" s="266" t="s">
        <v>34</v>
      </c>
      <c r="B16" s="20"/>
      <c r="C16" s="258">
        <f t="shared" ref="C16:J16" si="4">C11</f>
        <v>2022</v>
      </c>
      <c r="D16" s="258">
        <f t="shared" si="4"/>
        <v>2023</v>
      </c>
      <c r="E16" s="258">
        <f t="shared" si="4"/>
        <v>2024</v>
      </c>
      <c r="F16" s="258">
        <f t="shared" si="4"/>
        <v>2025</v>
      </c>
      <c r="G16" s="258">
        <f t="shared" ref="G16:J16" si="5">G11</f>
        <v>2026</v>
      </c>
      <c r="H16" s="258">
        <f t="shared" si="5"/>
        <v>2027</v>
      </c>
      <c r="I16" s="258">
        <f t="shared" si="5"/>
        <v>2028</v>
      </c>
      <c r="J16" s="258">
        <f t="shared" si="5"/>
        <v>2029</v>
      </c>
      <c r="K16" s="205"/>
      <c r="L16" s="205"/>
      <c r="M16" s="47"/>
    </row>
    <row r="17" spans="1:13" x14ac:dyDescent="0.25">
      <c r="B17" s="4" t="s">
        <v>19</v>
      </c>
      <c r="E17" s="28"/>
      <c r="F17" s="4">
        <f>E20</f>
        <v>4975338</v>
      </c>
      <c r="G17" s="4">
        <f t="shared" ref="G17:J17" si="6">F20</f>
        <v>3825659</v>
      </c>
      <c r="H17" s="4">
        <f t="shared" si="6"/>
        <v>3825659</v>
      </c>
      <c r="I17" s="4">
        <f t="shared" si="6"/>
        <v>3825659</v>
      </c>
      <c r="J17" s="4">
        <f t="shared" si="6"/>
        <v>3825659</v>
      </c>
      <c r="M17" s="47"/>
    </row>
    <row r="18" spans="1:13" x14ac:dyDescent="0.25">
      <c r="B18" s="4" t="s">
        <v>35</v>
      </c>
      <c r="E18" s="28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7"/>
    </row>
    <row r="19" spans="1:13" x14ac:dyDescent="0.25">
      <c r="B19" s="4" t="s">
        <v>36</v>
      </c>
      <c r="E19" s="28"/>
      <c r="F19" s="4">
        <f>F9</f>
        <v>-1149679</v>
      </c>
      <c r="G19" s="4">
        <f t="shared" ref="G19:J19" si="8">G9</f>
        <v>0</v>
      </c>
      <c r="H19" s="4">
        <f t="shared" si="8"/>
        <v>0</v>
      </c>
      <c r="I19" s="4">
        <f t="shared" si="8"/>
        <v>0</v>
      </c>
      <c r="J19" s="4">
        <f t="shared" si="8"/>
        <v>0</v>
      </c>
    </row>
    <row r="20" spans="1:13" x14ac:dyDescent="0.25">
      <c r="B20" s="4" t="s">
        <v>23</v>
      </c>
      <c r="C20" s="10"/>
      <c r="E20" s="28">
        <f>BalSheet!E37</f>
        <v>4975338</v>
      </c>
      <c r="F20" s="4">
        <f>SUM(F17:F19)</f>
        <v>3825659</v>
      </c>
      <c r="G20" s="4">
        <f t="shared" ref="G20:J20" si="9">SUM(G17:G19)</f>
        <v>3825659</v>
      </c>
      <c r="H20" s="4">
        <f t="shared" si="9"/>
        <v>3825659</v>
      </c>
      <c r="I20" s="4">
        <f t="shared" si="9"/>
        <v>3825659</v>
      </c>
      <c r="J20" s="4">
        <f t="shared" si="9"/>
        <v>3825659</v>
      </c>
    </row>
    <row r="21" spans="1:13" x14ac:dyDescent="0.25">
      <c r="B21" s="4" t="s">
        <v>32</v>
      </c>
      <c r="D21" s="48"/>
      <c r="E21" s="28"/>
      <c r="F21" s="8">
        <f>F5</f>
        <v>3.9368179609103944E-2</v>
      </c>
      <c r="G21" s="8">
        <f t="shared" ref="G21:J21" si="10">G5</f>
        <v>3.9368179609103944E-2</v>
      </c>
      <c r="H21" s="8">
        <f t="shared" si="10"/>
        <v>3.9368179609103944E-2</v>
      </c>
      <c r="I21" s="8">
        <f t="shared" si="10"/>
        <v>3.9368179609103944E-2</v>
      </c>
      <c r="J21" s="8">
        <f t="shared" si="10"/>
        <v>3.9368179609103944E-2</v>
      </c>
    </row>
    <row r="22" spans="1:13" x14ac:dyDescent="0.25">
      <c r="B22" s="4" t="s">
        <v>33</v>
      </c>
      <c r="E22" s="28"/>
      <c r="F22" s="4">
        <f>F20*-F21</f>
        <v>-150609.230635185</v>
      </c>
      <c r="G22" s="4">
        <f t="shared" ref="G22:J22" si="11">G20*-G21</f>
        <v>-150609.230635185</v>
      </c>
      <c r="H22" s="4">
        <f t="shared" si="11"/>
        <v>-150609.230635185</v>
      </c>
      <c r="I22" s="4">
        <f t="shared" si="11"/>
        <v>-150609.230635185</v>
      </c>
      <c r="J22" s="4">
        <f t="shared" si="11"/>
        <v>-150609.230635185</v>
      </c>
    </row>
    <row r="23" spans="1:13" x14ac:dyDescent="0.25">
      <c r="E23" s="28"/>
      <c r="I23" s="4"/>
      <c r="J23" s="4"/>
    </row>
    <row r="24" spans="1:13" x14ac:dyDescent="0.25">
      <c r="A24" s="21" t="s">
        <v>37</v>
      </c>
      <c r="B24" s="42"/>
      <c r="C24" s="258">
        <f>C16</f>
        <v>2022</v>
      </c>
      <c r="D24" s="258">
        <f t="shared" ref="D24:J24" si="12">D16</f>
        <v>2023</v>
      </c>
      <c r="E24" s="258">
        <f t="shared" si="12"/>
        <v>2024</v>
      </c>
      <c r="F24" s="258">
        <f t="shared" si="12"/>
        <v>2025</v>
      </c>
      <c r="G24" s="258">
        <f t="shared" ref="G24:J24" si="13">G16</f>
        <v>2026</v>
      </c>
      <c r="H24" s="258">
        <f t="shared" si="13"/>
        <v>2027</v>
      </c>
      <c r="I24" s="258">
        <f t="shared" si="13"/>
        <v>2028</v>
      </c>
      <c r="J24" s="258">
        <f t="shared" si="13"/>
        <v>2029</v>
      </c>
      <c r="K24" s="205"/>
      <c r="L24" s="205"/>
    </row>
    <row r="25" spans="1:13" x14ac:dyDescent="0.25">
      <c r="A25" s="7"/>
      <c r="B25" s="4" t="s">
        <v>30</v>
      </c>
      <c r="E25" s="28"/>
      <c r="F25" s="4">
        <f>F12</f>
        <v>517686.7596831905</v>
      </c>
      <c r="G25" s="4">
        <f t="shared" ref="G25:J25" si="14">G12</f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</row>
    <row r="26" spans="1:13" x14ac:dyDescent="0.25">
      <c r="A26" s="7"/>
      <c r="B26" s="4" t="s">
        <v>38</v>
      </c>
      <c r="E26" s="28"/>
      <c r="F26" s="4">
        <f>F20</f>
        <v>3825659</v>
      </c>
      <c r="G26" s="4">
        <f t="shared" ref="G26:J26" si="15">G20</f>
        <v>3825659</v>
      </c>
      <c r="H26" s="4">
        <f t="shared" si="15"/>
        <v>3825659</v>
      </c>
      <c r="I26" s="4">
        <f t="shared" si="15"/>
        <v>3825659</v>
      </c>
      <c r="J26" s="4">
        <f t="shared" si="15"/>
        <v>3825659</v>
      </c>
    </row>
    <row r="27" spans="1:13" x14ac:dyDescent="0.25">
      <c r="A27" s="7"/>
      <c r="B27" s="11" t="s">
        <v>39</v>
      </c>
      <c r="D27" s="11"/>
      <c r="E27" s="25"/>
      <c r="F27" s="11">
        <f>SUM(F25:F26)</f>
        <v>4343345.7596831908</v>
      </c>
      <c r="G27" s="11">
        <f t="shared" ref="G27:J27" si="16">SUM(G25:G26)</f>
        <v>3825659</v>
      </c>
      <c r="H27" s="11">
        <f t="shared" si="16"/>
        <v>3825659</v>
      </c>
      <c r="I27" s="11">
        <f t="shared" si="16"/>
        <v>3825659</v>
      </c>
      <c r="J27" s="11">
        <f t="shared" si="16"/>
        <v>3825659</v>
      </c>
      <c r="K27" s="11"/>
      <c r="L27" s="11"/>
    </row>
    <row r="28" spans="1:13" x14ac:dyDescent="0.25">
      <c r="A28" s="7"/>
      <c r="B28" s="4" t="s">
        <v>40</v>
      </c>
      <c r="E28" s="28"/>
      <c r="F28" s="4">
        <f>SUM(F22,F14)</f>
        <v>-176166.48356847977</v>
      </c>
      <c r="G28" s="4">
        <f t="shared" ref="G28:J28" si="17">SUM(G22,G14)</f>
        <v>-150609.230635185</v>
      </c>
      <c r="H28" s="4">
        <f t="shared" si="17"/>
        <v>-150609.230635185</v>
      </c>
      <c r="I28" s="4">
        <f t="shared" si="17"/>
        <v>-150609.230635185</v>
      </c>
      <c r="J28" s="4">
        <f t="shared" si="17"/>
        <v>-150609.230635185</v>
      </c>
    </row>
    <row r="29" spans="1:13" x14ac:dyDescent="0.25">
      <c r="A29" s="7"/>
      <c r="E29" s="28"/>
      <c r="I29" s="4"/>
      <c r="J29" s="4"/>
    </row>
    <row r="30" spans="1:13" x14ac:dyDescent="0.25">
      <c r="A30" s="21" t="s">
        <v>41</v>
      </c>
      <c r="B30" s="42"/>
      <c r="C30" s="258">
        <f>C11</f>
        <v>2022</v>
      </c>
      <c r="D30" s="258">
        <f t="shared" ref="D30:J30" si="18">D11</f>
        <v>2023</v>
      </c>
      <c r="E30" s="258">
        <f t="shared" si="18"/>
        <v>2024</v>
      </c>
      <c r="F30" s="258">
        <f t="shared" si="18"/>
        <v>2025</v>
      </c>
      <c r="G30" s="258">
        <f t="shared" ref="G30:J30" si="19">G11</f>
        <v>2026</v>
      </c>
      <c r="H30" s="258">
        <f t="shared" si="19"/>
        <v>2027</v>
      </c>
      <c r="I30" s="258">
        <f t="shared" si="19"/>
        <v>2028</v>
      </c>
      <c r="J30" s="258">
        <f t="shared" si="19"/>
        <v>2029</v>
      </c>
      <c r="K30" s="205"/>
      <c r="L30" s="205"/>
    </row>
    <row r="31" spans="1:13" x14ac:dyDescent="0.25">
      <c r="A31" s="7"/>
      <c r="B31" s="4" t="s">
        <v>172</v>
      </c>
      <c r="E31" s="28"/>
      <c r="F31" s="4">
        <f>BalSheet!F18</f>
        <v>0</v>
      </c>
      <c r="G31" s="4">
        <f>BalSheet!G18</f>
        <v>13197.86630684149</v>
      </c>
      <c r="H31" s="4">
        <f>BalSheet!H18</f>
        <v>586149.32304930245</v>
      </c>
      <c r="I31" s="4">
        <f>BalSheet!I18</f>
        <v>1201421.7460786744</v>
      </c>
      <c r="J31" s="4">
        <f>BalSheet!J18</f>
        <v>1858651.223188662</v>
      </c>
    </row>
    <row r="32" spans="1:13" x14ac:dyDescent="0.25">
      <c r="B32" s="4" t="s">
        <v>32</v>
      </c>
      <c r="D32" s="48"/>
      <c r="E32" s="24"/>
      <c r="F32" s="5">
        <f>F6</f>
        <v>9.1454176203217177E-2</v>
      </c>
      <c r="G32" s="5">
        <f t="shared" ref="G32:J32" si="20">G6</f>
        <v>9.1454176203217177E-2</v>
      </c>
      <c r="H32" s="5">
        <f t="shared" si="20"/>
        <v>9.1454176203217177E-2</v>
      </c>
      <c r="I32" s="5">
        <f t="shared" si="20"/>
        <v>9.1454176203217177E-2</v>
      </c>
      <c r="J32" s="5">
        <f t="shared" si="20"/>
        <v>9.1454176203217177E-2</v>
      </c>
      <c r="K32" s="173"/>
      <c r="L32" s="173"/>
    </row>
    <row r="33" spans="2:10" x14ac:dyDescent="0.25">
      <c r="B33" s="4" t="s">
        <v>41</v>
      </c>
      <c r="E33" s="28"/>
      <c r="F33" s="4">
        <f>F31*F32</f>
        <v>0</v>
      </c>
      <c r="G33" s="4">
        <f t="shared" ref="G33:J33" si="21">G31*G32</f>
        <v>1206.9999907323847</v>
      </c>
      <c r="H33" s="4">
        <f t="shared" si="21"/>
        <v>53605.803471547377</v>
      </c>
      <c r="I33" s="4">
        <f t="shared" si="21"/>
        <v>109875.03606025594</v>
      </c>
      <c r="J33" s="4">
        <f t="shared" si="21"/>
        <v>169981.41646582104</v>
      </c>
    </row>
    <row r="34" spans="2:10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topLeftCell="C1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16"/>
      <c r="C2" s="268">
        <v>2022</v>
      </c>
      <c r="D2" s="268">
        <f>C2+1</f>
        <v>2023</v>
      </c>
      <c r="E2" s="268">
        <f t="shared" ref="E2:J2" si="0">D2+1</f>
        <v>2024</v>
      </c>
      <c r="F2" s="268">
        <f t="shared" si="0"/>
        <v>2025</v>
      </c>
      <c r="G2" s="268">
        <f t="shared" si="0"/>
        <v>2026</v>
      </c>
      <c r="H2" s="268">
        <f t="shared" si="0"/>
        <v>2027</v>
      </c>
      <c r="I2" s="268">
        <f t="shared" si="0"/>
        <v>2028</v>
      </c>
      <c r="J2" s="268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43</v>
      </c>
      <c r="C4" s="31"/>
      <c r="D4" s="31"/>
      <c r="E4" s="32"/>
      <c r="F4" s="177">
        <f>Assumptions!F10</f>
        <v>0.05</v>
      </c>
      <c r="G4" s="177">
        <f>Assumptions!G10</f>
        <v>6.5000000000000002E-2</v>
      </c>
      <c r="H4" s="177">
        <f>Assumptions!H10</f>
        <v>0.06</v>
      </c>
      <c r="I4" s="177">
        <f>Assumptions!I10</f>
        <v>5.5E-2</v>
      </c>
      <c r="J4" s="177">
        <f>Assumptions!J10</f>
        <v>0.05</v>
      </c>
      <c r="K4" s="210"/>
      <c r="L4" s="210"/>
    </row>
    <row r="5" spans="1:12" x14ac:dyDescent="0.25">
      <c r="B5" s="30" t="s">
        <v>44</v>
      </c>
      <c r="C5" s="31"/>
      <c r="D5" s="31"/>
      <c r="E5" s="31"/>
      <c r="F5" s="177">
        <f>Assumptions!F11</f>
        <v>0.60523786422619674</v>
      </c>
      <c r="G5" s="177">
        <f>Assumptions!G11</f>
        <v>0.60323786422619674</v>
      </c>
      <c r="H5" s="177">
        <f>Assumptions!H11</f>
        <v>0.60123786422619674</v>
      </c>
      <c r="I5" s="177">
        <f>Assumptions!I11</f>
        <v>0.59923786422619674</v>
      </c>
      <c r="J5" s="177">
        <f>Assumptions!J11</f>
        <v>0.59723786422619674</v>
      </c>
      <c r="K5" s="210"/>
      <c r="L5" s="210"/>
    </row>
    <row r="6" spans="1:12" x14ac:dyDescent="0.25">
      <c r="B6" s="30" t="s">
        <v>45</v>
      </c>
      <c r="C6" s="31"/>
      <c r="D6" s="31"/>
      <c r="E6" s="31"/>
      <c r="F6" s="177">
        <f>Assumptions!F12</f>
        <v>0.2009283277213795</v>
      </c>
      <c r="G6" s="177">
        <f>Assumptions!G12</f>
        <v>0.2009283277213795</v>
      </c>
      <c r="H6" s="177">
        <f>Assumptions!H12</f>
        <v>0.2009283277213795</v>
      </c>
      <c r="I6" s="177">
        <f>Assumptions!I12</f>
        <v>0.2009283277213795</v>
      </c>
      <c r="J6" s="177">
        <f>Assumptions!J12</f>
        <v>0.2009283277213795</v>
      </c>
      <c r="K6" s="210"/>
      <c r="L6" s="210"/>
    </row>
    <row r="7" spans="1:12" x14ac:dyDescent="0.25">
      <c r="A7" s="87"/>
      <c r="B7" s="4" t="s">
        <v>46</v>
      </c>
      <c r="C7" s="30"/>
      <c r="D7" s="30"/>
      <c r="E7" s="30"/>
      <c r="F7" s="178">
        <f>Assumptions!F13</f>
        <v>0</v>
      </c>
      <c r="G7" s="178">
        <f>Assumptions!G13</f>
        <v>0</v>
      </c>
      <c r="H7" s="178">
        <f>Assumptions!H13</f>
        <v>0</v>
      </c>
      <c r="I7" s="178">
        <f>Assumptions!I13</f>
        <v>0</v>
      </c>
      <c r="J7" s="178">
        <f>Assumptions!J13</f>
        <v>0</v>
      </c>
      <c r="K7" s="211"/>
      <c r="L7" s="211"/>
    </row>
    <row r="8" spans="1:12" x14ac:dyDescent="0.25">
      <c r="A8" s="87"/>
      <c r="B8" s="4" t="s">
        <v>47</v>
      </c>
      <c r="C8" s="30"/>
      <c r="D8" s="30"/>
      <c r="E8" s="30"/>
      <c r="F8" s="179">
        <f>Assumptions!F14</f>
        <v>0</v>
      </c>
      <c r="G8" s="179">
        <f>Assumptions!G14</f>
        <v>0</v>
      </c>
      <c r="H8" s="179">
        <f>Assumptions!H14</f>
        <v>0</v>
      </c>
      <c r="I8" s="179">
        <f>Assumptions!I14</f>
        <v>0</v>
      </c>
      <c r="J8" s="179">
        <f>Assumptions!J14</f>
        <v>0</v>
      </c>
      <c r="K8" s="212"/>
      <c r="L8" s="212"/>
    </row>
    <row r="9" spans="1:12" x14ac:dyDescent="0.25">
      <c r="B9" s="4" t="s">
        <v>147</v>
      </c>
      <c r="F9" s="179">
        <f>Assumptions!F15</f>
        <v>0</v>
      </c>
      <c r="G9" s="179">
        <f>Assumptions!G15</f>
        <v>0</v>
      </c>
      <c r="H9" s="179">
        <f>Assumptions!H15</f>
        <v>0</v>
      </c>
      <c r="I9" s="179">
        <f>Assumptions!I15</f>
        <v>0</v>
      </c>
      <c r="J9" s="179">
        <f>Assumptions!J15</f>
        <v>0</v>
      </c>
      <c r="K9" s="212"/>
      <c r="L9" s="212"/>
    </row>
    <row r="10" spans="1:12" x14ac:dyDescent="0.25">
      <c r="B10" s="30" t="s">
        <v>48</v>
      </c>
      <c r="C10" s="43"/>
      <c r="D10" s="43"/>
      <c r="E10" s="43"/>
      <c r="F10" s="177">
        <f>Assumptions!F16</f>
        <v>0.21</v>
      </c>
      <c r="G10" s="177">
        <f>Assumptions!G16</f>
        <v>0.21</v>
      </c>
      <c r="H10" s="177">
        <f>Assumptions!H16</f>
        <v>0.21</v>
      </c>
      <c r="I10" s="177">
        <f>Assumptions!I16</f>
        <v>0.21</v>
      </c>
      <c r="J10" s="177">
        <f>Assumptions!J16</f>
        <v>0.21</v>
      </c>
      <c r="K10" s="210"/>
      <c r="L10" s="210"/>
    </row>
    <row r="11" spans="1:12" s="270" customFormat="1" x14ac:dyDescent="0.25">
      <c r="A11" s="273"/>
      <c r="B11" s="270" t="s">
        <v>141</v>
      </c>
      <c r="E11" s="274"/>
      <c r="F11" s="275">
        <f>Assumptions!F17</f>
        <v>6.4485378400123246</v>
      </c>
      <c r="G11" s="275">
        <f>Assumptions!G17</f>
        <v>6.8485378400123249</v>
      </c>
      <c r="H11" s="275">
        <f>Assumptions!H17</f>
        <v>7.2485378400123253</v>
      </c>
      <c r="I11" s="275">
        <f>Assumptions!I17</f>
        <v>7.6485378400123256</v>
      </c>
      <c r="J11" s="275">
        <f>Assumptions!J17</f>
        <v>8.048537840012326</v>
      </c>
      <c r="K11" s="276"/>
      <c r="L11" s="276"/>
    </row>
    <row r="12" spans="1:12" x14ac:dyDescent="0.25">
      <c r="B12" s="4" t="s">
        <v>49</v>
      </c>
      <c r="C12" s="30"/>
      <c r="D12" s="30"/>
      <c r="E12" s="39"/>
      <c r="F12" s="179">
        <f>Assumptions!F18</f>
        <v>34710.04159239454</v>
      </c>
      <c r="G12" s="179">
        <f>Assumptions!G18</f>
        <v>34710.04159239454</v>
      </c>
      <c r="H12" s="179">
        <f>Assumptions!H18</f>
        <v>34710.04159239454</v>
      </c>
      <c r="I12" s="179">
        <f>Assumptions!I18</f>
        <v>34710.04159239454</v>
      </c>
      <c r="J12" s="179">
        <f>Assumptions!J18</f>
        <v>34710.04159239454</v>
      </c>
      <c r="K12" s="212"/>
      <c r="L12" s="212"/>
    </row>
    <row r="13" spans="1:12" x14ac:dyDescent="0.25">
      <c r="B13" s="4" t="s">
        <v>50</v>
      </c>
      <c r="C13" s="30"/>
      <c r="D13" s="30"/>
      <c r="E13" s="39"/>
      <c r="F13" s="179">
        <f>Assumptions!F19</f>
        <v>35001.198322348711</v>
      </c>
      <c r="G13" s="179">
        <f>Assumptions!G19</f>
        <v>35001.198322348711</v>
      </c>
      <c r="H13" s="179">
        <f>Assumptions!H19</f>
        <v>35001.198322348711</v>
      </c>
      <c r="I13" s="179">
        <f>Assumptions!I19</f>
        <v>35001.198322348711</v>
      </c>
      <c r="J13" s="179">
        <f>Assumptions!J19</f>
        <v>35001.198322348711</v>
      </c>
      <c r="K13" s="212"/>
      <c r="L13" s="212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80" t="s">
        <v>42</v>
      </c>
      <c r="B15" s="181"/>
      <c r="C15" s="152">
        <f>C37</f>
        <v>44926</v>
      </c>
      <c r="D15" s="152">
        <f t="shared" ref="D15:J15" si="1">D37</f>
        <v>45291</v>
      </c>
      <c r="E15" s="152">
        <f t="shared" si="1"/>
        <v>45657</v>
      </c>
      <c r="F15" s="152">
        <f t="shared" si="1"/>
        <v>46022</v>
      </c>
      <c r="G15" s="152">
        <f t="shared" si="1"/>
        <v>46022</v>
      </c>
      <c r="H15" s="152">
        <f t="shared" si="1"/>
        <v>46022</v>
      </c>
      <c r="I15" s="152">
        <f t="shared" si="1"/>
        <v>46022</v>
      </c>
      <c r="J15" s="152">
        <f t="shared" si="1"/>
        <v>46022</v>
      </c>
      <c r="K15" s="208"/>
      <c r="L15" s="208"/>
    </row>
    <row r="16" spans="1:12" x14ac:dyDescent="0.25">
      <c r="B16" s="4" t="s">
        <v>51</v>
      </c>
      <c r="C16" s="98">
        <v>4537158</v>
      </c>
      <c r="D16" s="124">
        <v>4479358</v>
      </c>
      <c r="E16" s="23">
        <v>4706416</v>
      </c>
      <c r="F16" s="4">
        <f>E16*(1+F4)</f>
        <v>4941736.8</v>
      </c>
      <c r="G16" s="4">
        <f t="shared" ref="G16:J16" si="2">F16*(1+G4)</f>
        <v>5262949.6919999998</v>
      </c>
      <c r="H16" s="4">
        <f t="shared" si="2"/>
        <v>5578726.6735199997</v>
      </c>
      <c r="I16" s="4">
        <f t="shared" si="2"/>
        <v>5885556.6405635998</v>
      </c>
      <c r="J16" s="4">
        <f t="shared" si="2"/>
        <v>6179834.4725917801</v>
      </c>
    </row>
    <row r="17" spans="1:12" x14ac:dyDescent="0.25">
      <c r="B17" s="4" t="s">
        <v>159</v>
      </c>
      <c r="C17" s="124">
        <v>2888552</v>
      </c>
      <c r="D17" s="124">
        <v>2751941</v>
      </c>
      <c r="E17" s="23">
        <v>2857914</v>
      </c>
      <c r="F17" s="175">
        <f>F16*F5</f>
        <v>2990926.2264</v>
      </c>
      <c r="G17" s="175">
        <f t="shared" ref="G17:J17" si="3">G16*G5</f>
        <v>3174810.5317319999</v>
      </c>
      <c r="H17" s="175">
        <f t="shared" si="3"/>
        <v>3354141.7102888799</v>
      </c>
      <c r="I17" s="175">
        <f t="shared" si="3"/>
        <v>3526848.3910736409</v>
      </c>
      <c r="J17" s="175">
        <f t="shared" si="3"/>
        <v>3690831.1416821396</v>
      </c>
      <c r="K17" s="209"/>
      <c r="L17" s="209"/>
    </row>
    <row r="18" spans="1:12" x14ac:dyDescent="0.25">
      <c r="B18" s="4" t="s">
        <v>52</v>
      </c>
      <c r="C18" s="124">
        <f>416524+485330-21173</f>
        <v>880681</v>
      </c>
      <c r="D18" s="124">
        <f>434554+473195+149</f>
        <v>907898</v>
      </c>
      <c r="E18" s="23">
        <f>459492+509853+158</f>
        <v>969503</v>
      </c>
      <c r="F18" s="175">
        <f>F16*F6</f>
        <v>992934.91126320115</v>
      </c>
      <c r="G18" s="175">
        <f t="shared" ref="G18:J18" si="4">G16*G6</f>
        <v>1057475.6804953092</v>
      </c>
      <c r="H18" s="175">
        <f t="shared" si="4"/>
        <v>1120924.2213250278</v>
      </c>
      <c r="I18" s="175">
        <f t="shared" si="4"/>
        <v>1182575.0534979044</v>
      </c>
      <c r="J18" s="175">
        <f t="shared" si="4"/>
        <v>1241703.8061727996</v>
      </c>
      <c r="K18" s="209"/>
      <c r="L18" s="209"/>
    </row>
    <row r="19" spans="1:12" s="11" customFormat="1" x14ac:dyDescent="0.25">
      <c r="A19" s="11" t="s">
        <v>126</v>
      </c>
      <c r="B19" s="18" t="s">
        <v>55</v>
      </c>
      <c r="C19" s="19">
        <f>C16-SUM(C17:C18)</f>
        <v>767925</v>
      </c>
      <c r="D19" s="19">
        <f>D16-SUM(D17:D18)</f>
        <v>819519</v>
      </c>
      <c r="E19" s="19">
        <f>E16-SUM(E17:E18)</f>
        <v>878999</v>
      </c>
      <c r="F19" s="19">
        <f>F16-SUM(F17:F18)</f>
        <v>957875.66233679838</v>
      </c>
      <c r="G19" s="19">
        <f t="shared" ref="G19:J19" si="5">G16-SUM(G17:G18)</f>
        <v>1030663.4797726907</v>
      </c>
      <c r="H19" s="19">
        <f t="shared" si="5"/>
        <v>1103660.7419060925</v>
      </c>
      <c r="I19" s="19">
        <f t="shared" si="5"/>
        <v>1176133.1959920544</v>
      </c>
      <c r="J19" s="19">
        <f t="shared" si="5"/>
        <v>1247299.5247368412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5">
        <v>80251</v>
      </c>
      <c r="D21" s="125">
        <v>80640</v>
      </c>
      <c r="E21" s="26">
        <v>87732</v>
      </c>
      <c r="F21" s="4">
        <f>Calcs!F8</f>
        <v>87696.508598990011</v>
      </c>
      <c r="G21" s="4">
        <f>Calcs!G8</f>
        <v>92982.96845068362</v>
      </c>
      <c r="H21" s="4">
        <f>Calcs!H8</f>
        <v>98683.998968009852</v>
      </c>
      <c r="I21" s="4">
        <f>Calcs!I8</f>
        <v>104706.16469300528</v>
      </c>
      <c r="J21" s="4">
        <f>Calcs!J8</f>
        <v>110957.61106544037</v>
      </c>
      <c r="K21" s="4"/>
      <c r="L21" s="4"/>
    </row>
    <row r="22" spans="1:12" s="11" customFormat="1" x14ac:dyDescent="0.25">
      <c r="B22" s="4" t="s">
        <v>54</v>
      </c>
      <c r="C22" s="98">
        <v>0</v>
      </c>
      <c r="D22" s="98">
        <v>0</v>
      </c>
      <c r="E22" s="126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9" customFormat="1" x14ac:dyDescent="0.25">
      <c r="A23" s="129" t="s">
        <v>126</v>
      </c>
      <c r="B23" s="130" t="s">
        <v>53</v>
      </c>
      <c r="C23" s="131">
        <f>SUM(C19,C21:C22)</f>
        <v>848176</v>
      </c>
      <c r="D23" s="131">
        <f>SUM(D19,D21:D22)</f>
        <v>900159</v>
      </c>
      <c r="E23" s="131">
        <f>SUM(E19,E21:E22)</f>
        <v>966731</v>
      </c>
      <c r="F23" s="131">
        <f>SUM(F19,F21:F22)</f>
        <v>1045572.1709357884</v>
      </c>
      <c r="G23" s="131">
        <f t="shared" ref="G23:J23" si="7">SUM(G19,G21:G22)</f>
        <v>1123646.4482233743</v>
      </c>
      <c r="H23" s="131">
        <f t="shared" si="7"/>
        <v>1202344.7408741023</v>
      </c>
      <c r="I23" s="131">
        <f t="shared" si="7"/>
        <v>1280839.3606850598</v>
      </c>
      <c r="J23" s="131">
        <f t="shared" si="7"/>
        <v>1358257.1358022816</v>
      </c>
    </row>
    <row r="24" spans="1:12" s="11" customFormat="1" x14ac:dyDescent="0.25">
      <c r="C24" s="14"/>
      <c r="D24" s="4"/>
      <c r="E24" s="36"/>
      <c r="F24" s="4"/>
      <c r="G24" s="4"/>
      <c r="H24" s="4"/>
      <c r="I24" s="4"/>
      <c r="J24" s="4"/>
      <c r="K24" s="14"/>
      <c r="L24" s="14"/>
    </row>
    <row r="25" spans="1:12" s="11" customFormat="1" x14ac:dyDescent="0.25">
      <c r="B25" s="4" t="s">
        <v>56</v>
      </c>
      <c r="C25" s="96">
        <v>0</v>
      </c>
      <c r="D25" s="96">
        <v>0</v>
      </c>
      <c r="E25" s="97">
        <v>0</v>
      </c>
      <c r="F25" s="4">
        <f>F8</f>
        <v>0</v>
      </c>
      <c r="G25" s="4">
        <f t="shared" ref="G25:J25" si="8">G8</f>
        <v>0</v>
      </c>
      <c r="H25" s="4">
        <f t="shared" si="8"/>
        <v>0</v>
      </c>
      <c r="I25" s="4">
        <f t="shared" si="8"/>
        <v>0</v>
      </c>
      <c r="J25" s="4">
        <f t="shared" si="8"/>
        <v>0</v>
      </c>
      <c r="K25" s="4"/>
      <c r="L25" s="4"/>
    </row>
    <row r="26" spans="1:12" s="11" customFormat="1" x14ac:dyDescent="0.25">
      <c r="B26" s="4" t="s">
        <v>57</v>
      </c>
      <c r="C26" s="96">
        <v>0</v>
      </c>
      <c r="D26" s="96">
        <v>17713</v>
      </c>
      <c r="E26" s="97">
        <v>22064</v>
      </c>
      <c r="F26" s="4">
        <f>F9</f>
        <v>0</v>
      </c>
      <c r="G26" s="4">
        <f t="shared" ref="G26:J26" si="9">G9</f>
        <v>0</v>
      </c>
      <c r="H26" s="4">
        <f t="shared" si="9"/>
        <v>0</v>
      </c>
      <c r="I26" s="4">
        <f t="shared" si="9"/>
        <v>0</v>
      </c>
      <c r="J26" s="4">
        <f t="shared" si="9"/>
        <v>0</v>
      </c>
      <c r="K26" s="4"/>
      <c r="L26" s="4"/>
    </row>
    <row r="27" spans="1:12" s="11" customFormat="1" x14ac:dyDescent="0.25">
      <c r="B27" s="4"/>
      <c r="C27" s="10"/>
      <c r="D27" s="10"/>
      <c r="E27" s="23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3162</v>
      </c>
      <c r="D28" s="9">
        <v>11683</v>
      </c>
      <c r="E28" s="45">
        <v>17022</v>
      </c>
      <c r="F28" s="283">
        <f>IF(circ=1,Debt!F33,0)</f>
        <v>0</v>
      </c>
      <c r="G28" s="283">
        <f>IF(circ=1,Debt!G33,0)</f>
        <v>0</v>
      </c>
      <c r="H28" s="283">
        <f>IF(circ=1,Debt!H33,0)</f>
        <v>0</v>
      </c>
      <c r="I28" s="283">
        <f>IF(circ=1,Debt!I33,0)</f>
        <v>0</v>
      </c>
      <c r="J28" s="283">
        <f>IF(circ=1,Debt!J33,0)</f>
        <v>0</v>
      </c>
      <c r="K28" s="185"/>
      <c r="L28" s="185"/>
    </row>
    <row r="29" spans="1:12" x14ac:dyDescent="0.25">
      <c r="B29" s="4" t="s">
        <v>33</v>
      </c>
      <c r="C29" s="9">
        <v>-198254</v>
      </c>
      <c r="D29" s="9">
        <v>-196475</v>
      </c>
      <c r="E29" s="45">
        <v>-195870</v>
      </c>
      <c r="F29" s="283">
        <f>IF(circ=1,Debt!F28,0)</f>
        <v>0</v>
      </c>
      <c r="G29" s="283">
        <f>IF(circ=1,Debt!G28,0)</f>
        <v>0</v>
      </c>
      <c r="H29" s="283">
        <f>IF(circ=1,Debt!H28,0)</f>
        <v>0</v>
      </c>
      <c r="I29" s="283">
        <f>IF(circ=1,Debt!I28,0)</f>
        <v>0</v>
      </c>
      <c r="J29" s="283">
        <f>IF(circ=1,Debt!J28,0)</f>
        <v>0</v>
      </c>
      <c r="K29" s="185"/>
      <c r="L29" s="185"/>
    </row>
    <row r="30" spans="1:12" x14ac:dyDescent="0.25">
      <c r="C30" s="10"/>
      <c r="D30" s="10"/>
      <c r="E30" s="23"/>
      <c r="H30" s="4"/>
    </row>
    <row r="31" spans="1:12" s="11" customFormat="1" x14ac:dyDescent="0.25">
      <c r="A31" s="11" t="s">
        <v>126</v>
      </c>
      <c r="B31" s="18" t="s">
        <v>86</v>
      </c>
      <c r="C31" s="19">
        <f>C19+SUM(C26:C29)</f>
        <v>572833</v>
      </c>
      <c r="D31" s="19">
        <f>D19+SUM(D26:D29)</f>
        <v>652440</v>
      </c>
      <c r="E31" s="19">
        <f>E19+SUM(E25:E29)</f>
        <v>722215</v>
      </c>
      <c r="F31" s="19">
        <f>F19+SUM(F25:F29)</f>
        <v>957875.66233679838</v>
      </c>
      <c r="G31" s="19">
        <f t="shared" ref="G31:J31" si="10">G19+SUM(G25:G29)</f>
        <v>1030663.4797726907</v>
      </c>
      <c r="H31" s="19">
        <f t="shared" si="10"/>
        <v>1103660.7419060925</v>
      </c>
      <c r="I31" s="19">
        <f t="shared" si="10"/>
        <v>1176133.1959920544</v>
      </c>
      <c r="J31" s="19">
        <f t="shared" si="10"/>
        <v>1247299.5247368412</v>
      </c>
    </row>
    <row r="32" spans="1:12" x14ac:dyDescent="0.25">
      <c r="E32" s="37"/>
      <c r="H32" s="4"/>
    </row>
    <row r="33" spans="1:12" x14ac:dyDescent="0.25">
      <c r="B33" s="4" t="s">
        <v>58</v>
      </c>
      <c r="C33" s="133">
        <v>120570</v>
      </c>
      <c r="D33" s="4">
        <v>133322</v>
      </c>
      <c r="E33" s="59">
        <v>138045</v>
      </c>
      <c r="F33" s="4">
        <f>F31*F10</f>
        <v>201153.88909072767</v>
      </c>
      <c r="G33" s="4">
        <f t="shared" ref="G33:J33" si="11">G31*G10</f>
        <v>216439.33075226503</v>
      </c>
      <c r="H33" s="4">
        <f t="shared" si="11"/>
        <v>231768.75580027941</v>
      </c>
      <c r="I33" s="4">
        <f t="shared" si="11"/>
        <v>246987.97115833141</v>
      </c>
      <c r="J33" s="4">
        <f t="shared" si="11"/>
        <v>261932.90019473663</v>
      </c>
    </row>
    <row r="34" spans="1:12" s="11" customFormat="1" x14ac:dyDescent="0.25">
      <c r="A34" s="11" t="s">
        <v>126</v>
      </c>
      <c r="B34" s="18" t="s">
        <v>59</v>
      </c>
      <c r="C34" s="19">
        <f>C31-C33</f>
        <v>452263</v>
      </c>
      <c r="D34" s="34">
        <f t="shared" ref="D34:F34" si="12">D31-D33</f>
        <v>519118</v>
      </c>
      <c r="E34" s="19">
        <f t="shared" si="12"/>
        <v>584170</v>
      </c>
      <c r="F34" s="19">
        <f t="shared" si="12"/>
        <v>756721.77324607072</v>
      </c>
      <c r="G34" s="19">
        <f t="shared" ref="G34:J34" si="13">G31-G33</f>
        <v>814224.14902042563</v>
      </c>
      <c r="H34" s="19">
        <f t="shared" si="13"/>
        <v>871891.98610581306</v>
      </c>
      <c r="I34" s="19">
        <f t="shared" si="13"/>
        <v>929145.22483372304</v>
      </c>
      <c r="J34" s="19">
        <f t="shared" si="13"/>
        <v>985366.62454210455</v>
      </c>
    </row>
    <row r="35" spans="1:12" s="270" customFormat="1" x14ac:dyDescent="0.25">
      <c r="A35" s="273"/>
      <c r="B35" s="270" t="s">
        <v>181</v>
      </c>
      <c r="C35" s="277">
        <f t="shared" ref="C35:D35" si="14">C36/C38</f>
        <v>4.4096962608040018</v>
      </c>
      <c r="D35" s="280">
        <f t="shared" si="14"/>
        <v>4.8401820010094045</v>
      </c>
      <c r="E35" s="278">
        <f>E36/E38</f>
        <v>6.0485378400123242</v>
      </c>
      <c r="F35" s="270">
        <f>F11</f>
        <v>6.4485378400123246</v>
      </c>
      <c r="G35" s="270">
        <f t="shared" ref="G35:J35" si="15">G11</f>
        <v>6.8485378400123249</v>
      </c>
      <c r="H35" s="270">
        <f t="shared" si="15"/>
        <v>7.2485378400123253</v>
      </c>
      <c r="I35" s="270">
        <f t="shared" si="15"/>
        <v>7.6485378400123256</v>
      </c>
      <c r="J35" s="270">
        <f t="shared" si="15"/>
        <v>8.048537840012326</v>
      </c>
    </row>
    <row r="36" spans="1:12" x14ac:dyDescent="0.25">
      <c r="B36" s="4" t="s">
        <v>60</v>
      </c>
      <c r="C36" s="10">
        <v>157531</v>
      </c>
      <c r="D36" s="10">
        <v>169772</v>
      </c>
      <c r="E36" s="23">
        <v>209945</v>
      </c>
      <c r="F36" s="4">
        <f>F35*F38</f>
        <v>223829.01663695782</v>
      </c>
      <c r="G36" s="4">
        <f t="shared" ref="G36:J36" si="16">G35*G38</f>
        <v>237713.03327391567</v>
      </c>
      <c r="H36" s="4">
        <f t="shared" si="16"/>
        <v>251597.04991087349</v>
      </c>
      <c r="I36" s="4">
        <f t="shared" si="16"/>
        <v>265481.06654783135</v>
      </c>
      <c r="J36" s="4">
        <f t="shared" si="16"/>
        <v>279365.08318478917</v>
      </c>
    </row>
    <row r="37" spans="1:12" x14ac:dyDescent="0.25">
      <c r="A37" s="21" t="s">
        <v>61</v>
      </c>
      <c r="B37" s="20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5"/>
      <c r="L37" s="205"/>
    </row>
    <row r="38" spans="1:12" x14ac:dyDescent="0.25">
      <c r="B38" s="4" t="s">
        <v>49</v>
      </c>
      <c r="C38" s="10">
        <f>C34/C40</f>
        <v>35723.775671406001</v>
      </c>
      <c r="D38" s="10">
        <f>D34/D40</f>
        <v>35075.54054054054</v>
      </c>
      <c r="E38" s="23">
        <f>E34/E40</f>
        <v>34710.04159239454</v>
      </c>
      <c r="F38" s="176">
        <f>F12</f>
        <v>34710.04159239454</v>
      </c>
      <c r="G38" s="176">
        <f t="shared" ref="G38:J38" si="17">G12</f>
        <v>34710.04159239454</v>
      </c>
      <c r="H38" s="176">
        <f t="shared" si="17"/>
        <v>34710.04159239454</v>
      </c>
      <c r="I38" s="176">
        <f t="shared" si="17"/>
        <v>34710.04159239454</v>
      </c>
      <c r="J38" s="176">
        <f t="shared" si="17"/>
        <v>34710.04159239454</v>
      </c>
      <c r="K38" s="209"/>
      <c r="L38" s="209"/>
    </row>
    <row r="39" spans="1:12" x14ac:dyDescent="0.25">
      <c r="B39" s="4" t="s">
        <v>50</v>
      </c>
      <c r="C39" s="10">
        <f>C34/C41</f>
        <v>36094.41340782123</v>
      </c>
      <c r="D39" s="10">
        <f>D34/D41</f>
        <v>35410.504774897679</v>
      </c>
      <c r="E39" s="23">
        <f>E34/E41</f>
        <v>35001.198322348711</v>
      </c>
      <c r="F39" s="176">
        <f>F13</f>
        <v>35001.198322348711</v>
      </c>
      <c r="G39" s="176">
        <f t="shared" ref="G39:J39" si="18">G13</f>
        <v>35001.198322348711</v>
      </c>
      <c r="H39" s="176">
        <f t="shared" si="18"/>
        <v>35001.198322348711</v>
      </c>
      <c r="I39" s="176">
        <f t="shared" si="18"/>
        <v>35001.198322348711</v>
      </c>
      <c r="J39" s="176">
        <f t="shared" si="18"/>
        <v>35001.198322348711</v>
      </c>
      <c r="K39" s="209"/>
      <c r="L39" s="209"/>
    </row>
    <row r="40" spans="1:12" x14ac:dyDescent="0.25">
      <c r="B40" s="4" t="s">
        <v>62</v>
      </c>
      <c r="C40" s="183">
        <v>12.66</v>
      </c>
      <c r="D40" s="183">
        <v>14.8</v>
      </c>
      <c r="E40" s="184">
        <v>16.829999999999998</v>
      </c>
      <c r="F40" s="175">
        <f>F34/F38</f>
        <v>21.801234989354757</v>
      </c>
      <c r="G40" s="175">
        <f t="shared" ref="G40:J40" si="19">G34/G38</f>
        <v>23.457884567871957</v>
      </c>
      <c r="H40" s="175">
        <f t="shared" si="19"/>
        <v>25.119301104405963</v>
      </c>
      <c r="I40" s="175">
        <f t="shared" si="19"/>
        <v>26.768773018045355</v>
      </c>
      <c r="J40" s="175">
        <f t="shared" si="19"/>
        <v>28.388517539489559</v>
      </c>
      <c r="K40" s="209"/>
      <c r="L40" s="209"/>
    </row>
    <row r="41" spans="1:12" s="11" customFormat="1" x14ac:dyDescent="0.25">
      <c r="A41" s="11" t="s">
        <v>126</v>
      </c>
      <c r="B41" s="18" t="s">
        <v>63</v>
      </c>
      <c r="C41" s="182">
        <v>12.53</v>
      </c>
      <c r="D41" s="182">
        <v>14.66</v>
      </c>
      <c r="E41" s="182">
        <v>16.690000000000001</v>
      </c>
      <c r="F41" s="182">
        <f>F34/F39</f>
        <v>21.619881875955492</v>
      </c>
      <c r="G41" s="182">
        <f t="shared" ref="G41:J41" si="20">G34/G39</f>
        <v>23.262750649897981</v>
      </c>
      <c r="H41" s="182">
        <f t="shared" si="20"/>
        <v>24.910346728017565</v>
      </c>
      <c r="I41" s="182">
        <f t="shared" si="20"/>
        <v>26.546097544336131</v>
      </c>
      <c r="J41" s="182">
        <f t="shared" si="20"/>
        <v>28.152368255144435</v>
      </c>
      <c r="K41" s="213"/>
      <c r="L41" s="213"/>
    </row>
    <row r="42" spans="1:12" x14ac:dyDescent="0.25">
      <c r="C42" s="15"/>
      <c r="D42" s="15"/>
      <c r="E42" s="38"/>
      <c r="F42" s="15"/>
      <c r="G42" s="15"/>
      <c r="H42" s="15"/>
      <c r="I42" s="15"/>
      <c r="J42" s="15"/>
    </row>
    <row r="43" spans="1:12" x14ac:dyDescent="0.25">
      <c r="D43" s="15"/>
      <c r="E43" s="15"/>
      <c r="F43" s="15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zoomScaleNormal="100" workbookViewId="0">
      <selection activeCell="D41" sqref="D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3" width="12.140625" style="4" customWidth="1"/>
    <col min="4" max="8" width="12.140625" style="4" bestFit="1" customWidth="1"/>
    <col min="9" max="9" width="12.140625" style="6" bestFit="1" customWidth="1"/>
    <col min="10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64"/>
      <c r="C2" s="269">
        <v>2022</v>
      </c>
      <c r="D2" s="269">
        <f>C2+1</f>
        <v>2023</v>
      </c>
      <c r="E2" s="269">
        <f t="shared" ref="E2:J2" si="0">D2+1</f>
        <v>2024</v>
      </c>
      <c r="F2" s="269">
        <f t="shared" si="0"/>
        <v>2025</v>
      </c>
      <c r="G2" s="269">
        <f t="shared" si="0"/>
        <v>2026</v>
      </c>
      <c r="H2" s="269">
        <f t="shared" si="0"/>
        <v>2027</v>
      </c>
      <c r="I2" s="269">
        <f t="shared" si="0"/>
        <v>2028</v>
      </c>
      <c r="J2" s="269">
        <f t="shared" si="0"/>
        <v>2029</v>
      </c>
      <c r="K2" s="214"/>
      <c r="L2" s="214"/>
    </row>
    <row r="3" spans="1:12" x14ac:dyDescent="0.25">
      <c r="K3" s="6"/>
      <c r="L3" s="6"/>
    </row>
    <row r="4" spans="1:12" x14ac:dyDescent="0.25">
      <c r="B4" s="4" t="s">
        <v>142</v>
      </c>
      <c r="C4" s="43"/>
      <c r="D4" s="43"/>
      <c r="E4" s="44"/>
      <c r="F4" s="103">
        <f>Assumptions!F38</f>
        <v>0.01</v>
      </c>
      <c r="G4" s="103">
        <f>F4</f>
        <v>0.01</v>
      </c>
      <c r="H4" s="103">
        <f t="shared" ref="H4:J4" si="1">G4</f>
        <v>0.01</v>
      </c>
      <c r="I4" s="103">
        <f t="shared" si="1"/>
        <v>0.01</v>
      </c>
      <c r="J4" s="103">
        <f t="shared" si="1"/>
        <v>0.01</v>
      </c>
      <c r="K4" s="172"/>
      <c r="L4" s="172"/>
    </row>
    <row r="5" spans="1:12" x14ac:dyDescent="0.25">
      <c r="B5" s="4" t="s">
        <v>155</v>
      </c>
      <c r="C5" s="43"/>
      <c r="D5" s="43"/>
      <c r="E5" s="44"/>
      <c r="F5" s="103">
        <f>Assumptions!F39</f>
        <v>6.5677152210939282E-2</v>
      </c>
      <c r="G5" s="103">
        <f>Assumptions!G39</f>
        <v>6.5677152210939282E-2</v>
      </c>
      <c r="H5" s="103">
        <f>Assumptions!H39</f>
        <v>6.5677152210939282E-2</v>
      </c>
      <c r="I5" s="103">
        <f>Assumptions!I39</f>
        <v>6.5677152210939282E-2</v>
      </c>
      <c r="J5" s="103">
        <f>Assumptions!J39</f>
        <v>6.5677152210939282E-2</v>
      </c>
      <c r="K5" s="172"/>
      <c r="L5" s="172"/>
    </row>
    <row r="6" spans="1:12" x14ac:dyDescent="0.25">
      <c r="B6" s="4" t="s">
        <v>65</v>
      </c>
      <c r="C6" s="43"/>
      <c r="D6" s="43"/>
      <c r="E6" s="44"/>
      <c r="F6" s="103">
        <f>Assumptions!F40</f>
        <v>2.4814952444335275E-2</v>
      </c>
      <c r="G6" s="103">
        <f>Assumptions!G40</f>
        <v>2.4814952444335275E-2</v>
      </c>
      <c r="H6" s="103">
        <f>Assumptions!H40</f>
        <v>2.4814952444335275E-2</v>
      </c>
      <c r="I6" s="103">
        <f>Assumptions!I40</f>
        <v>2.4814952444335275E-2</v>
      </c>
      <c r="J6" s="103">
        <f>Assumptions!J40</f>
        <v>2.4814952444335275E-2</v>
      </c>
      <c r="K6" s="172"/>
      <c r="L6" s="172"/>
    </row>
    <row r="7" spans="1:12" x14ac:dyDescent="0.25">
      <c r="B7" s="4" t="s">
        <v>66</v>
      </c>
      <c r="C7" s="43"/>
      <c r="D7" s="43"/>
      <c r="E7" s="44"/>
      <c r="F7" s="103">
        <f>Assumptions!F41</f>
        <v>7.2056741265540486E-2</v>
      </c>
      <c r="G7" s="103">
        <f>Assumptions!G41</f>
        <v>7.2056741265540486E-2</v>
      </c>
      <c r="H7" s="103">
        <f>Assumptions!H41</f>
        <v>7.2056741265540486E-2</v>
      </c>
      <c r="I7" s="103">
        <f>Assumptions!I41</f>
        <v>7.2056741265540486E-2</v>
      </c>
      <c r="J7" s="103">
        <f>Assumptions!J41</f>
        <v>7.2056741265540486E-2</v>
      </c>
      <c r="K7" s="172"/>
      <c r="L7" s="172"/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72"/>
      <c r="L8" s="172"/>
    </row>
    <row r="9" spans="1:12" x14ac:dyDescent="0.25">
      <c r="B9" s="4" t="s">
        <v>67</v>
      </c>
      <c r="C9" s="43"/>
      <c r="D9" s="43"/>
      <c r="E9" s="44"/>
      <c r="F9" s="103">
        <f>Assumptions!F44</f>
        <v>2.8262057582670124E-2</v>
      </c>
      <c r="G9" s="103">
        <f>Assumptions!G44</f>
        <v>2.8262057582670124E-2</v>
      </c>
      <c r="H9" s="103">
        <f>Assumptions!H44</f>
        <v>2.8262057582670124E-2</v>
      </c>
      <c r="I9" s="103">
        <f>Assumptions!I44</f>
        <v>2.8262057582670124E-2</v>
      </c>
      <c r="J9" s="103">
        <f>Assumptions!J44</f>
        <v>2.8262057582670124E-2</v>
      </c>
      <c r="K9" s="172"/>
      <c r="L9" s="172"/>
    </row>
    <row r="10" spans="1:12" x14ac:dyDescent="0.25">
      <c r="B10" s="4" t="s">
        <v>164</v>
      </c>
      <c r="C10" s="43"/>
      <c r="D10" s="43"/>
      <c r="E10" s="151"/>
      <c r="F10" s="102">
        <f>Assumptions!F43</f>
        <v>20638</v>
      </c>
      <c r="G10" s="102">
        <f>Assumptions!G43</f>
        <v>20638</v>
      </c>
      <c r="H10" s="102">
        <f>Assumptions!H43</f>
        <v>20638</v>
      </c>
      <c r="I10" s="102">
        <f>Assumptions!I43</f>
        <v>20638</v>
      </c>
      <c r="J10" s="102">
        <f>Assumptions!J43</f>
        <v>20638</v>
      </c>
      <c r="K10" s="198"/>
      <c r="L10" s="198"/>
    </row>
    <row r="11" spans="1:12" x14ac:dyDescent="0.25">
      <c r="C11" s="30"/>
      <c r="D11" s="30"/>
      <c r="E11" s="30"/>
      <c r="F11" s="104"/>
      <c r="G11" s="104"/>
      <c r="H11" s="104"/>
      <c r="I11" s="104"/>
      <c r="J11" s="104"/>
      <c r="K11" s="172"/>
      <c r="L11" s="172"/>
    </row>
    <row r="12" spans="1:12" x14ac:dyDescent="0.25">
      <c r="B12" s="4" t="s">
        <v>154</v>
      </c>
      <c r="C12" s="43"/>
      <c r="D12" s="43"/>
      <c r="E12" s="44"/>
      <c r="F12" s="103">
        <f>Assumptions!F48</f>
        <v>6.1892695161575889E-2</v>
      </c>
      <c r="G12" s="103">
        <f>Assumptions!G48</f>
        <v>6.1892695161575889E-2</v>
      </c>
      <c r="H12" s="103">
        <f>Assumptions!H48</f>
        <v>6.1892695161575889E-2</v>
      </c>
      <c r="I12" s="103">
        <f>Assumptions!I48</f>
        <v>6.1892695161575889E-2</v>
      </c>
      <c r="J12" s="103">
        <f>Assumptions!J48</f>
        <v>6.1892695161575889E-2</v>
      </c>
      <c r="K12" s="172"/>
      <c r="L12" s="172"/>
    </row>
    <row r="13" spans="1:12" x14ac:dyDescent="0.25">
      <c r="B13" s="4" t="s">
        <v>68</v>
      </c>
      <c r="C13" s="43"/>
      <c r="D13" s="43"/>
      <c r="E13" s="27"/>
      <c r="F13" s="103">
        <f>Assumptions!F49</f>
        <v>6.0746648830022676E-2</v>
      </c>
      <c r="G13" s="103">
        <f>Assumptions!G49</f>
        <v>6.0746648830022676E-2</v>
      </c>
      <c r="H13" s="103">
        <f>Assumptions!H49</f>
        <v>6.0746648830022676E-2</v>
      </c>
      <c r="I13" s="103">
        <f>Assumptions!I49</f>
        <v>6.0746648830022676E-2</v>
      </c>
      <c r="J13" s="103">
        <f>Assumptions!J49</f>
        <v>6.0746648830022676E-2</v>
      </c>
      <c r="K13" s="172"/>
      <c r="L13" s="172"/>
    </row>
    <row r="14" spans="1:12" x14ac:dyDescent="0.25">
      <c r="B14" s="4" t="s">
        <v>69</v>
      </c>
      <c r="C14" s="43"/>
      <c r="D14" s="43"/>
      <c r="E14" s="44"/>
      <c r="F14" s="261">
        <f>Assumptions!F50</f>
        <v>5.5495094356299998E-2</v>
      </c>
      <c r="G14" s="261">
        <f>Assumptions!G50</f>
        <v>5.5495094356299998E-2</v>
      </c>
      <c r="H14" s="261">
        <f>Assumptions!H50</f>
        <v>5.5495094356299998E-2</v>
      </c>
      <c r="I14" s="261">
        <f>Assumptions!I50</f>
        <v>5.5495094356299998E-2</v>
      </c>
      <c r="J14" s="261">
        <f>Assumptions!J50</f>
        <v>5.5495094356299998E-2</v>
      </c>
      <c r="K14" s="172"/>
      <c r="L14" s="172"/>
    </row>
    <row r="15" spans="1:12" x14ac:dyDescent="0.25">
      <c r="C15" s="43"/>
      <c r="D15" s="43"/>
      <c r="E15" s="43"/>
      <c r="F15" s="104"/>
      <c r="G15" s="104"/>
      <c r="H15" s="104"/>
      <c r="I15" s="104"/>
      <c r="J15" s="104"/>
      <c r="K15" s="172"/>
      <c r="L15" s="172"/>
    </row>
    <row r="16" spans="1:12" ht="15" customHeight="1" x14ac:dyDescent="0.25">
      <c r="A16" s="180" t="s">
        <v>64</v>
      </c>
      <c r="B16" s="181"/>
      <c r="C16" s="258">
        <f>C2</f>
        <v>2022</v>
      </c>
      <c r="D16" s="258">
        <f t="shared" ref="D16:J16" si="2">D2</f>
        <v>2023</v>
      </c>
      <c r="E16" s="258">
        <f t="shared" si="2"/>
        <v>2024</v>
      </c>
      <c r="F16" s="258">
        <f t="shared" si="2"/>
        <v>2025</v>
      </c>
      <c r="G16" s="258">
        <f t="shared" si="2"/>
        <v>2026</v>
      </c>
      <c r="H16" s="258">
        <f t="shared" si="2"/>
        <v>2027</v>
      </c>
      <c r="I16" s="258">
        <f t="shared" si="2"/>
        <v>2028</v>
      </c>
      <c r="J16" s="258">
        <f t="shared" si="2"/>
        <v>2029</v>
      </c>
      <c r="K16" s="208"/>
      <c r="L16" s="208"/>
    </row>
    <row r="17" spans="1:12" x14ac:dyDescent="0.25">
      <c r="B17" s="4" t="s">
        <v>160</v>
      </c>
      <c r="C17" s="281">
        <f>1%*IncState!C16</f>
        <v>45371.58</v>
      </c>
      <c r="D17" s="281">
        <f>1%*IncState!D16</f>
        <v>44793.58</v>
      </c>
      <c r="E17" s="188">
        <f>1%*IncState!E16</f>
        <v>47064.160000000003</v>
      </c>
      <c r="F17" s="4">
        <f>F4*IncState!F16</f>
        <v>49417.368000000002</v>
      </c>
      <c r="G17" s="4">
        <f>G4*IncState!G16</f>
        <v>52629.496919999998</v>
      </c>
      <c r="H17" s="4">
        <f>H4*IncState!H16</f>
        <v>55787.266735199999</v>
      </c>
      <c r="I17" s="4">
        <f>I4*IncState!I16</f>
        <v>58855.566405635996</v>
      </c>
      <c r="J17" s="4">
        <f>J4*IncState!J16</f>
        <v>61798.344725917799</v>
      </c>
    </row>
    <row r="18" spans="1:12" x14ac:dyDescent="0.25">
      <c r="B18" s="4" t="s">
        <v>161</v>
      </c>
      <c r="C18" s="187">
        <f>60356-C17</f>
        <v>14984.419999999998</v>
      </c>
      <c r="D18" s="187">
        <f>114098-D17</f>
        <v>69304.42</v>
      </c>
      <c r="E18" s="188">
        <f>186126-E17</f>
        <v>139061.84</v>
      </c>
      <c r="F18" s="4">
        <f>MAX(CashFlow!F23,0)</f>
        <v>0</v>
      </c>
      <c r="G18" s="4">
        <f>MAX(CashFlow!G23,0)</f>
        <v>13197.86630684149</v>
      </c>
      <c r="H18" s="4">
        <f>MAX(CashFlow!H23,0)</f>
        <v>586149.32304930245</v>
      </c>
      <c r="I18" s="4">
        <f>MAX(CashFlow!I23,0)</f>
        <v>1201421.7460786744</v>
      </c>
      <c r="J18" s="4">
        <f>MAX(CashFlow!J23,0)</f>
        <v>1858651.223188662</v>
      </c>
    </row>
    <row r="19" spans="1:12" x14ac:dyDescent="0.25">
      <c r="B19" s="4" t="s">
        <v>70</v>
      </c>
      <c r="C19" s="189">
        <v>257492</v>
      </c>
      <c r="D19" s="189">
        <v>282809</v>
      </c>
      <c r="E19" s="190">
        <v>309104</v>
      </c>
      <c r="F19" s="4">
        <f>F5*IncState!F16</f>
        <v>324559.2</v>
      </c>
      <c r="G19" s="4">
        <f>G5*IncState!G16</f>
        <v>345655.54800000001</v>
      </c>
      <c r="H19" s="4">
        <f>H5*IncState!H16</f>
        <v>366394.88088000001</v>
      </c>
      <c r="I19" s="4">
        <f>I5*IncState!I16</f>
        <v>386546.59932839999</v>
      </c>
      <c r="J19" s="4">
        <f>J5*IncState!J16</f>
        <v>405873.92929482</v>
      </c>
    </row>
    <row r="20" spans="1:12" x14ac:dyDescent="0.25">
      <c r="B20" s="4" t="s">
        <v>71</v>
      </c>
      <c r="C20" s="189">
        <v>81570</v>
      </c>
      <c r="D20" s="189">
        <v>82964</v>
      </c>
      <c r="E20" s="190">
        <v>70919</v>
      </c>
      <c r="F20" s="4">
        <f>F6*IncState!F17</f>
        <v>74219.692072631166</v>
      </c>
      <c r="G20" s="4">
        <f>G6*IncState!G17</f>
        <v>78782.77236470436</v>
      </c>
      <c r="H20" s="4">
        <f>H6*IncState!H17</f>
        <v>83232.867032379945</v>
      </c>
      <c r="I20" s="4">
        <f>I6*IncState!I17</f>
        <v>87518.575102872783</v>
      </c>
      <c r="J20" s="4">
        <f>J6*IncState!J17</f>
        <v>91587.799260913962</v>
      </c>
    </row>
    <row r="21" spans="1:12" x14ac:dyDescent="0.25">
      <c r="B21" s="4" t="s">
        <v>72</v>
      </c>
      <c r="C21" s="189">
        <f>37287+162660+191289</f>
        <v>391236</v>
      </c>
      <c r="D21" s="189">
        <f>30215+106335+200870</f>
        <v>337420</v>
      </c>
      <c r="E21" s="190">
        <f>40363+103396+195370</f>
        <v>339129</v>
      </c>
      <c r="F21" s="4">
        <f>F7*IncState!F16</f>
        <v>356085.44999999995</v>
      </c>
      <c r="G21" s="4">
        <f>G7*IncState!G16</f>
        <v>379231.00425</v>
      </c>
      <c r="H21" s="4">
        <f>H7*IncState!H16</f>
        <v>401984.86450499995</v>
      </c>
      <c r="I21" s="4">
        <f>I7*IncState!I16</f>
        <v>424094.03205277497</v>
      </c>
      <c r="J21" s="4">
        <f>J7*IncState!J16</f>
        <v>445298.73365541373</v>
      </c>
    </row>
    <row r="22" spans="1:12" s="11" customFormat="1" x14ac:dyDescent="0.25">
      <c r="B22" s="11" t="s">
        <v>73</v>
      </c>
      <c r="C22" s="11">
        <f>SUM(C17:C21)</f>
        <v>790654</v>
      </c>
      <c r="D22" s="11">
        <f>SUM(D17:D21)</f>
        <v>817291</v>
      </c>
      <c r="E22" s="25">
        <f t="shared" ref="E22" si="3">SUM(E17:E21)</f>
        <v>905278</v>
      </c>
      <c r="F22" s="11">
        <f>SUM(F17:F21)</f>
        <v>804281.71007263113</v>
      </c>
      <c r="G22" s="11">
        <f t="shared" ref="G22:J22" si="4">SUM(G17:G21)</f>
        <v>869496.68784154579</v>
      </c>
      <c r="H22" s="11">
        <f t="shared" si="4"/>
        <v>1493549.2022018821</v>
      </c>
      <c r="I22" s="11">
        <f t="shared" si="4"/>
        <v>2158436.5189683582</v>
      </c>
      <c r="J22" s="11">
        <f t="shared" si="4"/>
        <v>2863210.0301257274</v>
      </c>
    </row>
    <row r="23" spans="1:12" x14ac:dyDescent="0.25">
      <c r="A23" s="7"/>
      <c r="E23" s="28"/>
      <c r="I23" s="4"/>
      <c r="J23" s="4"/>
    </row>
    <row r="24" spans="1:12" x14ac:dyDescent="0.25">
      <c r="B24" s="4" t="s">
        <v>74</v>
      </c>
      <c r="C24" s="189">
        <f>302235+219202</f>
        <v>521437</v>
      </c>
      <c r="D24" s="189">
        <f>304365+207323</f>
        <v>511688</v>
      </c>
      <c r="E24" s="190">
        <f>301179+210302</f>
        <v>511481</v>
      </c>
      <c r="F24" s="4">
        <f>Calcs!F9</f>
        <v>542313.74140100996</v>
      </c>
      <c r="G24" s="4">
        <f>Calcs!G9</f>
        <v>575564.42420032632</v>
      </c>
      <c r="H24" s="4">
        <f>Calcs!H9</f>
        <v>610688.09555731644</v>
      </c>
      <c r="I24" s="4">
        <f>Calcs!I9</f>
        <v>647149.02305718616</v>
      </c>
      <c r="J24" s="4">
        <f>Calcs!J9</f>
        <v>684416.85879426461</v>
      </c>
    </row>
    <row r="25" spans="1:12" x14ac:dyDescent="0.25">
      <c r="B25" s="4" t="s">
        <v>162</v>
      </c>
      <c r="C25" s="189">
        <f>11763+108354</f>
        <v>120117</v>
      </c>
      <c r="D25" s="189">
        <f>11688+134105</f>
        <v>145793</v>
      </c>
      <c r="E25" s="190">
        <f>11578+155025</f>
        <v>166603</v>
      </c>
      <c r="F25" s="132">
        <f>E25-IncState!F22</f>
        <v>166603</v>
      </c>
      <c r="G25" s="132">
        <f>F25-IncState!G22</f>
        <v>166603</v>
      </c>
      <c r="H25" s="132">
        <f>G25-IncState!H22</f>
        <v>166603</v>
      </c>
      <c r="I25" s="132">
        <f>H25-IncState!I22</f>
        <v>166603</v>
      </c>
      <c r="J25" s="132">
        <f>I25-IncState!J22</f>
        <v>166603</v>
      </c>
      <c r="K25" s="132"/>
      <c r="L25" s="132"/>
    </row>
    <row r="26" spans="1:12" x14ac:dyDescent="0.25">
      <c r="B26" s="4" t="s">
        <v>163</v>
      </c>
      <c r="C26" s="189">
        <v>13395</v>
      </c>
      <c r="D26" s="189">
        <v>16720</v>
      </c>
      <c r="E26" s="190">
        <f>20638</f>
        <v>20638</v>
      </c>
      <c r="F26" s="4">
        <f>F10</f>
        <v>20638</v>
      </c>
      <c r="G26" s="4">
        <f t="shared" ref="G26:J26" si="5">G10</f>
        <v>20638</v>
      </c>
      <c r="H26" s="4">
        <f t="shared" si="5"/>
        <v>20638</v>
      </c>
      <c r="I26" s="4">
        <f t="shared" si="5"/>
        <v>20638</v>
      </c>
      <c r="J26" s="4">
        <f t="shared" si="5"/>
        <v>20638</v>
      </c>
    </row>
    <row r="27" spans="1:12" x14ac:dyDescent="0.25">
      <c r="B27" s="4" t="s">
        <v>165</v>
      </c>
      <c r="C27" s="189">
        <f>125840+28852+1926</f>
        <v>156618</v>
      </c>
      <c r="D27" s="189">
        <f>143553+26174+13680</f>
        <v>183407</v>
      </c>
      <c r="E27" s="190">
        <f>82699+26882+23432</f>
        <v>133013</v>
      </c>
      <c r="F27" s="4">
        <f>F9*IncState!F16</f>
        <v>139663.65</v>
      </c>
      <c r="G27" s="4">
        <f>G9*IncState!G16</f>
        <v>148741.78724999999</v>
      </c>
      <c r="H27" s="4">
        <f>H9*IncState!H16</f>
        <v>157666.29448499999</v>
      </c>
      <c r="I27" s="4">
        <f>I9*IncState!I16</f>
        <v>166337.94068167498</v>
      </c>
      <c r="J27" s="4">
        <f>J9*IncState!J16</f>
        <v>174654.83771575874</v>
      </c>
    </row>
    <row r="28" spans="1:12" s="11" customFormat="1" x14ac:dyDescent="0.25">
      <c r="B28" s="11" t="s">
        <v>75</v>
      </c>
      <c r="C28" s="11">
        <f>SUM(C24:C27)</f>
        <v>811567</v>
      </c>
      <c r="D28" s="11">
        <f>SUM(D24:D27)</f>
        <v>857608</v>
      </c>
      <c r="E28" s="25">
        <f>SUM(E24:E27)</f>
        <v>831735</v>
      </c>
      <c r="F28" s="11">
        <f>SUM(F24:F27)</f>
        <v>869218.39140100998</v>
      </c>
      <c r="G28" s="11">
        <f t="shared" ref="G28:J28" si="6">SUM(G24:G27)</f>
        <v>911547.21145032626</v>
      </c>
      <c r="H28" s="11">
        <f t="shared" si="6"/>
        <v>955595.3900423164</v>
      </c>
      <c r="I28" s="11">
        <f t="shared" si="6"/>
        <v>1000727.9637388611</v>
      </c>
      <c r="J28" s="11">
        <f t="shared" si="6"/>
        <v>1046312.6965100233</v>
      </c>
    </row>
    <row r="29" spans="1:12" x14ac:dyDescent="0.25">
      <c r="E29" s="28"/>
      <c r="I29" s="4"/>
      <c r="J29" s="4"/>
    </row>
    <row r="30" spans="1:12" s="11" customFormat="1" x14ac:dyDescent="0.25">
      <c r="A30" s="11" t="s">
        <v>126</v>
      </c>
      <c r="B30" s="18" t="s">
        <v>76</v>
      </c>
      <c r="C30" s="19">
        <f>SUM(C28,C22)</f>
        <v>1602221</v>
      </c>
      <c r="D30" s="19">
        <f>SUM(D28,D22)</f>
        <v>1674899</v>
      </c>
      <c r="E30" s="19">
        <f>SUM(E28,E22)</f>
        <v>1737013</v>
      </c>
      <c r="F30" s="19">
        <f>SUM(F28,F22)</f>
        <v>1673500.1014736411</v>
      </c>
      <c r="G30" s="19">
        <f t="shared" ref="G30:J30" si="7">SUM(G28,G22)</f>
        <v>1781043.899291872</v>
      </c>
      <c r="H30" s="19">
        <f t="shared" si="7"/>
        <v>2449144.5922441985</v>
      </c>
      <c r="I30" s="19">
        <f t="shared" si="7"/>
        <v>3159164.4827072192</v>
      </c>
      <c r="J30" s="19">
        <f t="shared" si="7"/>
        <v>3909522.7266357508</v>
      </c>
    </row>
    <row r="31" spans="1:12" x14ac:dyDescent="0.25">
      <c r="A31" s="11"/>
      <c r="E31" s="28"/>
      <c r="I31" s="4"/>
      <c r="J31" s="4"/>
      <c r="K31" s="6"/>
      <c r="L31" s="6"/>
    </row>
    <row r="32" spans="1:12" x14ac:dyDescent="0.25">
      <c r="B32" s="4" t="s">
        <v>77</v>
      </c>
      <c r="C32" s="9">
        <v>0</v>
      </c>
      <c r="D32" s="9">
        <v>0</v>
      </c>
      <c r="E32" s="45">
        <v>0</v>
      </c>
      <c r="F32" s="4">
        <f>-MIN(CashFlow!F23,0)</f>
        <v>517686.7596831905</v>
      </c>
      <c r="G32" s="4">
        <f>-MIN(CashFlow!G23,0)</f>
        <v>0</v>
      </c>
      <c r="H32" s="4">
        <f>-MIN(CashFlow!H23,0)</f>
        <v>0</v>
      </c>
      <c r="I32" s="4">
        <f>-MIN(CashFlow!I23,0)</f>
        <v>0</v>
      </c>
      <c r="J32" s="4">
        <f>-MIN(CashFlow!J23,0)</f>
        <v>0</v>
      </c>
    </row>
    <row r="33" spans="1:12" x14ac:dyDescent="0.25">
      <c r="B33" s="4" t="s">
        <v>153</v>
      </c>
      <c r="C33" s="189">
        <f>89715+40442+34473</f>
        <v>164630</v>
      </c>
      <c r="D33" s="9">
        <f>106267+54689+33367</f>
        <v>194323</v>
      </c>
      <c r="E33" s="45">
        <f>85898+58203+32783</f>
        <v>176884</v>
      </c>
      <c r="F33" s="4">
        <f>F12*IncState!F17</f>
        <v>185116.48518133772</v>
      </c>
      <c r="G33" s="4">
        <f>G12*IncState!G17</f>
        <v>196497.58043624932</v>
      </c>
      <c r="H33" s="4">
        <f>H12*IncState!H17</f>
        <v>207596.87040363645</v>
      </c>
      <c r="I33" s="4">
        <f>I12*IncState!I17</f>
        <v>218286.15234981524</v>
      </c>
      <c r="J33" s="4">
        <f>J12*IncState!J17</f>
        <v>228435.48674498376</v>
      </c>
    </row>
    <row r="34" spans="1:12" x14ac:dyDescent="0.25">
      <c r="B34" s="4" t="s">
        <v>78</v>
      </c>
      <c r="C34" s="189">
        <f>34877+31435+157909+92957</f>
        <v>317178</v>
      </c>
      <c r="D34" s="9">
        <f>39330+28135+104246+124950</f>
        <v>296661</v>
      </c>
      <c r="E34" s="45">
        <f>39920+25658+101567+118754</f>
        <v>285899</v>
      </c>
      <c r="F34" s="4">
        <f>F13*IncState!F16</f>
        <v>300193.95</v>
      </c>
      <c r="G34" s="4">
        <f>G13*IncState!G16</f>
        <v>319706.55674999999</v>
      </c>
      <c r="H34" s="4">
        <f>H13*IncState!H16</f>
        <v>338888.95015499997</v>
      </c>
      <c r="I34" s="4">
        <f>I13*IncState!I16</f>
        <v>357527.84241352498</v>
      </c>
      <c r="J34" s="4">
        <f>J13*IncState!J16</f>
        <v>375404.23453420127</v>
      </c>
    </row>
    <row r="35" spans="1:12" s="11" customFormat="1" x14ac:dyDescent="0.25">
      <c r="B35" s="11" t="s">
        <v>79</v>
      </c>
      <c r="C35" s="11">
        <f t="shared" ref="C35:E35" si="8">SUM(C32:C34)</f>
        <v>481808</v>
      </c>
      <c r="D35" s="11">
        <f t="shared" si="8"/>
        <v>490984</v>
      </c>
      <c r="E35" s="25">
        <f t="shared" si="8"/>
        <v>462783</v>
      </c>
      <c r="F35" s="11">
        <f>SUM(F32:F34)</f>
        <v>1002997.1948645283</v>
      </c>
      <c r="G35" s="11">
        <f t="shared" ref="G35:J35" si="9">SUM(G32:G34)</f>
        <v>516204.13718624931</v>
      </c>
      <c r="H35" s="11">
        <f t="shared" si="9"/>
        <v>546485.82055863645</v>
      </c>
      <c r="I35" s="11">
        <f t="shared" si="9"/>
        <v>575813.99476334022</v>
      </c>
      <c r="J35" s="11">
        <f t="shared" si="9"/>
        <v>603839.72127918503</v>
      </c>
    </row>
    <row r="36" spans="1:12" x14ac:dyDescent="0.25">
      <c r="B36" s="11"/>
      <c r="E36" s="28"/>
      <c r="I36" s="4"/>
      <c r="J36" s="4"/>
    </row>
    <row r="37" spans="1:12" x14ac:dyDescent="0.25">
      <c r="B37" s="4" t="s">
        <v>80</v>
      </c>
      <c r="C37" s="189">
        <f>4967420+54813</f>
        <v>5022233</v>
      </c>
      <c r="D37" s="9">
        <f>56366+4934062</f>
        <v>4990428</v>
      </c>
      <c r="E37" s="45">
        <f>1149679+3825659</f>
        <v>4975338</v>
      </c>
      <c r="F37" s="4">
        <f>Debt!F20</f>
        <v>3825659</v>
      </c>
      <c r="G37" s="4">
        <f>Debt!G20</f>
        <v>3825659</v>
      </c>
      <c r="H37" s="4">
        <f>Debt!H20</f>
        <v>3825659</v>
      </c>
      <c r="I37" s="4">
        <f>Debt!I20</f>
        <v>3825659</v>
      </c>
      <c r="J37" s="4">
        <f>Debt!J20</f>
        <v>3825659</v>
      </c>
    </row>
    <row r="38" spans="1:12" x14ac:dyDescent="0.25">
      <c r="B38" s="4" t="s">
        <v>81</v>
      </c>
      <c r="C38" s="189">
        <f>195244+40179+7761+44061</f>
        <v>287245</v>
      </c>
      <c r="D38" s="9">
        <f>179548+38559+45747</f>
        <v>263854</v>
      </c>
      <c r="E38" s="45">
        <f>181983+33229+45971</f>
        <v>261183</v>
      </c>
      <c r="F38" s="4">
        <f>F14*IncState!F16</f>
        <v>274242.15000000002</v>
      </c>
      <c r="G38" s="4">
        <f>G14*IncState!G16</f>
        <v>292067.88975000003</v>
      </c>
      <c r="H38" s="4">
        <f>H14*IncState!H16</f>
        <v>309591.96313500003</v>
      </c>
      <c r="I38" s="4">
        <f>I14*IncState!I16</f>
        <v>326619.52110742498</v>
      </c>
      <c r="J38" s="4">
        <f>J14*IncState!J16</f>
        <v>342950.49716279627</v>
      </c>
    </row>
    <row r="39" spans="1:12" x14ac:dyDescent="0.25">
      <c r="B39" s="11" t="s">
        <v>82</v>
      </c>
      <c r="C39" s="11">
        <f t="shared" ref="C39:E39" si="10">SUM(C37:C38)</f>
        <v>5309478</v>
      </c>
      <c r="D39" s="11">
        <f t="shared" si="10"/>
        <v>5254282</v>
      </c>
      <c r="E39" s="25">
        <f t="shared" si="10"/>
        <v>5236521</v>
      </c>
      <c r="F39" s="11">
        <f>SUM(F37:F38)</f>
        <v>4099901.15</v>
      </c>
      <c r="G39" s="11">
        <f t="shared" ref="G39:J39" si="11">SUM(G37:G38)</f>
        <v>4117726.8897500001</v>
      </c>
      <c r="H39" s="11">
        <f t="shared" si="11"/>
        <v>4135250.9631349999</v>
      </c>
      <c r="I39" s="11">
        <f t="shared" si="11"/>
        <v>4152278.521107425</v>
      </c>
      <c r="J39" s="11">
        <f t="shared" si="11"/>
        <v>4168609.4971627961</v>
      </c>
      <c r="K39" s="11"/>
      <c r="L39" s="11"/>
    </row>
    <row r="40" spans="1:12" x14ac:dyDescent="0.25">
      <c r="E40" s="28"/>
      <c r="I40" s="4"/>
      <c r="J40" s="4"/>
    </row>
    <row r="41" spans="1:12" x14ac:dyDescent="0.25">
      <c r="B41" s="4" t="s">
        <v>17</v>
      </c>
      <c r="C41" s="191">
        <v>-4189065</v>
      </c>
      <c r="D41" s="191">
        <v>-4070367</v>
      </c>
      <c r="E41" s="220">
        <v>-3962291</v>
      </c>
      <c r="F41" s="4">
        <f>Calcs!F17</f>
        <v>-3429398.243390887</v>
      </c>
      <c r="G41" s="4">
        <f>Calcs!G17</f>
        <v>-2852887.1276443773</v>
      </c>
      <c r="H41" s="4">
        <f>Calcs!H17</f>
        <v>-2232592.1914494378</v>
      </c>
      <c r="I41" s="4">
        <f>Calcs!I17</f>
        <v>-1568928.0331635459</v>
      </c>
      <c r="J41" s="4">
        <f>Calcs!J17</f>
        <v>-862926.49180623051</v>
      </c>
    </row>
    <row r="42" spans="1:12" s="11" customFormat="1" x14ac:dyDescent="0.25">
      <c r="A42" s="11" t="s">
        <v>126</v>
      </c>
      <c r="B42" s="18" t="s">
        <v>83</v>
      </c>
      <c r="C42" s="19">
        <f>SUM(C41,C39,C35)</f>
        <v>1602221</v>
      </c>
      <c r="D42" s="19">
        <f>SUM(D41,D39,D35)</f>
        <v>1674899</v>
      </c>
      <c r="E42" s="19">
        <f t="shared" ref="E42:F42" si="12">SUM(E41,E39,E35)</f>
        <v>1737013</v>
      </c>
      <c r="F42" s="19">
        <f t="shared" si="12"/>
        <v>1673500.1014736411</v>
      </c>
      <c r="G42" s="19">
        <f t="shared" ref="G42:J42" si="13">SUM(G41,G39,G35)</f>
        <v>1781043.899291872</v>
      </c>
      <c r="H42" s="19">
        <f t="shared" si="13"/>
        <v>2449144.5922441985</v>
      </c>
      <c r="I42" s="19">
        <f t="shared" si="13"/>
        <v>3159164.4827072197</v>
      </c>
      <c r="J42" s="19">
        <f t="shared" si="13"/>
        <v>3909522.7266357504</v>
      </c>
    </row>
    <row r="43" spans="1:12" x14ac:dyDescent="0.25">
      <c r="E43" s="28"/>
      <c r="I43" s="4"/>
      <c r="J43" s="4"/>
      <c r="K43" s="6"/>
      <c r="L43" s="6"/>
    </row>
    <row r="44" spans="1:12" x14ac:dyDescent="0.25">
      <c r="A44" s="4" t="s">
        <v>126</v>
      </c>
      <c r="B44" s="11" t="s">
        <v>84</v>
      </c>
      <c r="C44" s="46">
        <f>C42-C30</f>
        <v>0</v>
      </c>
      <c r="D44" s="46">
        <f t="shared" ref="D44:J44" si="14">D42-D30</f>
        <v>0</v>
      </c>
      <c r="E44" s="153">
        <f t="shared" si="14"/>
        <v>0</v>
      </c>
      <c r="F44" s="46">
        <f t="shared" si="14"/>
        <v>0</v>
      </c>
      <c r="G44" s="46">
        <f t="shared" ref="G44:J44" si="15">G42-G30</f>
        <v>0</v>
      </c>
      <c r="H44" s="46">
        <f t="shared" si="15"/>
        <v>0</v>
      </c>
      <c r="I44" s="46">
        <f t="shared" si="15"/>
        <v>0</v>
      </c>
      <c r="J44" s="46">
        <f t="shared" si="15"/>
        <v>0</v>
      </c>
      <c r="K44" s="46"/>
      <c r="L44" s="46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topLeftCell="C1" zoomScaleNormal="100" workbookViewId="0">
      <selection activeCell="I21" sqref="I21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5" width="11.7109375" style="4" customWidth="1"/>
    <col min="6" max="6" width="12.140625" style="4" bestFit="1" customWidth="1"/>
    <col min="7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80" t="s">
        <v>85</v>
      </c>
      <c r="B2" s="181"/>
      <c r="C2" s="186">
        <v>2022</v>
      </c>
      <c r="D2" s="186">
        <f>C2+1</f>
        <v>2023</v>
      </c>
      <c r="E2" s="186">
        <f t="shared" ref="E2:J2" si="0">D2+1</f>
        <v>2024</v>
      </c>
      <c r="F2" s="186">
        <f t="shared" si="0"/>
        <v>2025</v>
      </c>
      <c r="G2" s="186">
        <f t="shared" si="0"/>
        <v>2026</v>
      </c>
      <c r="H2" s="186">
        <f t="shared" si="0"/>
        <v>2027</v>
      </c>
      <c r="I2" s="186">
        <f t="shared" si="0"/>
        <v>2028</v>
      </c>
      <c r="J2" s="186">
        <f t="shared" si="0"/>
        <v>2029</v>
      </c>
      <c r="K2" s="208"/>
      <c r="L2" s="208"/>
    </row>
    <row r="3" spans="1:12" x14ac:dyDescent="0.25">
      <c r="B3" s="4" t="s">
        <v>158</v>
      </c>
      <c r="F3" s="4">
        <f>IncState!F34</f>
        <v>756721.77324607072</v>
      </c>
      <c r="G3" s="4">
        <f>IncState!G34</f>
        <v>814224.14902042563</v>
      </c>
      <c r="H3" s="4">
        <f>IncState!H34</f>
        <v>871891.98610581306</v>
      </c>
      <c r="I3" s="4">
        <f>IncState!I34</f>
        <v>929145.22483372304</v>
      </c>
      <c r="J3" s="4">
        <f>IncState!J34</f>
        <v>985366.62454210455</v>
      </c>
    </row>
    <row r="4" spans="1:12" x14ac:dyDescent="0.25">
      <c r="B4" s="4" t="s">
        <v>15</v>
      </c>
      <c r="F4" s="4">
        <f>IncState!F21</f>
        <v>87696.508598990011</v>
      </c>
      <c r="G4" s="4">
        <f>IncState!G21</f>
        <v>92982.96845068362</v>
      </c>
      <c r="H4" s="4">
        <f>IncState!H21</f>
        <v>98683.998968009852</v>
      </c>
      <c r="I4" s="4">
        <f>IncState!I21</f>
        <v>104706.16469300528</v>
      </c>
      <c r="J4" s="4">
        <f>IncState!J21</f>
        <v>110957.61106544037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-15538.114891293342</v>
      </c>
      <c r="G6" s="4">
        <f>Calcs!G26</f>
        <v>-21123.409457161732</v>
      </c>
      <c r="H6" s="4">
        <f>Calcs!H26</f>
        <v>-20819.374245488376</v>
      </c>
      <c r="I6" s="4">
        <f>Calcs!I26</f>
        <v>-20286.71953240002</v>
      </c>
      <c r="J6" s="4">
        <f>Calcs!J26</f>
        <v>-19518.307531536906</v>
      </c>
    </row>
    <row r="7" spans="1:12" x14ac:dyDescent="0.25">
      <c r="B7" s="4" t="s">
        <v>190</v>
      </c>
      <c r="F7" s="4">
        <f>BalSheet!E27-BalSheet!F27</f>
        <v>-6650.6499999999942</v>
      </c>
      <c r="G7" s="4">
        <f>BalSheet!F27-BalSheet!G27</f>
        <v>-9078.1372499999998</v>
      </c>
      <c r="H7" s="4">
        <f>BalSheet!G27-BalSheet!H27</f>
        <v>-8924.5072349999973</v>
      </c>
      <c r="I7" s="4">
        <f>BalSheet!H27-BalSheet!I27</f>
        <v>-8671.6461966749921</v>
      </c>
      <c r="J7" s="4">
        <f>BalSheet!I27-BalSheet!J27</f>
        <v>-8316.897034083755</v>
      </c>
    </row>
    <row r="8" spans="1:12" x14ac:dyDescent="0.25">
      <c r="B8" s="4" t="s">
        <v>191</v>
      </c>
      <c r="F8" s="4">
        <f>BalSheet!F38-BalSheet!E38</f>
        <v>13059.150000000023</v>
      </c>
      <c r="G8" s="4">
        <f>BalSheet!G38-BalSheet!F38</f>
        <v>17825.739750000008</v>
      </c>
      <c r="H8" s="4">
        <f>BalSheet!H38-BalSheet!G38</f>
        <v>17524.073384999996</v>
      </c>
      <c r="I8" s="4">
        <f>BalSheet!I38-BalSheet!H38</f>
        <v>17027.557972424955</v>
      </c>
      <c r="J8" s="4">
        <f>BalSheet!J38-BalSheet!I38</f>
        <v>16330.976055371284</v>
      </c>
    </row>
    <row r="9" spans="1:12" s="11" customFormat="1" x14ac:dyDescent="0.25">
      <c r="B9" s="11" t="s">
        <v>192</v>
      </c>
      <c r="F9" s="11">
        <f>SUM(F3:F8)</f>
        <v>835288.66695376742</v>
      </c>
      <c r="G9" s="11">
        <f t="shared" ref="G9:J9" si="1">SUM(G3:G8)</f>
        <v>894831.31051394762</v>
      </c>
      <c r="H9" s="11">
        <f t="shared" si="1"/>
        <v>958356.17697833444</v>
      </c>
      <c r="I9" s="11">
        <f t="shared" si="1"/>
        <v>1021920.5817700783</v>
      </c>
      <c r="J9" s="11">
        <f t="shared" si="1"/>
        <v>1084820.0070972955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-118529.25</v>
      </c>
      <c r="G11" s="4">
        <f>-Calcs!G7</f>
        <v>-126233.65125</v>
      </c>
      <c r="H11" s="4">
        <f>-Calcs!H7</f>
        <v>-133807.67032499998</v>
      </c>
      <c r="I11" s="4">
        <f>-Calcs!I7</f>
        <v>-141167.09219287499</v>
      </c>
      <c r="J11" s="4">
        <f>-Calcs!J7</f>
        <v>-148225.44680251877</v>
      </c>
    </row>
    <row r="12" spans="1:12" s="11" customFormat="1" x14ac:dyDescent="0.25">
      <c r="B12" s="11" t="s">
        <v>193</v>
      </c>
      <c r="F12" s="11">
        <f>SUM(F11)</f>
        <v>-118529.25</v>
      </c>
      <c r="G12" s="11">
        <f t="shared" ref="G12:J12" si="2">SUM(G11)</f>
        <v>-126233.65125</v>
      </c>
      <c r="H12" s="11">
        <f t="shared" si="2"/>
        <v>-133807.67032499998</v>
      </c>
      <c r="I12" s="11">
        <f t="shared" si="2"/>
        <v>-141167.09219287499</v>
      </c>
      <c r="J12" s="11">
        <f t="shared" si="2"/>
        <v>-148225.44680251877</v>
      </c>
    </row>
    <row r="13" spans="1:12" x14ac:dyDescent="0.25">
      <c r="I13" s="4"/>
      <c r="J13" s="4"/>
    </row>
    <row r="14" spans="1:12" x14ac:dyDescent="0.25">
      <c r="B14" s="4" t="s">
        <v>21</v>
      </c>
      <c r="F14" s="4">
        <f>-IncState!F36</f>
        <v>-223829.01663695782</v>
      </c>
      <c r="G14" s="4">
        <f>-IncState!G36</f>
        <v>-237713.03327391567</v>
      </c>
      <c r="H14" s="4">
        <f>-IncState!H36</f>
        <v>-251597.04991087349</v>
      </c>
      <c r="I14" s="4">
        <f>-IncState!I36</f>
        <v>-265481.06654783135</v>
      </c>
      <c r="J14" s="4">
        <f>-IncState!J36</f>
        <v>-279365.08318478917</v>
      </c>
    </row>
    <row r="15" spans="1:12" x14ac:dyDescent="0.25">
      <c r="B15" s="4" t="s">
        <v>194</v>
      </c>
      <c r="F15" s="4">
        <f>SUM(Debt!F8:F9)</f>
        <v>-1149679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145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195</v>
      </c>
      <c r="F17" s="11">
        <f>SUM(F14:F16)</f>
        <v>-1373508.0166369579</v>
      </c>
      <c r="G17" s="11">
        <f t="shared" ref="G17:J17" si="3">SUM(G14:G16)</f>
        <v>-237713.03327391567</v>
      </c>
      <c r="H17" s="11">
        <f t="shared" si="3"/>
        <v>-251597.04991087349</v>
      </c>
      <c r="I17" s="11">
        <f t="shared" si="3"/>
        <v>-265481.06654783135</v>
      </c>
      <c r="J17" s="11">
        <f t="shared" si="3"/>
        <v>-279365.08318478917</v>
      </c>
    </row>
    <row r="18" spans="2:10" x14ac:dyDescent="0.25">
      <c r="I18" s="4"/>
      <c r="J18" s="4"/>
    </row>
    <row r="19" spans="2:10" x14ac:dyDescent="0.25">
      <c r="B19" s="4" t="s">
        <v>196</v>
      </c>
      <c r="F19" s="4">
        <f>SUM(F17,F12,F9)</f>
        <v>-656748.59968319046</v>
      </c>
      <c r="G19" s="4">
        <f t="shared" ref="G19:J19" si="4">SUM(G17,G12,G9)</f>
        <v>530884.62599003199</v>
      </c>
      <c r="H19" s="4">
        <f t="shared" si="4"/>
        <v>572951.45674246096</v>
      </c>
      <c r="I19" s="4">
        <f t="shared" si="4"/>
        <v>615272.423029372</v>
      </c>
      <c r="J19" s="4">
        <f t="shared" si="4"/>
        <v>657229.47710998752</v>
      </c>
    </row>
    <row r="20" spans="2:10" x14ac:dyDescent="0.25">
      <c r="I20" s="4"/>
      <c r="J20" s="4"/>
    </row>
    <row r="21" spans="2:10" x14ac:dyDescent="0.25">
      <c r="B21" s="4" t="s">
        <v>197</v>
      </c>
      <c r="F21" s="4">
        <f>BalSheet!E18</f>
        <v>139061.84</v>
      </c>
      <c r="G21" s="4">
        <f>F23</f>
        <v>-517686.7596831905</v>
      </c>
      <c r="H21" s="4">
        <f t="shared" ref="H21:J21" si="5">G23</f>
        <v>13197.86630684149</v>
      </c>
      <c r="I21" s="4">
        <f t="shared" si="5"/>
        <v>586149.32304930245</v>
      </c>
      <c r="J21" s="4">
        <f t="shared" si="5"/>
        <v>1201421.7460786744</v>
      </c>
    </row>
    <row r="22" spans="2:10" x14ac:dyDescent="0.25">
      <c r="B22" s="4" t="str">
        <f>B19</f>
        <v>Net changes In cash</v>
      </c>
      <c r="F22" s="4">
        <f>F19</f>
        <v>-656748.59968319046</v>
      </c>
      <c r="G22" s="4">
        <f t="shared" ref="G22:J22" si="6">G19</f>
        <v>530884.62599003199</v>
      </c>
      <c r="H22" s="4">
        <f t="shared" ref="H22:J22" si="7">H19</f>
        <v>572951.45674246096</v>
      </c>
      <c r="I22" s="4">
        <f t="shared" si="7"/>
        <v>615272.423029372</v>
      </c>
      <c r="J22" s="4">
        <f t="shared" si="7"/>
        <v>657229.47710998752</v>
      </c>
    </row>
    <row r="23" spans="2:10" x14ac:dyDescent="0.25">
      <c r="B23" s="4" t="s">
        <v>198</v>
      </c>
      <c r="F23" s="4">
        <f>SUM(F21:F22)</f>
        <v>-517686.7596831905</v>
      </c>
      <c r="G23" s="4">
        <f t="shared" ref="G23:J23" si="8">SUM(G21:G22)</f>
        <v>13197.86630684149</v>
      </c>
      <c r="H23" s="4">
        <f t="shared" ref="H23" si="9">SUM(H21:H22)</f>
        <v>586149.32304930245</v>
      </c>
      <c r="I23" s="4">
        <f t="shared" ref="I23" si="10">SUM(I21:I22)</f>
        <v>1201421.7460786744</v>
      </c>
      <c r="J23" s="4">
        <f t="shared" ref="J23" si="11">SUM(J21:J22)</f>
        <v>1858651.223188662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topLeftCell="C1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9" t="str">
        <f>CoName</f>
        <v>Domino's Pizza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80" t="s">
        <v>88</v>
      </c>
      <c r="B2" s="181"/>
      <c r="C2" s="186">
        <v>2022</v>
      </c>
      <c r="D2" s="186">
        <f>C2+1</f>
        <v>2023</v>
      </c>
      <c r="E2" s="186">
        <f t="shared" ref="E2:J2" si="0">D2+1</f>
        <v>2024</v>
      </c>
      <c r="F2" s="186">
        <f t="shared" si="0"/>
        <v>2025</v>
      </c>
      <c r="G2" s="186">
        <f t="shared" si="0"/>
        <v>2026</v>
      </c>
      <c r="H2" s="186">
        <f t="shared" si="0"/>
        <v>2027</v>
      </c>
      <c r="I2" s="186">
        <f t="shared" si="0"/>
        <v>2028</v>
      </c>
      <c r="J2" s="186">
        <f t="shared" si="0"/>
        <v>2029</v>
      </c>
      <c r="K2" s="208"/>
      <c r="L2" s="208"/>
    </row>
    <row r="3" spans="1:12" x14ac:dyDescent="0.25">
      <c r="A3" s="11" t="s">
        <v>126</v>
      </c>
      <c r="B3" s="4" t="s">
        <v>89</v>
      </c>
      <c r="D3" s="239"/>
      <c r="E3" s="24"/>
      <c r="F3" s="240">
        <f>IncState!F16</f>
        <v>4941736.8</v>
      </c>
      <c r="G3" s="240">
        <f>IncState!G16</f>
        <v>5262949.6919999998</v>
      </c>
      <c r="H3" s="240">
        <f>IncState!H16</f>
        <v>5578726.6735199997</v>
      </c>
      <c r="I3" s="240">
        <f>IncState!I16</f>
        <v>5885556.6405635998</v>
      </c>
      <c r="J3" s="240">
        <f>IncState!J16</f>
        <v>6179834.4725917801</v>
      </c>
      <c r="K3" s="216"/>
      <c r="L3" s="216"/>
    </row>
    <row r="4" spans="1:12" x14ac:dyDescent="0.25">
      <c r="B4" s="4" t="s">
        <v>55</v>
      </c>
      <c r="E4" s="28"/>
      <c r="F4" s="4">
        <f>IncState!F19</f>
        <v>957875.66233679838</v>
      </c>
      <c r="G4" s="4">
        <f>IncState!G19</f>
        <v>1030663.4797726907</v>
      </c>
      <c r="H4" s="4">
        <f>IncState!H19</f>
        <v>1103660.7419060925</v>
      </c>
      <c r="I4" s="4">
        <f>IncState!I19</f>
        <v>1176133.1959920544</v>
      </c>
      <c r="J4" s="4">
        <f>IncState!J19</f>
        <v>1247299.5247368412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0.21</v>
      </c>
      <c r="G5" s="43">
        <f>Assumptions!G16</f>
        <v>0.21</v>
      </c>
      <c r="H5" s="43">
        <f>Assumptions!H16</f>
        <v>0.21</v>
      </c>
      <c r="I5" s="43">
        <f>Assumptions!I16</f>
        <v>0.21</v>
      </c>
      <c r="J5" s="43">
        <f>Assumptions!J16</f>
        <v>0.21</v>
      </c>
      <c r="K5" s="43"/>
      <c r="L5" s="43"/>
    </row>
    <row r="6" spans="1:12" x14ac:dyDescent="0.25">
      <c r="C6" s="5"/>
      <c r="D6" s="5"/>
      <c r="E6" s="24"/>
      <c r="F6" s="5"/>
      <c r="G6" s="5"/>
      <c r="H6" s="5"/>
      <c r="I6" s="5"/>
      <c r="J6" s="5"/>
      <c r="K6" s="173"/>
      <c r="L6" s="173"/>
    </row>
    <row r="7" spans="1:12" x14ac:dyDescent="0.25">
      <c r="A7" s="25" t="s">
        <v>126</v>
      </c>
      <c r="B7" s="22" t="s">
        <v>90</v>
      </c>
      <c r="C7" s="119"/>
      <c r="D7" s="119"/>
      <c r="E7" s="119"/>
      <c r="F7" s="134">
        <f t="shared" ref="F7:J7" si="1">F4*(1-F5)</f>
        <v>756721.77324607072</v>
      </c>
      <c r="G7" s="134">
        <f t="shared" ref="G7:J7" si="2">G4*(1-G5)</f>
        <v>814224.14902042563</v>
      </c>
      <c r="H7" s="134">
        <f t="shared" si="2"/>
        <v>871891.98610581306</v>
      </c>
      <c r="I7" s="134">
        <f t="shared" si="2"/>
        <v>929145.22483372304</v>
      </c>
      <c r="J7" s="134">
        <f t="shared" si="2"/>
        <v>985366.62454210455</v>
      </c>
      <c r="K7" s="216"/>
      <c r="L7" s="216"/>
    </row>
    <row r="8" spans="1:12" x14ac:dyDescent="0.25">
      <c r="B8" s="4" t="s">
        <v>15</v>
      </c>
      <c r="C8" s="119"/>
      <c r="D8" s="119"/>
      <c r="E8" s="120"/>
      <c r="F8" s="135">
        <f>CashFlow!F4</f>
        <v>87696.508598990011</v>
      </c>
      <c r="G8" s="135">
        <f>CashFlow!G4</f>
        <v>92982.96845068362</v>
      </c>
      <c r="H8" s="135">
        <f>CashFlow!H4</f>
        <v>98683.998968009852</v>
      </c>
      <c r="I8" s="135">
        <f>CashFlow!I4</f>
        <v>104706.16469300528</v>
      </c>
      <c r="J8" s="135">
        <f>CashFlow!J4</f>
        <v>110957.61106544037</v>
      </c>
      <c r="K8" s="215"/>
      <c r="L8" s="215"/>
    </row>
    <row r="9" spans="1:12" x14ac:dyDescent="0.25">
      <c r="B9" s="4" t="s">
        <v>54</v>
      </c>
      <c r="C9" s="5"/>
      <c r="D9" s="5"/>
      <c r="E9" s="24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215"/>
      <c r="L9" s="215"/>
    </row>
    <row r="10" spans="1:12" x14ac:dyDescent="0.25">
      <c r="B10" s="4" t="s">
        <v>91</v>
      </c>
      <c r="C10" s="5"/>
      <c r="D10" s="5"/>
      <c r="E10" s="24"/>
      <c r="F10" s="136">
        <f>CashFlow!F6</f>
        <v>-15538.114891293342</v>
      </c>
      <c r="G10" s="136">
        <f>CashFlow!G6</f>
        <v>-21123.409457161732</v>
      </c>
      <c r="H10" s="136">
        <f>CashFlow!H6</f>
        <v>-20819.374245488376</v>
      </c>
      <c r="I10" s="136">
        <f>CashFlow!I6</f>
        <v>-20286.71953240002</v>
      </c>
      <c r="J10" s="136">
        <f>CashFlow!J6</f>
        <v>-19518.307531536906</v>
      </c>
      <c r="K10" s="215"/>
      <c r="L10" s="215"/>
    </row>
    <row r="11" spans="1:12" x14ac:dyDescent="0.25">
      <c r="B11" s="4" t="s">
        <v>167</v>
      </c>
      <c r="C11" s="5"/>
      <c r="D11" s="5"/>
      <c r="E11" s="24"/>
      <c r="F11" s="136">
        <f>CashFlow!F7</f>
        <v>-6650.6499999999942</v>
      </c>
      <c r="G11" s="136">
        <f>CashFlow!G7</f>
        <v>-9078.1372499999998</v>
      </c>
      <c r="H11" s="136">
        <f>CashFlow!H7</f>
        <v>-8924.5072349999973</v>
      </c>
      <c r="I11" s="136">
        <f>CashFlow!I7</f>
        <v>-8671.6461966749921</v>
      </c>
      <c r="J11" s="136">
        <f>CashFlow!J7</f>
        <v>-8316.897034083755</v>
      </c>
      <c r="K11" s="215"/>
      <c r="L11" s="215"/>
    </row>
    <row r="12" spans="1:12" x14ac:dyDescent="0.25">
      <c r="B12" s="4" t="s">
        <v>168</v>
      </c>
      <c r="E12" s="28"/>
      <c r="F12" s="136">
        <f>CashFlow!F8</f>
        <v>13059.150000000023</v>
      </c>
      <c r="G12" s="136">
        <f>CashFlow!G8</f>
        <v>17825.739750000008</v>
      </c>
      <c r="H12" s="136">
        <f>CashFlow!H8</f>
        <v>17524.073384999996</v>
      </c>
      <c r="I12" s="136">
        <f>CashFlow!I8</f>
        <v>17027.557972424955</v>
      </c>
      <c r="J12" s="136">
        <f>CashFlow!J8</f>
        <v>16330.976055371284</v>
      </c>
      <c r="K12" s="215"/>
      <c r="L12" s="215"/>
    </row>
    <row r="13" spans="1:12" x14ac:dyDescent="0.25">
      <c r="B13" s="4" t="s">
        <v>92</v>
      </c>
      <c r="E13" s="28"/>
      <c r="F13" s="132">
        <f>CashFlow!F11</f>
        <v>-118529.25</v>
      </c>
      <c r="G13" s="132">
        <f>CashFlow!G11</f>
        <v>-126233.65125</v>
      </c>
      <c r="H13" s="132">
        <f>CashFlow!H11</f>
        <v>-133807.67032499998</v>
      </c>
      <c r="I13" s="132">
        <f>CashFlow!I11</f>
        <v>-141167.09219287499</v>
      </c>
      <c r="J13" s="132">
        <f>CashFlow!J11</f>
        <v>-148225.44680251877</v>
      </c>
      <c r="K13" s="132"/>
      <c r="L13" s="132"/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5" t="s">
        <v>126</v>
      </c>
      <c r="B15" s="34" t="s">
        <v>93</v>
      </c>
      <c r="C15" s="34"/>
      <c r="D15" s="34"/>
      <c r="E15" s="34"/>
      <c r="F15" s="34">
        <f>SUM(F7:F13)</f>
        <v>716759.41695376742</v>
      </c>
      <c r="G15" s="34">
        <f t="shared" ref="G15:J15" si="3">SUM(G7:G13)</f>
        <v>768597.65926394763</v>
      </c>
      <c r="H15" s="34">
        <f t="shared" si="3"/>
        <v>824548.50665333448</v>
      </c>
      <c r="I15" s="34">
        <f t="shared" si="3"/>
        <v>880753.48957720329</v>
      </c>
      <c r="J15" s="34">
        <f t="shared" si="3"/>
        <v>936594.56029477669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B14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9" t="str">
        <f>CoName</f>
        <v>Domino's Pizza Inc</v>
      </c>
    </row>
    <row r="2" spans="1:13" x14ac:dyDescent="0.25">
      <c r="G2" s="147"/>
    </row>
    <row r="3" spans="1:13" x14ac:dyDescent="0.25">
      <c r="A3" s="28" t="s">
        <v>126</v>
      </c>
      <c r="B3" s="163" t="s">
        <v>102</v>
      </c>
      <c r="C3" s="164"/>
      <c r="D3" s="164"/>
      <c r="E3" s="165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8"/>
      <c r="B4" s="262" t="s">
        <v>169</v>
      </c>
      <c r="C4" s="67"/>
      <c r="D4" s="72"/>
      <c r="E4" s="263">
        <f>Assumptions!F16</f>
        <v>0.21</v>
      </c>
      <c r="G4" s="139"/>
      <c r="H4" s="140"/>
      <c r="I4" s="80"/>
      <c r="J4" s="81"/>
      <c r="K4" s="142"/>
      <c r="L4" s="154">
        <f>E4</f>
        <v>0.21</v>
      </c>
      <c r="M4" s="143">
        <f>H4/((1+K4*(1-L4)))</f>
        <v>0</v>
      </c>
    </row>
    <row r="5" spans="1:13" x14ac:dyDescent="0.25">
      <c r="A5" s="28"/>
      <c r="B5" s="67" t="s">
        <v>95</v>
      </c>
      <c r="C5" s="67"/>
      <c r="D5" s="72"/>
      <c r="E5" s="138">
        <v>4.1500000000000002E-2</v>
      </c>
      <c r="G5" s="139"/>
      <c r="H5" s="140"/>
      <c r="I5" s="80"/>
      <c r="J5" s="81"/>
      <c r="K5" s="142"/>
      <c r="L5" s="154">
        <f>L4</f>
        <v>0.21</v>
      </c>
      <c r="M5" s="143">
        <f t="shared" ref="M5:M7" si="0">H5/((1+K5*(1-L5)))</f>
        <v>0</v>
      </c>
    </row>
    <row r="6" spans="1:13" x14ac:dyDescent="0.25">
      <c r="A6" s="28"/>
      <c r="B6" s="67" t="s">
        <v>96</v>
      </c>
      <c r="C6" s="67"/>
      <c r="D6" s="72"/>
      <c r="E6" s="138">
        <v>0.05</v>
      </c>
      <c r="G6" s="139"/>
      <c r="H6" s="141"/>
      <c r="I6" s="82"/>
      <c r="J6" s="81"/>
      <c r="K6" s="142"/>
      <c r="L6" s="154">
        <f t="shared" ref="L6:L7" si="1">L5</f>
        <v>0.21</v>
      </c>
      <c r="M6" s="143">
        <f t="shared" si="0"/>
        <v>0</v>
      </c>
    </row>
    <row r="7" spans="1:13" x14ac:dyDescent="0.25">
      <c r="A7" s="28"/>
      <c r="B7" s="67" t="s">
        <v>97</v>
      </c>
      <c r="C7" s="67"/>
      <c r="D7" s="72"/>
      <c r="E7" s="222">
        <v>0.82</v>
      </c>
      <c r="G7" s="139"/>
      <c r="H7" s="141"/>
      <c r="I7" s="82"/>
      <c r="J7" s="83"/>
      <c r="K7" s="142"/>
      <c r="L7" s="154">
        <f t="shared" si="1"/>
        <v>0.21</v>
      </c>
      <c r="M7" s="143">
        <f t="shared" si="0"/>
        <v>0</v>
      </c>
    </row>
    <row r="8" spans="1:13" x14ac:dyDescent="0.25">
      <c r="A8" s="28"/>
      <c r="B8" s="67" t="s">
        <v>98</v>
      </c>
      <c r="C8" s="67"/>
      <c r="D8" s="72"/>
      <c r="E8" s="138">
        <f>E5+E6*E7</f>
        <v>8.2500000000000004E-2</v>
      </c>
      <c r="L8" s="66"/>
    </row>
    <row r="9" spans="1:13" x14ac:dyDescent="0.25">
      <c r="A9" s="28"/>
      <c r="B9" s="68" t="s">
        <v>99</v>
      </c>
      <c r="C9" s="68"/>
      <c r="D9" s="73"/>
      <c r="E9" s="144">
        <f>1-E10</f>
        <v>0.70241990438709068</v>
      </c>
      <c r="G9" s="4" t="s">
        <v>111</v>
      </c>
      <c r="L9" s="28"/>
      <c r="M9" s="221">
        <f>AVERAGE(M4:M7)</f>
        <v>0</v>
      </c>
    </row>
    <row r="10" spans="1:13" x14ac:dyDescent="0.25">
      <c r="A10" s="28"/>
      <c r="B10" s="69" t="s">
        <v>100</v>
      </c>
      <c r="C10" s="69"/>
      <c r="D10" s="74"/>
      <c r="E10" s="145">
        <f>SUM(BalSheet!F32,BalSheet!F37)/MAIN!F6</f>
        <v>0.29758009561290938</v>
      </c>
      <c r="M10" s="66"/>
    </row>
    <row r="11" spans="1:13" x14ac:dyDescent="0.25">
      <c r="A11" s="28"/>
      <c r="B11" s="162" t="s">
        <v>182</v>
      </c>
      <c r="C11" s="70"/>
      <c r="D11" s="75"/>
      <c r="E11" s="146">
        <f>Assumptions!F24</f>
        <v>3.9368179609103944E-2</v>
      </c>
      <c r="G11" s="4" t="s">
        <v>112</v>
      </c>
      <c r="L11" s="28"/>
      <c r="M11" s="221">
        <f>M9*(1+E10*(1-E4))</f>
        <v>0</v>
      </c>
    </row>
    <row r="12" spans="1:13" x14ac:dyDescent="0.25">
      <c r="A12" s="28"/>
      <c r="B12" s="71" t="s">
        <v>101</v>
      </c>
      <c r="C12" s="71"/>
      <c r="D12" s="76"/>
      <c r="E12" s="146">
        <f>E11*(1-E4)</f>
        <v>3.1100861891192117E-2</v>
      </c>
      <c r="M12" s="66"/>
    </row>
    <row r="13" spans="1:13" s="11" customFormat="1" x14ac:dyDescent="0.25">
      <c r="A13" s="25" t="s">
        <v>126</v>
      </c>
      <c r="B13" s="163" t="s">
        <v>102</v>
      </c>
      <c r="C13" s="164"/>
      <c r="D13" s="165"/>
      <c r="E13" s="159">
        <f>WACC!E8*WACC!E9+WACC!E12*WACC!E10</f>
        <v>6.720463956715983E-2</v>
      </c>
      <c r="F13" s="4"/>
    </row>
    <row r="14" spans="1:13" s="11" customFormat="1" x14ac:dyDescent="0.25">
      <c r="A14" s="25"/>
      <c r="B14" s="77" t="s">
        <v>103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opLeftCell="C1" zoomScaleNormal="100" workbookViewId="0">
      <selection activeCell="K7" sqref="K7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8" width="12.42578125" style="4" bestFit="1" customWidth="1"/>
    <col min="9" max="12" width="11.7109375" style="4" customWidth="1"/>
    <col min="13" max="16384" width="9" style="4"/>
  </cols>
  <sheetData>
    <row r="1" spans="1:14" ht="19.5" x14ac:dyDescent="0.3">
      <c r="A1" s="259" t="str">
        <f>CoName</f>
        <v>Domino's Pizza Inc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20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60"/>
      <c r="J2" s="160"/>
      <c r="K2" s="160"/>
      <c r="L2" s="160"/>
      <c r="M2" s="160"/>
      <c r="N2" s="160"/>
    </row>
    <row r="3" spans="1:14" x14ac:dyDescent="0.25">
      <c r="B3" s="4" t="s">
        <v>187</v>
      </c>
      <c r="D3" s="8">
        <f>1/(1+$K$17)^D2</f>
        <v>0.96800176167489238</v>
      </c>
      <c r="E3" s="8">
        <f t="shared" ref="E3:H3" si="1">1/(1+$K$17)^E2</f>
        <v>0.90704418420397559</v>
      </c>
      <c r="F3" s="8">
        <f t="shared" si="1"/>
        <v>0.84992526322960638</v>
      </c>
      <c r="G3" s="8">
        <f t="shared" si="1"/>
        <v>0.79640326861240174</v>
      </c>
      <c r="H3" s="8">
        <f t="shared" si="1"/>
        <v>0.7462516925857906</v>
      </c>
      <c r="I3" s="8"/>
      <c r="J3" s="8"/>
      <c r="K3" s="8"/>
    </row>
    <row r="4" spans="1:14" x14ac:dyDescent="0.25">
      <c r="B4" s="4" t="s">
        <v>188</v>
      </c>
      <c r="D4" s="4">
        <f>D3*'Free Cash Flow'!F15</f>
        <v>693824.37830831553</v>
      </c>
      <c r="E4" s="4">
        <f>E3*'Free Cash Flow'!G15</f>
        <v>697152.0368281526</v>
      </c>
      <c r="F4" s="4">
        <f>F3*'Free Cash Flow'!H15</f>
        <v>700804.60656291409</v>
      </c>
      <c r="G4" s="4">
        <f>G3*'Free Cash Flow'!I15</f>
        <v>701434.95794106356</v>
      </c>
      <c r="H4" s="4">
        <f>H3*'Free Cash Flow'!J15</f>
        <v>698935.27588662144</v>
      </c>
    </row>
    <row r="5" spans="1:14" x14ac:dyDescent="0.25">
      <c r="G5" s="147"/>
      <c r="H5" s="4">
        <f>(H4*(1+K18))/(K17-K18)</f>
        <v>16974642.246233921</v>
      </c>
    </row>
    <row r="6" spans="1:14" x14ac:dyDescent="0.25">
      <c r="A6" s="77" t="s">
        <v>115</v>
      </c>
      <c r="B6" s="20"/>
      <c r="C6" s="42"/>
      <c r="D6" s="86"/>
      <c r="E6" s="77" t="s">
        <v>174</v>
      </c>
      <c r="F6" s="20"/>
      <c r="G6" s="42"/>
      <c r="H6" s="86" t="s">
        <v>170</v>
      </c>
      <c r="I6" s="77" t="s">
        <v>199</v>
      </c>
      <c r="J6" s="20"/>
      <c r="K6" s="42"/>
    </row>
    <row r="7" spans="1:14" x14ac:dyDescent="0.25">
      <c r="B7" s="4" t="s">
        <v>116</v>
      </c>
      <c r="C7" s="4">
        <f>SUM(D4:H4)</f>
        <v>3492151.255527067</v>
      </c>
      <c r="E7" s="4" t="s">
        <v>116</v>
      </c>
      <c r="G7" s="4">
        <f>C7</f>
        <v>3492151.255527067</v>
      </c>
      <c r="I7" s="4" t="s">
        <v>200</v>
      </c>
      <c r="K7" s="4">
        <f>IncState!J36</f>
        <v>279365.08318478917</v>
      </c>
    </row>
    <row r="8" spans="1:14" x14ac:dyDescent="0.25">
      <c r="B8" s="4" t="s">
        <v>117</v>
      </c>
      <c r="C8" s="4">
        <f>H5*H3</f>
        <v>12667355.50729033</v>
      </c>
      <c r="E8" s="4" t="s">
        <v>175</v>
      </c>
      <c r="G8" s="4">
        <f>G10*H3*IncState!J23</f>
        <v>15204025.29838771</v>
      </c>
      <c r="I8" s="4" t="s">
        <v>123</v>
      </c>
      <c r="K8" s="4">
        <f>K7/(K17-K18)</f>
        <v>6619297.926718181</v>
      </c>
    </row>
    <row r="9" spans="1:14" x14ac:dyDescent="0.25">
      <c r="B9" s="4" t="s">
        <v>118</v>
      </c>
      <c r="C9" s="4">
        <f>SUM(C7:C8)</f>
        <v>16159506.762817398</v>
      </c>
      <c r="E9" s="4" t="s">
        <v>118</v>
      </c>
      <c r="G9" s="4">
        <f>SUM(G7:G8)</f>
        <v>18696176.553914778</v>
      </c>
    </row>
    <row r="10" spans="1:14" x14ac:dyDescent="0.25">
      <c r="C10" s="85"/>
      <c r="E10" s="4" t="s">
        <v>119</v>
      </c>
      <c r="G10" s="85">
        <v>15</v>
      </c>
      <c r="I10" s="4" t="s">
        <v>124</v>
      </c>
      <c r="K10" s="4">
        <f>G17</f>
        <v>33786</v>
      </c>
    </row>
    <row r="11" spans="1:14" x14ac:dyDescent="0.25">
      <c r="I11" s="149" t="s">
        <v>125</v>
      </c>
      <c r="J11" s="157"/>
      <c r="K11" s="158">
        <f>K8/K10</f>
        <v>195.91836638602322</v>
      </c>
    </row>
    <row r="12" spans="1:14" x14ac:dyDescent="0.25">
      <c r="B12" s="28" t="s">
        <v>120</v>
      </c>
      <c r="C12" s="37">
        <f>MAIN!F7</f>
        <v>342229</v>
      </c>
      <c r="E12" s="28" t="s">
        <v>120</v>
      </c>
      <c r="F12" s="157"/>
      <c r="G12" s="37">
        <f>C12</f>
        <v>342229</v>
      </c>
      <c r="I12" s="160"/>
    </row>
    <row r="13" spans="1:14" x14ac:dyDescent="0.25">
      <c r="B13" s="28" t="s">
        <v>121</v>
      </c>
      <c r="C13" s="37">
        <f>MAIN!F8</f>
        <v>5052715</v>
      </c>
      <c r="E13" s="28" t="s">
        <v>121</v>
      </c>
      <c r="F13" s="157"/>
      <c r="G13" s="37">
        <f>C13</f>
        <v>5052715</v>
      </c>
    </row>
    <row r="14" spans="1:14" x14ac:dyDescent="0.25">
      <c r="B14" s="28" t="s">
        <v>122</v>
      </c>
      <c r="C14" s="79">
        <v>0</v>
      </c>
      <c r="E14" s="4" t="s">
        <v>122</v>
      </c>
      <c r="G14" s="79">
        <f>C14</f>
        <v>0</v>
      </c>
    </row>
    <row r="15" spans="1:14" x14ac:dyDescent="0.25">
      <c r="B15" s="4" t="s">
        <v>123</v>
      </c>
      <c r="C15" s="66">
        <f>C9+C12-SUM(C13:C14)</f>
        <v>11449020.762817398</v>
      </c>
      <c r="E15" s="4" t="s">
        <v>123</v>
      </c>
      <c r="G15" s="66">
        <f>G9+G12-SUM(G13:G14)</f>
        <v>13985690.553914778</v>
      </c>
    </row>
    <row r="17" spans="1:17" x14ac:dyDescent="0.25">
      <c r="B17" s="4" t="s">
        <v>124</v>
      </c>
      <c r="C17" s="4">
        <f>MAIN!F5</f>
        <v>33786</v>
      </c>
      <c r="E17" s="4" t="s">
        <v>124</v>
      </c>
      <c r="G17" s="4">
        <f>C17</f>
        <v>33786</v>
      </c>
      <c r="I17" s="163" t="s">
        <v>102</v>
      </c>
      <c r="J17" s="164"/>
      <c r="K17" s="159">
        <f>WACC!E13</f>
        <v>6.720463956715983E-2</v>
      </c>
    </row>
    <row r="18" spans="1:17" x14ac:dyDescent="0.25">
      <c r="A18" s="4" t="s">
        <v>126</v>
      </c>
      <c r="B18" s="149" t="s">
        <v>125</v>
      </c>
      <c r="C18" s="158">
        <f>C15/C17</f>
        <v>338.86878478711293</v>
      </c>
      <c r="E18" s="149" t="s">
        <v>125</v>
      </c>
      <c r="F18" s="157"/>
      <c r="G18" s="158">
        <f>G15/G17</f>
        <v>413.94928532276026</v>
      </c>
      <c r="I18" s="77" t="s">
        <v>103</v>
      </c>
      <c r="J18" s="77"/>
      <c r="K18" s="148">
        <v>2.5000000000000001E-2</v>
      </c>
    </row>
    <row r="19" spans="1:17" x14ac:dyDescent="0.25">
      <c r="C19" s="22"/>
    </row>
    <row r="20" spans="1:17" x14ac:dyDescent="0.25">
      <c r="A20" s="115" t="s">
        <v>148</v>
      </c>
      <c r="B20" s="2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7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149</v>
      </c>
      <c r="D22" s="116"/>
      <c r="E22" s="117">
        <v>5.0000000000000001E-3</v>
      </c>
      <c r="F22" s="116"/>
      <c r="G22" s="116"/>
      <c r="J22" s="116" t="s">
        <v>149</v>
      </c>
      <c r="K22" s="116"/>
      <c r="L22" s="117">
        <v>5.0000000000000001E-3</v>
      </c>
    </row>
    <row r="23" spans="1:17" x14ac:dyDescent="0.25">
      <c r="B23" s="116"/>
      <c r="C23" s="116" t="s">
        <v>150</v>
      </c>
      <c r="D23" s="116"/>
      <c r="E23" s="150">
        <v>2.5000000000000001E-3</v>
      </c>
      <c r="F23" s="116"/>
      <c r="G23" s="116"/>
      <c r="J23" s="116" t="s">
        <v>173</v>
      </c>
      <c r="K23" s="116"/>
      <c r="L23" s="156">
        <v>1</v>
      </c>
    </row>
    <row r="24" spans="1:17" x14ac:dyDescent="0.25">
      <c r="B24" s="116"/>
      <c r="C24" s="116"/>
      <c r="D24" s="116"/>
      <c r="E24" s="168"/>
      <c r="F24" s="116"/>
      <c r="G24" s="116"/>
      <c r="J24" s="116"/>
      <c r="K24" s="116"/>
      <c r="L24" s="167"/>
    </row>
    <row r="25" spans="1:17" x14ac:dyDescent="0.25">
      <c r="B25" s="116"/>
      <c r="C25" s="116"/>
      <c r="D25" s="116"/>
      <c r="E25" s="116"/>
      <c r="F25" s="116"/>
      <c r="H25" s="116"/>
      <c r="I25" s="170"/>
      <c r="P25" s="170"/>
    </row>
    <row r="26" spans="1:17" x14ac:dyDescent="0.25">
      <c r="B26" s="160"/>
      <c r="C26" s="166"/>
      <c r="D26" s="116"/>
      <c r="E26" s="241"/>
      <c r="F26" s="242"/>
      <c r="G26" s="241"/>
      <c r="I26" s="116"/>
      <c r="J26" s="241"/>
    </row>
    <row r="27" spans="1:17" x14ac:dyDescent="0.25">
      <c r="B27" s="160"/>
      <c r="C27" s="243"/>
      <c r="E27" s="116"/>
      <c r="F27" s="244"/>
      <c r="G27" s="244"/>
      <c r="H27" s="244"/>
      <c r="I27" s="170"/>
      <c r="J27" s="170"/>
      <c r="N27" s="245"/>
      <c r="P27" s="170"/>
    </row>
    <row r="28" spans="1:17" x14ac:dyDescent="0.25">
      <c r="B28" s="160"/>
      <c r="C28" s="243"/>
      <c r="E28" s="246"/>
      <c r="F28" s="170"/>
      <c r="G28" s="170"/>
      <c r="H28" s="228"/>
      <c r="I28" s="228"/>
      <c r="J28" s="228"/>
      <c r="N28" s="247"/>
      <c r="O28" s="47"/>
      <c r="P28" s="47"/>
      <c r="Q28" s="47"/>
    </row>
    <row r="29" spans="1:17" x14ac:dyDescent="0.25">
      <c r="E29" s="224"/>
      <c r="F29" s="170"/>
      <c r="G29" s="248"/>
      <c r="H29" s="249"/>
      <c r="I29" s="249"/>
      <c r="J29" s="249"/>
      <c r="N29" s="250"/>
      <c r="O29" s="166"/>
      <c r="P29" s="166"/>
      <c r="Q29" s="166"/>
    </row>
    <row r="30" spans="1:17" x14ac:dyDescent="0.25">
      <c r="F30" s="228"/>
      <c r="G30" s="249"/>
      <c r="H30" s="229"/>
      <c r="I30" s="229"/>
      <c r="J30" s="229"/>
      <c r="K30" s="251"/>
      <c r="M30" s="47"/>
      <c r="N30" s="166"/>
      <c r="O30" s="85"/>
      <c r="P30" s="85"/>
      <c r="Q30" s="85"/>
    </row>
    <row r="31" spans="1:17" x14ac:dyDescent="0.25">
      <c r="F31" s="228"/>
      <c r="G31" s="249"/>
      <c r="H31" s="229"/>
      <c r="I31" s="229"/>
      <c r="J31" s="229"/>
      <c r="K31" s="251"/>
      <c r="M31" s="47"/>
      <c r="N31" s="166"/>
      <c r="O31" s="85"/>
      <c r="P31" s="85"/>
      <c r="Q31" s="85"/>
    </row>
    <row r="32" spans="1:17" x14ac:dyDescent="0.25">
      <c r="D32" s="47"/>
      <c r="E32" s="147"/>
      <c r="F32" s="228"/>
      <c r="G32" s="249"/>
      <c r="H32" s="229"/>
      <c r="I32" s="229"/>
      <c r="J32" s="229"/>
      <c r="K32" s="251"/>
      <c r="L32" s="147"/>
      <c r="M32" s="47"/>
      <c r="N32" s="166"/>
      <c r="O32" s="85"/>
      <c r="P32" s="85"/>
      <c r="Q32" s="85"/>
    </row>
    <row r="33" spans="2:17" x14ac:dyDescent="0.25">
      <c r="D33" s="47"/>
      <c r="E33" s="224"/>
      <c r="F33" s="228"/>
      <c r="G33" s="249"/>
      <c r="H33" s="229"/>
      <c r="I33" s="229"/>
      <c r="J33" s="229"/>
      <c r="K33" s="245"/>
      <c r="M33" s="47"/>
      <c r="N33" s="166"/>
      <c r="O33" s="85"/>
      <c r="P33" s="85"/>
      <c r="Q33" s="85"/>
    </row>
    <row r="34" spans="2:17" x14ac:dyDescent="0.25">
      <c r="D34" s="47"/>
      <c r="E34" s="224"/>
      <c r="F34" s="228"/>
      <c r="G34" s="249"/>
      <c r="H34" s="229"/>
      <c r="I34" s="229"/>
      <c r="J34" s="229"/>
      <c r="K34" s="245"/>
      <c r="M34" s="47"/>
      <c r="N34" s="166"/>
      <c r="O34" s="85"/>
      <c r="P34" s="85"/>
      <c r="Q34" s="85"/>
    </row>
    <row r="35" spans="2:17" x14ac:dyDescent="0.25">
      <c r="B35" s="252"/>
      <c r="C35" s="252"/>
      <c r="D35" s="252"/>
      <c r="E35" s="253"/>
      <c r="F35" s="254"/>
      <c r="G35" s="253"/>
    </row>
    <row r="36" spans="2:17" x14ac:dyDescent="0.25">
      <c r="B36" s="116"/>
      <c r="C36" s="116"/>
      <c r="D36" s="116"/>
      <c r="E36" s="116"/>
      <c r="F36" s="242"/>
      <c r="G36" s="242"/>
      <c r="H36" s="242"/>
      <c r="I36" s="170"/>
      <c r="J36" s="170"/>
      <c r="P36" s="170"/>
    </row>
    <row r="37" spans="2:17" x14ac:dyDescent="0.25">
      <c r="F37" s="230"/>
      <c r="G37" s="230"/>
      <c r="H37" s="228"/>
      <c r="I37" s="228"/>
      <c r="J37" s="228"/>
      <c r="M37" s="170"/>
      <c r="O37" s="85"/>
      <c r="P37" s="85"/>
      <c r="Q37" s="85"/>
    </row>
    <row r="38" spans="2:17" x14ac:dyDescent="0.25">
      <c r="E38" s="47"/>
      <c r="F38" s="227"/>
      <c r="G38" s="255"/>
      <c r="H38" s="249"/>
      <c r="I38" s="249"/>
      <c r="J38" s="249"/>
      <c r="L38" s="85"/>
      <c r="M38" s="85"/>
      <c r="N38" s="256"/>
      <c r="O38" s="169"/>
      <c r="P38" s="169"/>
      <c r="Q38" s="169"/>
    </row>
    <row r="39" spans="2:17" x14ac:dyDescent="0.25">
      <c r="E39" s="47"/>
      <c r="F39" s="228"/>
      <c r="G39" s="249"/>
      <c r="H39" s="227"/>
      <c r="I39" s="227"/>
      <c r="J39" s="227"/>
      <c r="K39" s="47"/>
      <c r="M39" s="47"/>
      <c r="N39" s="166"/>
      <c r="O39" s="257"/>
      <c r="P39" s="257"/>
      <c r="Q39" s="257"/>
    </row>
    <row r="40" spans="2:17" x14ac:dyDescent="0.25">
      <c r="D40" s="8"/>
      <c r="E40" s="47"/>
      <c r="F40" s="228"/>
      <c r="G40" s="249"/>
      <c r="H40" s="227"/>
      <c r="I40" s="227"/>
      <c r="J40" s="227"/>
      <c r="K40" s="8"/>
      <c r="L40" s="47"/>
      <c r="M40" s="47"/>
      <c r="N40" s="166"/>
      <c r="O40" s="257"/>
      <c r="P40" s="257"/>
      <c r="Q40" s="257"/>
    </row>
    <row r="41" spans="2:17" x14ac:dyDescent="0.25">
      <c r="D41" s="8"/>
      <c r="E41" s="147"/>
      <c r="F41" s="228"/>
      <c r="G41" s="249"/>
      <c r="H41" s="227"/>
      <c r="I41" s="227"/>
      <c r="J41" s="227"/>
      <c r="K41" s="8"/>
      <c r="L41" s="147"/>
      <c r="M41" s="47"/>
      <c r="N41" s="166"/>
      <c r="O41" s="257"/>
      <c r="P41" s="257"/>
      <c r="Q41" s="257"/>
    </row>
    <row r="42" spans="2:17" x14ac:dyDescent="0.25">
      <c r="D42" s="8"/>
      <c r="E42" s="47"/>
      <c r="F42" s="228"/>
      <c r="G42" s="249"/>
      <c r="H42" s="227"/>
      <c r="I42" s="227"/>
      <c r="J42" s="227"/>
      <c r="K42" s="8"/>
      <c r="L42" s="47"/>
      <c r="M42" s="47"/>
      <c r="N42" s="166"/>
      <c r="O42" s="257"/>
      <c r="P42" s="257"/>
      <c r="Q42" s="257"/>
    </row>
    <row r="43" spans="2:17" x14ac:dyDescent="0.25">
      <c r="D43" s="8"/>
      <c r="E43" s="8"/>
      <c r="F43" s="228"/>
      <c r="G43" s="249"/>
      <c r="H43" s="227"/>
      <c r="I43" s="227"/>
      <c r="J43" s="227"/>
      <c r="K43" s="8"/>
      <c r="L43" s="47"/>
      <c r="M43" s="47"/>
      <c r="N43" s="166"/>
      <c r="O43" s="257"/>
      <c r="P43" s="257"/>
      <c r="Q43" s="257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88a26cf8-717e-46a4-ac0d-03f11284dc6b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2025-12-15T00:40:09Z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