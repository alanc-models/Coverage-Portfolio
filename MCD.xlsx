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Coverages/"/>
    </mc:Choice>
  </mc:AlternateContent>
  <xr:revisionPtr revIDLastSave="474" documentId="13_ncr:1_{9A8543DF-62C3-4D05-A20C-292722A99803}" xr6:coauthVersionLast="47" xr6:coauthVersionMax="47" xr10:uidLastSave="{A071FE9A-5060-4AC3-BEE0-E9C964A4491F}"/>
  <bookViews>
    <workbookView xWindow="5775" yWindow="4035" windowWidth="23835" windowHeight="15345" tabRatio="808" activeTab="1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  <sheet name="Comps" sheetId="33" r:id="rId12"/>
  </sheets>
  <externalReferences>
    <externalReference r:id="rId13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2" l="1"/>
  <c r="D9" i="33"/>
  <c r="E7" i="33"/>
  <c r="F7" i="33"/>
  <c r="G7" i="33"/>
  <c r="H7" i="33"/>
  <c r="D7" i="33"/>
  <c r="G5" i="33"/>
  <c r="F5" i="33"/>
  <c r="G4" i="33"/>
  <c r="H6" i="33"/>
  <c r="G6" i="33"/>
  <c r="D6" i="33"/>
  <c r="C6" i="33"/>
  <c r="C5" i="33"/>
  <c r="C4" i="33"/>
  <c r="B1" i="33"/>
  <c r="K14" i="12"/>
  <c r="H32" i="12"/>
  <c r="H29" i="12"/>
  <c r="H30" i="12"/>
  <c r="H31" i="12"/>
  <c r="H28" i="12"/>
  <c r="K27" i="12"/>
  <c r="I27" i="12"/>
  <c r="C32" i="12"/>
  <c r="C31" i="12"/>
  <c r="C28" i="12"/>
  <c r="C29" i="12"/>
  <c r="E27" i="12"/>
  <c r="G14" i="12"/>
  <c r="C17" i="12"/>
  <c r="G17" i="12" s="1"/>
  <c r="K17" i="12" s="1"/>
  <c r="C12" i="12"/>
  <c r="G12" i="12" s="1"/>
  <c r="G5" i="10"/>
  <c r="H5" i="10"/>
  <c r="I5" i="10"/>
  <c r="J5" i="10"/>
  <c r="G9" i="10"/>
  <c r="H9" i="10"/>
  <c r="I9" i="10"/>
  <c r="J9" i="10"/>
  <c r="G5" i="9"/>
  <c r="H5" i="9"/>
  <c r="I5" i="9"/>
  <c r="J5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25" i="8"/>
  <c r="H25" i="8" s="1"/>
  <c r="G26" i="8"/>
  <c r="H26" i="8"/>
  <c r="I26" i="8"/>
  <c r="J26" i="8"/>
  <c r="G37" i="8"/>
  <c r="H37" i="8"/>
  <c r="I37" i="8"/>
  <c r="J37" i="8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5" i="7"/>
  <c r="H35" i="7"/>
  <c r="I35" i="7"/>
  <c r="J35" i="7"/>
  <c r="J36" i="7" s="1"/>
  <c r="J15" i="5" s="1"/>
  <c r="G36" i="7"/>
  <c r="G15" i="5" s="1"/>
  <c r="H36" i="7"/>
  <c r="H15" i="5" s="1"/>
  <c r="I36" i="7"/>
  <c r="I15" i="5" s="1"/>
  <c r="G38" i="7"/>
  <c r="H38" i="7"/>
  <c r="I38" i="7"/>
  <c r="J38" i="7"/>
  <c r="G39" i="7"/>
  <c r="H39" i="7"/>
  <c r="I39" i="7"/>
  <c r="J39" i="7"/>
  <c r="F29" i="7"/>
  <c r="F28" i="7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5" i="6"/>
  <c r="H25" i="6"/>
  <c r="I25" i="6"/>
  <c r="J25" i="6"/>
  <c r="G26" i="6"/>
  <c r="G27" i="6"/>
  <c r="G28" i="6"/>
  <c r="G30" i="6"/>
  <c r="H30" i="6"/>
  <c r="I30" i="6"/>
  <c r="J30" i="6"/>
  <c r="G32" i="6"/>
  <c r="H32" i="6"/>
  <c r="I32" i="6"/>
  <c r="J32" i="6"/>
  <c r="G10" i="5"/>
  <c r="H10" i="5"/>
  <c r="I10" i="5"/>
  <c r="J10" i="5"/>
  <c r="G11" i="5"/>
  <c r="G16" i="5" s="1"/>
  <c r="H11" i="5"/>
  <c r="H16" i="5" s="1"/>
  <c r="I11" i="5"/>
  <c r="I16" i="5" s="1"/>
  <c r="J11" i="5"/>
  <c r="J16" i="5" s="1"/>
  <c r="G18" i="5"/>
  <c r="H18" i="5"/>
  <c r="I18" i="5"/>
  <c r="J18" i="5"/>
  <c r="K5" i="11"/>
  <c r="K6" i="11"/>
  <c r="K4" i="11"/>
  <c r="I6" i="11"/>
  <c r="I5" i="11"/>
  <c r="I4" i="11"/>
  <c r="F9" i="10"/>
  <c r="F8" i="10"/>
  <c r="F21" i="9"/>
  <c r="B22" i="9"/>
  <c r="F17" i="9"/>
  <c r="F16" i="9"/>
  <c r="F15" i="9"/>
  <c r="F14" i="9"/>
  <c r="F5" i="9"/>
  <c r="F4" i="9"/>
  <c r="E25" i="5"/>
  <c r="E24" i="5"/>
  <c r="E23" i="5"/>
  <c r="E21" i="5"/>
  <c r="E22" i="5"/>
  <c r="E20" i="5"/>
  <c r="E19" i="5"/>
  <c r="F16" i="5"/>
  <c r="F15" i="5"/>
  <c r="F13" i="5"/>
  <c r="E17" i="5"/>
  <c r="F37" i="8"/>
  <c r="F32" i="6"/>
  <c r="F28" i="6"/>
  <c r="F27" i="6"/>
  <c r="F26" i="6"/>
  <c r="E2" i="6"/>
  <c r="F2" i="6"/>
  <c r="G2" i="6"/>
  <c r="H2" i="6"/>
  <c r="I2" i="6"/>
  <c r="J2" i="6"/>
  <c r="D2" i="6"/>
  <c r="F25" i="6"/>
  <c r="F22" i="6"/>
  <c r="F21" i="6"/>
  <c r="F20" i="6"/>
  <c r="F19" i="6"/>
  <c r="F18" i="6"/>
  <c r="F17" i="6"/>
  <c r="E20" i="6"/>
  <c r="F26" i="8"/>
  <c r="F21" i="7"/>
  <c r="F25" i="8"/>
  <c r="F8" i="5"/>
  <c r="F6" i="5"/>
  <c r="E9" i="5"/>
  <c r="F36" i="7"/>
  <c r="F39" i="7"/>
  <c r="F38" i="7"/>
  <c r="F35" i="7"/>
  <c r="F26" i="7"/>
  <c r="F25" i="7"/>
  <c r="F22" i="7"/>
  <c r="F25" i="13"/>
  <c r="D25" i="13"/>
  <c r="C25" i="13"/>
  <c r="E25" i="13"/>
  <c r="E23" i="13"/>
  <c r="C38" i="8"/>
  <c r="C34" i="8"/>
  <c r="C24" i="8"/>
  <c r="C18" i="8"/>
  <c r="E34" i="8"/>
  <c r="D38" i="8"/>
  <c r="D34" i="8"/>
  <c r="E38" i="8"/>
  <c r="D24" i="8"/>
  <c r="E24" i="8"/>
  <c r="D18" i="8"/>
  <c r="E18" i="8"/>
  <c r="D17" i="8"/>
  <c r="C17" i="8"/>
  <c r="E17" i="8"/>
  <c r="H6" i="13"/>
  <c r="I6" i="13"/>
  <c r="J6" i="13"/>
  <c r="G6" i="13"/>
  <c r="F6" i="13"/>
  <c r="AD9" i="32"/>
  <c r="AC9" i="32"/>
  <c r="AB9" i="32"/>
  <c r="AA9" i="32"/>
  <c r="V9" i="32"/>
  <c r="Q9" i="32"/>
  <c r="L9" i="32"/>
  <c r="D35" i="7"/>
  <c r="C35" i="7"/>
  <c r="E35" i="7"/>
  <c r="E33" i="7"/>
  <c r="D33" i="7"/>
  <c r="C33" i="7"/>
  <c r="E18" i="7"/>
  <c r="D18" i="7"/>
  <c r="E17" i="7"/>
  <c r="D17" i="7"/>
  <c r="C18" i="7"/>
  <c r="C17" i="7"/>
  <c r="E16" i="7"/>
  <c r="D16" i="7"/>
  <c r="C16" i="7"/>
  <c r="AB14" i="32"/>
  <c r="AC14" i="32" s="1"/>
  <c r="AD14" i="32" s="1"/>
  <c r="X14" i="32"/>
  <c r="AB7" i="32"/>
  <c r="AC7" i="32" s="1"/>
  <c r="AD7" i="32" s="1"/>
  <c r="Y7" i="32"/>
  <c r="Z7" i="32"/>
  <c r="X7" i="32"/>
  <c r="AB13" i="32"/>
  <c r="AC13" i="32" s="1"/>
  <c r="AB12" i="32"/>
  <c r="W14" i="32"/>
  <c r="W15" i="32"/>
  <c r="Z12" i="32"/>
  <c r="Y12" i="32"/>
  <c r="X12" i="32"/>
  <c r="W12" i="32"/>
  <c r="AA12" i="32" s="1"/>
  <c r="W10" i="32"/>
  <c r="X16" i="32"/>
  <c r="Y16" i="32" s="1"/>
  <c r="Z16" i="32" s="1"/>
  <c r="W13" i="32"/>
  <c r="X13" i="32" s="1"/>
  <c r="Y13" i="32" s="1"/>
  <c r="Z13" i="32" s="1"/>
  <c r="X11" i="32"/>
  <c r="AB6" i="32"/>
  <c r="AC6" i="32" s="1"/>
  <c r="AD6" i="32" s="1"/>
  <c r="AB4" i="32"/>
  <c r="AC4" i="32" s="1"/>
  <c r="AD4" i="32" s="1"/>
  <c r="AA20" i="32"/>
  <c r="X6" i="32"/>
  <c r="Y5" i="32"/>
  <c r="X5" i="32"/>
  <c r="W5" i="32"/>
  <c r="Y3" i="32"/>
  <c r="X3" i="32"/>
  <c r="W3" i="32"/>
  <c r="U14" i="32"/>
  <c r="U5" i="32"/>
  <c r="U7" i="32"/>
  <c r="T13" i="32"/>
  <c r="U13" i="32" s="1"/>
  <c r="S13" i="32"/>
  <c r="R13" i="32"/>
  <c r="P13" i="32"/>
  <c r="O13" i="32"/>
  <c r="N13" i="32"/>
  <c r="M13" i="32"/>
  <c r="K13" i="32"/>
  <c r="J13" i="32"/>
  <c r="I13" i="32"/>
  <c r="H13" i="32"/>
  <c r="D13" i="32"/>
  <c r="E13" i="32"/>
  <c r="F13" i="32"/>
  <c r="C13" i="32"/>
  <c r="T11" i="32"/>
  <c r="U11" i="32" s="1"/>
  <c r="S11" i="32"/>
  <c r="R11" i="32"/>
  <c r="P11" i="32"/>
  <c r="O11" i="32"/>
  <c r="N11" i="32"/>
  <c r="M11" i="32"/>
  <c r="K11" i="32"/>
  <c r="J11" i="32"/>
  <c r="I11" i="32"/>
  <c r="H11" i="32"/>
  <c r="D11" i="32"/>
  <c r="E11" i="32"/>
  <c r="F11" i="32"/>
  <c r="C11" i="32"/>
  <c r="T6" i="32"/>
  <c r="S6" i="32"/>
  <c r="R6" i="32"/>
  <c r="T4" i="32"/>
  <c r="U4" i="32" s="1"/>
  <c r="U3" i="32" s="1"/>
  <c r="S4" i="32"/>
  <c r="R4" i="32"/>
  <c r="P6" i="32"/>
  <c r="O6" i="32"/>
  <c r="N6" i="32"/>
  <c r="M6" i="32"/>
  <c r="P4" i="32"/>
  <c r="O4" i="32"/>
  <c r="O8" i="32" s="1"/>
  <c r="N4" i="32"/>
  <c r="N8" i="32" s="1"/>
  <c r="M4" i="32"/>
  <c r="M8" i="32" s="1"/>
  <c r="K6" i="32"/>
  <c r="J6" i="32"/>
  <c r="I6" i="32"/>
  <c r="H6" i="32"/>
  <c r="I4" i="32"/>
  <c r="I8" i="32" s="1"/>
  <c r="J4" i="32"/>
  <c r="K4" i="32"/>
  <c r="H4" i="32"/>
  <c r="V20" i="32"/>
  <c r="V14" i="32"/>
  <c r="Q23" i="32"/>
  <c r="Q20" i="32"/>
  <c r="Q14" i="32"/>
  <c r="Q12" i="32"/>
  <c r="Q10" i="32"/>
  <c r="Q7" i="32"/>
  <c r="Q5" i="32"/>
  <c r="Q3" i="32"/>
  <c r="L23" i="32"/>
  <c r="L20" i="32"/>
  <c r="L14" i="32"/>
  <c r="L12" i="32"/>
  <c r="L10" i="32"/>
  <c r="L7" i="32"/>
  <c r="L5" i="32"/>
  <c r="L3" i="32"/>
  <c r="L11" i="32" s="1"/>
  <c r="G23" i="32"/>
  <c r="G20" i="32"/>
  <c r="G14" i="32"/>
  <c r="G12" i="32"/>
  <c r="G10" i="32"/>
  <c r="G7" i="32"/>
  <c r="G5" i="32"/>
  <c r="G3" i="32"/>
  <c r="E15" i="32"/>
  <c r="F15" i="32"/>
  <c r="C15" i="32"/>
  <c r="H15" i="32"/>
  <c r="D15" i="32"/>
  <c r="I15" i="32"/>
  <c r="I16" i="32" s="1"/>
  <c r="J15" i="32"/>
  <c r="K15" i="32"/>
  <c r="P15" i="32"/>
  <c r="M15" i="32"/>
  <c r="M16" i="32" s="1"/>
  <c r="R15" i="32"/>
  <c r="N15" i="32"/>
  <c r="N16" i="32" s="1"/>
  <c r="S15" i="32"/>
  <c r="O15" i="32"/>
  <c r="O16" i="32" s="1"/>
  <c r="T15" i="32"/>
  <c r="F8" i="32"/>
  <c r="E8" i="32"/>
  <c r="D8" i="32"/>
  <c r="C8" i="32"/>
  <c r="A1" i="32"/>
  <c r="F8" i="3"/>
  <c r="C13" i="12" l="1"/>
  <c r="G13" i="12" s="1"/>
  <c r="D27" i="12"/>
  <c r="F27" i="12"/>
  <c r="I25" i="8"/>
  <c r="H26" i="6"/>
  <c r="H27" i="6" s="1"/>
  <c r="I17" i="6"/>
  <c r="I20" i="6" s="1"/>
  <c r="H22" i="6"/>
  <c r="H28" i="6" s="1"/>
  <c r="X10" i="32"/>
  <c r="Y11" i="32"/>
  <c r="Y14" i="32"/>
  <c r="Z14" i="32" s="1"/>
  <c r="AA14" i="32"/>
  <c r="AD13" i="32"/>
  <c r="AD12" i="32" s="1"/>
  <c r="AC12" i="32"/>
  <c r="V5" i="32"/>
  <c r="U12" i="32"/>
  <c r="V12" i="32" s="1"/>
  <c r="Z5" i="32"/>
  <c r="AA5" i="32" s="1"/>
  <c r="AB5" i="32" s="1"/>
  <c r="AC5" i="32" s="1"/>
  <c r="V7" i="32"/>
  <c r="W7" i="32"/>
  <c r="Z3" i="32"/>
  <c r="V3" i="32"/>
  <c r="U10" i="32"/>
  <c r="V10" i="32" s="1"/>
  <c r="AD5" i="32"/>
  <c r="AA13" i="32"/>
  <c r="AA6" i="32"/>
  <c r="AA3" i="32"/>
  <c r="AB3" i="32" s="1"/>
  <c r="U8" i="32"/>
  <c r="L13" i="32"/>
  <c r="V13" i="32"/>
  <c r="Q13" i="32"/>
  <c r="E16" i="32"/>
  <c r="F16" i="32"/>
  <c r="D16" i="32"/>
  <c r="C16" i="32"/>
  <c r="V11" i="32"/>
  <c r="Q11" i="32"/>
  <c r="G13" i="32"/>
  <c r="P8" i="32"/>
  <c r="J8" i="32"/>
  <c r="H8" i="32"/>
  <c r="G8" i="32"/>
  <c r="G11" i="32"/>
  <c r="V6" i="32"/>
  <c r="K8" i="32"/>
  <c r="V4" i="32"/>
  <c r="V8" i="32" s="1"/>
  <c r="R8" i="32"/>
  <c r="Q6" i="32"/>
  <c r="Q4" i="32"/>
  <c r="L6" i="32"/>
  <c r="L4" i="32"/>
  <c r="L8" i="32" s="1"/>
  <c r="T8" i="32"/>
  <c r="S8" i="32"/>
  <c r="I18" i="32"/>
  <c r="I21" i="32" s="1"/>
  <c r="E18" i="32"/>
  <c r="E21" i="32" s="1"/>
  <c r="Q15" i="32"/>
  <c r="G15" i="32"/>
  <c r="G16" i="32" s="1"/>
  <c r="L15" i="32"/>
  <c r="L16" i="32" s="1"/>
  <c r="F18" i="32"/>
  <c r="F21" i="32" s="1"/>
  <c r="C18" i="32"/>
  <c r="C21" i="32" s="1"/>
  <c r="D18" i="32"/>
  <c r="D21" i="32" s="1"/>
  <c r="M18" i="32"/>
  <c r="M21" i="32" s="1"/>
  <c r="N18" i="32"/>
  <c r="N21" i="32" s="1"/>
  <c r="O18" i="32"/>
  <c r="O21" i="32" s="1"/>
  <c r="D17" i="13"/>
  <c r="D38" i="13" s="1"/>
  <c r="C17" i="13"/>
  <c r="C38" i="13" s="1"/>
  <c r="E14" i="13"/>
  <c r="D46" i="13"/>
  <c r="D14" i="13"/>
  <c r="E54" i="13"/>
  <c r="F54" i="13" s="1"/>
  <c r="F12" i="8" s="1"/>
  <c r="E12" i="13"/>
  <c r="D10" i="13"/>
  <c r="E10" i="13"/>
  <c r="D33" i="13"/>
  <c r="E33" i="13"/>
  <c r="F33" i="13" s="1"/>
  <c r="G33" i="13" s="1"/>
  <c r="H33" i="13" s="1"/>
  <c r="I33" i="13" s="1"/>
  <c r="J33" i="13" s="1"/>
  <c r="E56" i="13"/>
  <c r="D56" i="13"/>
  <c r="C56" i="13"/>
  <c r="E55" i="13"/>
  <c r="D55" i="13"/>
  <c r="C55" i="13"/>
  <c r="C54" i="13"/>
  <c r="E49" i="13"/>
  <c r="F49" i="13" s="1"/>
  <c r="G49" i="13" s="1"/>
  <c r="D49" i="13"/>
  <c r="C49" i="13"/>
  <c r="E50" i="13"/>
  <c r="D50" i="13"/>
  <c r="C50" i="13"/>
  <c r="E47" i="13"/>
  <c r="F47" i="13" s="1"/>
  <c r="D47" i="13"/>
  <c r="C47" i="13"/>
  <c r="C46" i="13"/>
  <c r="E45" i="13"/>
  <c r="D45" i="13"/>
  <c r="C45" i="13"/>
  <c r="E44" i="13"/>
  <c r="D44" i="13"/>
  <c r="C44" i="13"/>
  <c r="E1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F6" i="3"/>
  <c r="D10" i="33" s="1"/>
  <c r="D11" i="33" s="1"/>
  <c r="B38" i="13"/>
  <c r="G8" i="13"/>
  <c r="H8" i="13"/>
  <c r="I8" i="13"/>
  <c r="J8" i="13"/>
  <c r="F8" i="13"/>
  <c r="G7" i="13"/>
  <c r="H7" i="13"/>
  <c r="I7" i="13"/>
  <c r="J7" i="13"/>
  <c r="F7" i="13"/>
  <c r="E2" i="8"/>
  <c r="E16" i="8" s="1"/>
  <c r="D2" i="8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36" i="13" s="1"/>
  <c r="C42" i="13" s="1"/>
  <c r="C52" i="13" s="1"/>
  <c r="D2" i="13"/>
  <c r="E2" i="13" s="1"/>
  <c r="G8" i="7"/>
  <c r="H8" i="7"/>
  <c r="I8" i="7"/>
  <c r="J8" i="7"/>
  <c r="G9" i="7"/>
  <c r="H9" i="7"/>
  <c r="I9" i="7"/>
  <c r="J9" i="7"/>
  <c r="A1" i="10"/>
  <c r="C22" i="8"/>
  <c r="D22" i="8"/>
  <c r="E22" i="8"/>
  <c r="D28" i="8"/>
  <c r="C28" i="8"/>
  <c r="E28" i="8"/>
  <c r="E35" i="8"/>
  <c r="C35" i="8"/>
  <c r="D35" i="8"/>
  <c r="C39" i="8"/>
  <c r="C42" i="8" s="1"/>
  <c r="D39" i="8"/>
  <c r="E39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C11" i="6"/>
  <c r="C30" i="6" s="1"/>
  <c r="F23" i="13"/>
  <c r="F4" i="6" s="1"/>
  <c r="F6" i="6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6" i="8"/>
  <c r="C16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1" i="5"/>
  <c r="B20" i="5"/>
  <c r="F9" i="6"/>
  <c r="G9" i="6"/>
  <c r="H9" i="6"/>
  <c r="I9" i="6"/>
  <c r="J9" i="6"/>
  <c r="J8" i="6"/>
  <c r="I8" i="6"/>
  <c r="H8" i="6"/>
  <c r="G8" i="6"/>
  <c r="E2" i="12"/>
  <c r="F2" i="12" s="1"/>
  <c r="G2" i="12" s="1"/>
  <c r="H2" i="12" s="1"/>
  <c r="F8" i="7"/>
  <c r="J25" i="8" l="1"/>
  <c r="I22" i="6"/>
  <c r="I28" i="6" s="1"/>
  <c r="J17" i="6"/>
  <c r="J20" i="6" s="1"/>
  <c r="I26" i="6"/>
  <c r="I27" i="6" s="1"/>
  <c r="D42" i="8"/>
  <c r="E38" i="13"/>
  <c r="F17" i="13"/>
  <c r="G24" i="13"/>
  <c r="E11" i="11"/>
  <c r="Y10" i="32"/>
  <c r="Z11" i="32"/>
  <c r="Z10" i="32" s="1"/>
  <c r="W8" i="32"/>
  <c r="W18" i="32" s="1"/>
  <c r="W21" i="32" s="1"/>
  <c r="W23" i="32" s="1"/>
  <c r="W24" i="32" s="1"/>
  <c r="AC3" i="32"/>
  <c r="AA4" i="32"/>
  <c r="Q8" i="32"/>
  <c r="I24" i="32"/>
  <c r="I22" i="32"/>
  <c r="E24" i="32"/>
  <c r="E22" i="32"/>
  <c r="F24" i="32"/>
  <c r="F22" i="32"/>
  <c r="C24" i="32"/>
  <c r="C22" i="32"/>
  <c r="D24" i="32"/>
  <c r="D22" i="32"/>
  <c r="M24" i="32"/>
  <c r="M22" i="32"/>
  <c r="N24" i="32"/>
  <c r="N22" i="32"/>
  <c r="O24" i="32"/>
  <c r="O22" i="32"/>
  <c r="P18" i="32"/>
  <c r="P21" i="32" s="1"/>
  <c r="P16" i="32"/>
  <c r="J18" i="32"/>
  <c r="J21" i="32" s="1"/>
  <c r="J16" i="32"/>
  <c r="H18" i="32"/>
  <c r="H21" i="32" s="1"/>
  <c r="H16" i="32"/>
  <c r="K18" i="32"/>
  <c r="K21" i="32" s="1"/>
  <c r="K16" i="32"/>
  <c r="R18" i="32"/>
  <c r="R21" i="32" s="1"/>
  <c r="R16" i="32"/>
  <c r="T18" i="32"/>
  <c r="T16" i="32"/>
  <c r="U16" i="32" s="1"/>
  <c r="U15" i="32" s="1"/>
  <c r="S18" i="32"/>
  <c r="S21" i="32" s="1"/>
  <c r="S16" i="32"/>
  <c r="G18" i="32"/>
  <c r="G21" i="32" s="1"/>
  <c r="L18" i="32"/>
  <c r="L21" i="32" s="1"/>
  <c r="T21" i="32"/>
  <c r="C23" i="7"/>
  <c r="C34" i="7"/>
  <c r="D11" i="13"/>
  <c r="D54" i="13"/>
  <c r="D19" i="7"/>
  <c r="D23" i="7" s="1"/>
  <c r="E46" i="13"/>
  <c r="F46" i="13" s="1"/>
  <c r="F6" i="8" s="1"/>
  <c r="E11" i="13"/>
  <c r="E10" i="11"/>
  <c r="E9" i="11" s="1"/>
  <c r="F9" i="3"/>
  <c r="C10" i="33" s="1"/>
  <c r="D21" i="13"/>
  <c r="D30" i="13" s="1"/>
  <c r="D36" i="13" s="1"/>
  <c r="D42" i="13" s="1"/>
  <c r="D52" i="13" s="1"/>
  <c r="F2" i="13"/>
  <c r="E21" i="13"/>
  <c r="E30" i="13" s="1"/>
  <c r="E36" i="13" s="1"/>
  <c r="E42" i="13" s="1"/>
  <c r="E52" i="13" s="1"/>
  <c r="F2" i="8"/>
  <c r="F11" i="6"/>
  <c r="F30" i="6" s="1"/>
  <c r="E11" i="6"/>
  <c r="F5" i="6"/>
  <c r="F10" i="8"/>
  <c r="G25" i="13"/>
  <c r="G6" i="6" s="1"/>
  <c r="G54" i="13"/>
  <c r="G13" i="13"/>
  <c r="G23" i="13"/>
  <c r="G4" i="6" s="1"/>
  <c r="D10" i="5"/>
  <c r="D18" i="5" s="1"/>
  <c r="E10" i="5"/>
  <c r="E18" i="5" s="1"/>
  <c r="F2" i="5"/>
  <c r="D30" i="6"/>
  <c r="D30" i="8"/>
  <c r="C16" i="6"/>
  <c r="C24" i="6" s="1"/>
  <c r="E42" i="8"/>
  <c r="E30" i="8"/>
  <c r="C30" i="8"/>
  <c r="C44" i="8" s="1"/>
  <c r="G10" i="8"/>
  <c r="H49" i="13"/>
  <c r="H10" i="8" s="1"/>
  <c r="F4" i="5"/>
  <c r="G4" i="5" s="1"/>
  <c r="H4" i="5" s="1"/>
  <c r="I4" i="5" s="1"/>
  <c r="J4" i="5" s="1"/>
  <c r="F7" i="8"/>
  <c r="G47" i="13"/>
  <c r="F44" i="13"/>
  <c r="F55" i="13"/>
  <c r="F45" i="13"/>
  <c r="E19" i="7"/>
  <c r="E23" i="7" s="1"/>
  <c r="F50" i="13"/>
  <c r="F56" i="13"/>
  <c r="J26" i="6" l="1"/>
  <c r="J27" i="6" s="1"/>
  <c r="J22" i="6"/>
  <c r="J28" i="6" s="1"/>
  <c r="E16" i="6"/>
  <c r="E24" i="6" s="1"/>
  <c r="E30" i="6"/>
  <c r="G5" i="6"/>
  <c r="H24" i="13"/>
  <c r="D44" i="8"/>
  <c r="G17" i="13"/>
  <c r="H17" i="13" s="1"/>
  <c r="I17" i="13" s="1"/>
  <c r="J17" i="13" s="1"/>
  <c r="F11" i="7"/>
  <c r="C41" i="7"/>
  <c r="C40" i="7"/>
  <c r="AA10" i="32"/>
  <c r="AA11" i="32" s="1"/>
  <c r="AB11" i="32" s="1"/>
  <c r="X8" i="32"/>
  <c r="X15" i="32" s="1"/>
  <c r="Y8" i="32"/>
  <c r="Y15" i="32" s="1"/>
  <c r="Y18" i="32" s="1"/>
  <c r="Y21" i="32" s="1"/>
  <c r="AD3" i="32"/>
  <c r="Q16" i="32"/>
  <c r="Q18" i="32"/>
  <c r="Q21" i="32" s="1"/>
  <c r="V15" i="32"/>
  <c r="U18" i="32"/>
  <c r="U21" i="32" s="1"/>
  <c r="P24" i="32"/>
  <c r="P22" i="32"/>
  <c r="J24" i="32"/>
  <c r="J22" i="32"/>
  <c r="H24" i="32"/>
  <c r="H22" i="32"/>
  <c r="K24" i="32"/>
  <c r="K22" i="32"/>
  <c r="R24" i="32"/>
  <c r="R22" i="32"/>
  <c r="S24" i="32"/>
  <c r="S22" i="32"/>
  <c r="G24" i="32"/>
  <c r="G22" i="32"/>
  <c r="Q24" i="32"/>
  <c r="Q22" i="32"/>
  <c r="L24" i="32"/>
  <c r="L22" i="32"/>
  <c r="T24" i="32"/>
  <c r="T22" i="32"/>
  <c r="F38" i="13"/>
  <c r="D31" i="7"/>
  <c r="G46" i="13"/>
  <c r="H46" i="13" s="1"/>
  <c r="H6" i="8" s="1"/>
  <c r="G2" i="13"/>
  <c r="F21" i="13"/>
  <c r="F30" i="13" s="1"/>
  <c r="F36" i="13" s="1"/>
  <c r="F42" i="13" s="1"/>
  <c r="F52" i="13" s="1"/>
  <c r="F16" i="8"/>
  <c r="G2" i="8"/>
  <c r="G11" i="6"/>
  <c r="F16" i="6"/>
  <c r="F24" i="6" s="1"/>
  <c r="E44" i="8"/>
  <c r="H25" i="13"/>
  <c r="I25" i="13" s="1"/>
  <c r="I49" i="13"/>
  <c r="H23" i="13"/>
  <c r="H13" i="13"/>
  <c r="G7" i="7"/>
  <c r="G12" i="8"/>
  <c r="H54" i="13"/>
  <c r="G2" i="5"/>
  <c r="F10" i="5"/>
  <c r="F18" i="5" s="1"/>
  <c r="H4" i="6"/>
  <c r="I23" i="13"/>
  <c r="J49" i="13"/>
  <c r="I10" i="8"/>
  <c r="F5" i="8"/>
  <c r="G45" i="13"/>
  <c r="G44" i="13"/>
  <c r="H44" i="13" s="1"/>
  <c r="I44" i="13" s="1"/>
  <c r="J44" i="13" s="1"/>
  <c r="F4" i="8"/>
  <c r="F12" i="13"/>
  <c r="G12" i="13" s="1"/>
  <c r="F14" i="8"/>
  <c r="G56" i="13"/>
  <c r="G50" i="13"/>
  <c r="F9" i="8"/>
  <c r="F11" i="13"/>
  <c r="G11" i="13" s="1"/>
  <c r="E31" i="7"/>
  <c r="F13" i="8"/>
  <c r="G55" i="13"/>
  <c r="G7" i="8"/>
  <c r="H47" i="13"/>
  <c r="H5" i="6" l="1"/>
  <c r="I24" i="13"/>
  <c r="G11" i="7"/>
  <c r="H11" i="7"/>
  <c r="G38" i="13"/>
  <c r="AB10" i="32"/>
  <c r="AC11" i="32"/>
  <c r="X18" i="32"/>
  <c r="X21" i="32" s="1"/>
  <c r="Y23" i="32"/>
  <c r="Y24" i="32" s="1"/>
  <c r="Z8" i="32"/>
  <c r="Z15" i="32" s="1"/>
  <c r="AA7" i="32"/>
  <c r="AA8" i="32" s="1"/>
  <c r="V16" i="32"/>
  <c r="V18" i="32"/>
  <c r="U23" i="32"/>
  <c r="V23" i="32" s="1"/>
  <c r="U24" i="32"/>
  <c r="I46" i="13"/>
  <c r="J46" i="13" s="1"/>
  <c r="J6" i="8" s="1"/>
  <c r="G6" i="8"/>
  <c r="D34" i="7"/>
  <c r="D16" i="13"/>
  <c r="I6" i="8"/>
  <c r="E34" i="7"/>
  <c r="E16" i="13"/>
  <c r="H2" i="13"/>
  <c r="G21" i="13"/>
  <c r="G30" i="13" s="1"/>
  <c r="G36" i="13" s="1"/>
  <c r="G42" i="13" s="1"/>
  <c r="G52" i="13" s="1"/>
  <c r="H38" i="13"/>
  <c r="G16" i="8"/>
  <c r="H2" i="8"/>
  <c r="H11" i="6"/>
  <c r="H6" i="6"/>
  <c r="H12" i="8"/>
  <c r="I54" i="13"/>
  <c r="G5" i="7"/>
  <c r="H11" i="13"/>
  <c r="I13" i="13"/>
  <c r="H7" i="7"/>
  <c r="H12" i="13"/>
  <c r="G6" i="7"/>
  <c r="H2" i="5"/>
  <c r="I4" i="6"/>
  <c r="J23" i="13"/>
  <c r="J10" i="8"/>
  <c r="J25" i="13"/>
  <c r="I6" i="6"/>
  <c r="H55" i="13"/>
  <c r="G13" i="8"/>
  <c r="F5" i="7"/>
  <c r="H50" i="13"/>
  <c r="G9" i="8"/>
  <c r="H56" i="13"/>
  <c r="G14" i="8"/>
  <c r="I47" i="13"/>
  <c r="H7" i="8"/>
  <c r="F6" i="7"/>
  <c r="G4" i="8"/>
  <c r="H45" i="13"/>
  <c r="G5" i="8"/>
  <c r="J24" i="13" l="1"/>
  <c r="J5" i="6" s="1"/>
  <c r="I5" i="6"/>
  <c r="E41" i="7"/>
  <c r="E40" i="7"/>
  <c r="D40" i="7"/>
  <c r="D41" i="7"/>
  <c r="AC10" i="32"/>
  <c r="AD11" i="32"/>
  <c r="AD10" i="32" s="1"/>
  <c r="X23" i="32"/>
  <c r="X24" i="32" s="1"/>
  <c r="Z18" i="32"/>
  <c r="Z21" i="32" s="1"/>
  <c r="AA15" i="32"/>
  <c r="AB8" i="32"/>
  <c r="AA16" i="32"/>
  <c r="AB16" i="32" s="1"/>
  <c r="AA18" i="32"/>
  <c r="V19" i="32"/>
  <c r="V21" i="32"/>
  <c r="G16" i="13"/>
  <c r="F5" i="10"/>
  <c r="E4" i="11"/>
  <c r="L4" i="11" s="1"/>
  <c r="L5" i="11" s="1"/>
  <c r="L6" i="11" s="1"/>
  <c r="I2" i="13"/>
  <c r="H21" i="13"/>
  <c r="H30" i="13" s="1"/>
  <c r="H36" i="13" s="1"/>
  <c r="H42" i="13" s="1"/>
  <c r="H52" i="13" s="1"/>
  <c r="I38" i="13"/>
  <c r="I11" i="7"/>
  <c r="I2" i="8"/>
  <c r="H16" i="8"/>
  <c r="J11" i="6"/>
  <c r="I11" i="6"/>
  <c r="I12" i="13"/>
  <c r="H6" i="7"/>
  <c r="J13" i="13"/>
  <c r="I7" i="7"/>
  <c r="I11" i="13"/>
  <c r="H5" i="7"/>
  <c r="J54" i="13"/>
  <c r="I12" i="8"/>
  <c r="I2" i="5"/>
  <c r="J4" i="6"/>
  <c r="J6" i="6"/>
  <c r="F18" i="13"/>
  <c r="J47" i="13"/>
  <c r="I7" i="8"/>
  <c r="H14" i="8"/>
  <c r="I56" i="13"/>
  <c r="I50" i="13"/>
  <c r="H9" i="8"/>
  <c r="I45" i="13"/>
  <c r="H5" i="8"/>
  <c r="H4" i="8"/>
  <c r="I55" i="13"/>
  <c r="H13" i="8"/>
  <c r="Z23" i="32" l="1"/>
  <c r="AA23" i="32" s="1"/>
  <c r="Z24" i="32"/>
  <c r="AB15" i="32"/>
  <c r="AB18" i="32" s="1"/>
  <c r="AB21" i="32" s="1"/>
  <c r="AC16" i="32"/>
  <c r="AC8" i="32"/>
  <c r="AD8" i="32"/>
  <c r="AA19" i="32"/>
  <c r="AA21" i="32"/>
  <c r="V22" i="32"/>
  <c r="V24" i="32"/>
  <c r="G10" i="7"/>
  <c r="H16" i="13"/>
  <c r="J2" i="13"/>
  <c r="J21" i="13" s="1"/>
  <c r="J30" i="13" s="1"/>
  <c r="J36" i="13" s="1"/>
  <c r="J42" i="13" s="1"/>
  <c r="J52" i="13" s="1"/>
  <c r="I21" i="13"/>
  <c r="I30" i="13" s="1"/>
  <c r="I36" i="13" s="1"/>
  <c r="I42" i="13" s="1"/>
  <c r="I52" i="13" s="1"/>
  <c r="J38" i="13"/>
  <c r="J11" i="7"/>
  <c r="G18" i="13"/>
  <c r="G39" i="13" s="1"/>
  <c r="F39" i="13"/>
  <c r="I16" i="8"/>
  <c r="J2" i="8"/>
  <c r="J16" i="8" s="1"/>
  <c r="J12" i="8"/>
  <c r="J11" i="13"/>
  <c r="I5" i="7"/>
  <c r="J7" i="7"/>
  <c r="I6" i="7"/>
  <c r="J12" i="13"/>
  <c r="J2" i="5"/>
  <c r="I4" i="8"/>
  <c r="F19" i="13"/>
  <c r="I5" i="8"/>
  <c r="J45" i="13"/>
  <c r="J50" i="13"/>
  <c r="I9" i="8"/>
  <c r="I14" i="8"/>
  <c r="J56" i="13"/>
  <c r="J7" i="8"/>
  <c r="J55" i="13"/>
  <c r="I13" i="8"/>
  <c r="F10" i="7"/>
  <c r="E12" i="11"/>
  <c r="F12" i="7"/>
  <c r="AB23" i="32" l="1"/>
  <c r="AB24" i="32"/>
  <c r="AC15" i="32"/>
  <c r="AC18" i="32" s="1"/>
  <c r="AC21" i="32" s="1"/>
  <c r="AD16" i="32"/>
  <c r="AD15" i="32" s="1"/>
  <c r="AD18" i="32" s="1"/>
  <c r="AD21" i="32" s="1"/>
  <c r="AA22" i="32"/>
  <c r="AA24" i="32"/>
  <c r="H10" i="7"/>
  <c r="I16" i="13"/>
  <c r="G12" i="7"/>
  <c r="G19" i="13"/>
  <c r="G40" i="13" s="1"/>
  <c r="F40" i="13"/>
  <c r="H18" i="13"/>
  <c r="H39" i="13" s="1"/>
  <c r="G13" i="7"/>
  <c r="J6" i="7"/>
  <c r="J5" i="7"/>
  <c r="J9" i="8"/>
  <c r="M4" i="11"/>
  <c r="J14" i="8"/>
  <c r="J13" i="8"/>
  <c r="J5" i="8"/>
  <c r="F13" i="7"/>
  <c r="J4" i="8"/>
  <c r="AC23" i="32" l="1"/>
  <c r="AC24" i="32" s="1"/>
  <c r="AD23" i="32"/>
  <c r="AD24" i="32" s="1"/>
  <c r="I18" i="13"/>
  <c r="H19" i="13"/>
  <c r="H12" i="7"/>
  <c r="J16" i="13"/>
  <c r="J10" i="7" s="1"/>
  <c r="I10" i="7"/>
  <c r="M5" i="11"/>
  <c r="I39" i="13" l="1"/>
  <c r="I12" i="7"/>
  <c r="J18" i="13"/>
  <c r="H40" i="13"/>
  <c r="H13" i="7"/>
  <c r="I19" i="13"/>
  <c r="I13" i="7"/>
  <c r="M6" i="11"/>
  <c r="I40" i="13" l="1"/>
  <c r="J19" i="13"/>
  <c r="J39" i="13"/>
  <c r="J12" i="7"/>
  <c r="M8" i="11"/>
  <c r="M10" i="11" s="1"/>
  <c r="E7" i="11" s="1"/>
  <c r="E8" i="11" s="1"/>
  <c r="E13" i="11" l="1"/>
  <c r="K3" i="12" s="1"/>
  <c r="K18" i="12"/>
  <c r="K5" i="3" s="1"/>
  <c r="K6" i="3" s="1"/>
  <c r="E3" i="12"/>
  <c r="G3" i="12"/>
  <c r="F3" i="12"/>
  <c r="J40" i="13"/>
  <c r="J13" i="7"/>
  <c r="D3" i="12" l="1"/>
  <c r="H3" i="12"/>
  <c r="F10" i="13" l="1"/>
  <c r="F4" i="7" l="1"/>
  <c r="F16" i="7" s="1"/>
  <c r="H10" i="33" l="1"/>
  <c r="H11" i="33" s="1"/>
  <c r="F3" i="10"/>
  <c r="H9" i="33"/>
  <c r="F18" i="7"/>
  <c r="F19" i="8"/>
  <c r="F20" i="5" s="1"/>
  <c r="F21" i="8"/>
  <c r="F22" i="5" s="1"/>
  <c r="F33" i="8"/>
  <c r="F23" i="5" s="1"/>
  <c r="F38" i="8"/>
  <c r="F17" i="7"/>
  <c r="F17" i="8"/>
  <c r="F27" i="8"/>
  <c r="F34" i="8"/>
  <c r="F24" i="5" s="1"/>
  <c r="G16" i="7"/>
  <c r="F32" i="13"/>
  <c r="F20" i="8" l="1"/>
  <c r="F21" i="5" s="1"/>
  <c r="F19" i="7"/>
  <c r="F39" i="8"/>
  <c r="F8" i="9"/>
  <c r="F12" i="10" s="1"/>
  <c r="F19" i="5"/>
  <c r="F25" i="5" s="1"/>
  <c r="F7" i="9"/>
  <c r="F11" i="10" s="1"/>
  <c r="G38" i="8"/>
  <c r="G34" i="8"/>
  <c r="G24" i="5" s="1"/>
  <c r="G33" i="8"/>
  <c r="G23" i="5" s="1"/>
  <c r="G27" i="8"/>
  <c r="G7" i="9" s="1"/>
  <c r="G11" i="10" s="1"/>
  <c r="G21" i="8"/>
  <c r="G22" i="5" s="1"/>
  <c r="G17" i="8"/>
  <c r="G3" i="10"/>
  <c r="G19" i="8"/>
  <c r="G20" i="5" s="1"/>
  <c r="G18" i="7"/>
  <c r="G17" i="7"/>
  <c r="H16" i="7"/>
  <c r="F3" i="5"/>
  <c r="F7" i="5" s="1"/>
  <c r="G32" i="13"/>
  <c r="F31" i="7" l="1"/>
  <c r="F33" i="7" s="1"/>
  <c r="F34" i="7" s="1"/>
  <c r="F23" i="7"/>
  <c r="G9" i="33"/>
  <c r="G10" i="33"/>
  <c r="G11" i="33" s="1"/>
  <c r="F4" i="10"/>
  <c r="F7" i="10" s="1"/>
  <c r="F10" i="33"/>
  <c r="F11" i="33" s="1"/>
  <c r="F9" i="33"/>
  <c r="F3" i="9"/>
  <c r="F40" i="7"/>
  <c r="F41" i="7"/>
  <c r="F14" i="5"/>
  <c r="F17" i="5" s="1"/>
  <c r="E10" i="33"/>
  <c r="E9" i="33"/>
  <c r="F26" i="5"/>
  <c r="F6" i="9" s="1"/>
  <c r="F10" i="10" s="1"/>
  <c r="G8" i="9"/>
  <c r="G12" i="10" s="1"/>
  <c r="G39" i="8"/>
  <c r="G19" i="5"/>
  <c r="H38" i="8"/>
  <c r="H34" i="8"/>
  <c r="H24" i="5" s="1"/>
  <c r="H33" i="8"/>
  <c r="H23" i="5" s="1"/>
  <c r="H27" i="8"/>
  <c r="H21" i="8"/>
  <c r="H22" i="5" s="1"/>
  <c r="H19" i="8"/>
  <c r="H20" i="5" s="1"/>
  <c r="H17" i="8"/>
  <c r="H19" i="5" s="1"/>
  <c r="H3" i="10"/>
  <c r="H18" i="7"/>
  <c r="H17" i="7"/>
  <c r="I16" i="7"/>
  <c r="F9" i="5"/>
  <c r="F11" i="9"/>
  <c r="F12" i="9" s="1"/>
  <c r="F13" i="10" s="1"/>
  <c r="G3" i="5"/>
  <c r="G7" i="5" s="1"/>
  <c r="G11" i="9" s="1"/>
  <c r="G12" i="9" s="1"/>
  <c r="G13" i="10" s="1"/>
  <c r="H32" i="13"/>
  <c r="G20" i="8"/>
  <c r="G21" i="5" s="1"/>
  <c r="G19" i="7"/>
  <c r="I9" i="33" l="1"/>
  <c r="L5" i="3" s="1"/>
  <c r="L6" i="3" s="1"/>
  <c r="G25" i="5"/>
  <c r="G26" i="5" s="1"/>
  <c r="G6" i="9" s="1"/>
  <c r="G10" i="10" s="1"/>
  <c r="F9" i="9"/>
  <c r="F19" i="9" s="1"/>
  <c r="F22" i="9" s="1"/>
  <c r="F23" i="9" s="1"/>
  <c r="G13" i="5"/>
  <c r="F41" i="8"/>
  <c r="I10" i="33"/>
  <c r="E11" i="33"/>
  <c r="H8" i="9"/>
  <c r="H12" i="10" s="1"/>
  <c r="H39" i="8"/>
  <c r="H7" i="9"/>
  <c r="H11" i="10" s="1"/>
  <c r="I38" i="8"/>
  <c r="I34" i="8"/>
  <c r="I24" i="5" s="1"/>
  <c r="I33" i="8"/>
  <c r="I23" i="5" s="1"/>
  <c r="I27" i="8"/>
  <c r="I7" i="9" s="1"/>
  <c r="I11" i="10" s="1"/>
  <c r="I21" i="8"/>
  <c r="I22" i="5" s="1"/>
  <c r="I19" i="8"/>
  <c r="I20" i="5" s="1"/>
  <c r="I17" i="8"/>
  <c r="I3" i="10"/>
  <c r="I18" i="7"/>
  <c r="I17" i="7"/>
  <c r="J16" i="7"/>
  <c r="G6" i="5"/>
  <c r="F24" i="8"/>
  <c r="F28" i="8" s="1"/>
  <c r="H3" i="5"/>
  <c r="H7" i="5" s="1"/>
  <c r="H11" i="9" s="1"/>
  <c r="H12" i="9" s="1"/>
  <c r="H13" i="10" s="1"/>
  <c r="I32" i="13"/>
  <c r="G4" i="10"/>
  <c r="G7" i="10" s="1"/>
  <c r="G31" i="7"/>
  <c r="F15" i="10"/>
  <c r="D4" i="12" s="1"/>
  <c r="H20" i="8"/>
  <c r="H21" i="5" s="1"/>
  <c r="H25" i="5" s="1"/>
  <c r="H19" i="7"/>
  <c r="F18" i="8" l="1"/>
  <c r="F31" i="6" s="1"/>
  <c r="F33" i="6" s="1"/>
  <c r="F32" i="8"/>
  <c r="F35" i="8" s="1"/>
  <c r="F42" i="8" s="1"/>
  <c r="H26" i="5"/>
  <c r="H6" i="9" s="1"/>
  <c r="H10" i="10" s="1"/>
  <c r="F22" i="8"/>
  <c r="F30" i="8" s="1"/>
  <c r="G21" i="9"/>
  <c r="I8" i="9"/>
  <c r="I12" i="10" s="1"/>
  <c r="I39" i="8"/>
  <c r="I19" i="5"/>
  <c r="J38" i="8"/>
  <c r="J34" i="8"/>
  <c r="J24" i="5" s="1"/>
  <c r="J33" i="8"/>
  <c r="J23" i="5" s="1"/>
  <c r="J27" i="8"/>
  <c r="J7" i="9" s="1"/>
  <c r="J11" i="10" s="1"/>
  <c r="J21" i="8"/>
  <c r="J22" i="5" s="1"/>
  <c r="J19" i="8"/>
  <c r="J20" i="5" s="1"/>
  <c r="J17" i="8"/>
  <c r="J3" i="10"/>
  <c r="J18" i="7"/>
  <c r="J17" i="7"/>
  <c r="G8" i="5"/>
  <c r="I3" i="5"/>
  <c r="I7" i="5" s="1"/>
  <c r="I11" i="9" s="1"/>
  <c r="I12" i="9" s="1"/>
  <c r="I13" i="10" s="1"/>
  <c r="J32" i="13"/>
  <c r="J3" i="5" s="1"/>
  <c r="J7" i="5" s="1"/>
  <c r="J11" i="9" s="1"/>
  <c r="J12" i="9" s="1"/>
  <c r="J13" i="10" s="1"/>
  <c r="G33" i="7"/>
  <c r="G34" i="7" s="1"/>
  <c r="H31" i="7"/>
  <c r="H4" i="10"/>
  <c r="H7" i="10" s="1"/>
  <c r="I20" i="8"/>
  <c r="I21" i="5" s="1"/>
  <c r="I19" i="7"/>
  <c r="I25" i="5" l="1"/>
  <c r="I26" i="5" s="1"/>
  <c r="I6" i="9" s="1"/>
  <c r="I10" i="10" s="1"/>
  <c r="J8" i="9"/>
  <c r="J12" i="10" s="1"/>
  <c r="J39" i="8"/>
  <c r="J19" i="5"/>
  <c r="G3" i="9"/>
  <c r="G14" i="5"/>
  <c r="G17" i="5" s="1"/>
  <c r="G41" i="7"/>
  <c r="G40" i="7"/>
  <c r="H33" i="7"/>
  <c r="H34" i="7" s="1"/>
  <c r="I31" i="7"/>
  <c r="I4" i="10"/>
  <c r="I7" i="10" s="1"/>
  <c r="F44" i="8"/>
  <c r="J20" i="8"/>
  <c r="J21" i="5" s="1"/>
  <c r="J19" i="7"/>
  <c r="G21" i="7"/>
  <c r="G9" i="5"/>
  <c r="J25" i="5" l="1"/>
  <c r="J26" i="5" s="1"/>
  <c r="J6" i="9" s="1"/>
  <c r="J10" i="10" s="1"/>
  <c r="G41" i="8"/>
  <c r="H13" i="5"/>
  <c r="H3" i="9"/>
  <c r="H14" i="5"/>
  <c r="H41" i="7"/>
  <c r="H40" i="7"/>
  <c r="I33" i="7"/>
  <c r="I34" i="7" s="1"/>
  <c r="J4" i="10"/>
  <c r="J7" i="10" s="1"/>
  <c r="J31" i="7"/>
  <c r="G4" i="9"/>
  <c r="G23" i="7"/>
  <c r="H6" i="5"/>
  <c r="G24" i="8"/>
  <c r="G28" i="8" s="1"/>
  <c r="I3" i="9" l="1"/>
  <c r="I41" i="7"/>
  <c r="I14" i="5"/>
  <c r="I40" i="7"/>
  <c r="J33" i="7"/>
  <c r="J34" i="7" s="1"/>
  <c r="G9" i="9"/>
  <c r="G19" i="9" s="1"/>
  <c r="G22" i="9" s="1"/>
  <c r="G23" i="9" s="1"/>
  <c r="G8" i="10"/>
  <c r="G15" i="10" s="1"/>
  <c r="E4" i="12" s="1"/>
  <c r="H8" i="5"/>
  <c r="H17" i="5"/>
  <c r="J3" i="9" l="1"/>
  <c r="J41" i="7"/>
  <c r="J40" i="7"/>
  <c r="J14" i="5"/>
  <c r="G18" i="8"/>
  <c r="G32" i="8"/>
  <c r="G35" i="8" s="1"/>
  <c r="G42" i="8" s="1"/>
  <c r="H41" i="8"/>
  <c r="I13" i="5"/>
  <c r="I17" i="5" s="1"/>
  <c r="H21" i="7"/>
  <c r="H9" i="5"/>
  <c r="G22" i="8" l="1"/>
  <c r="G30" i="8" s="1"/>
  <c r="G44" i="8" s="1"/>
  <c r="G31" i="6"/>
  <c r="G33" i="6" s="1"/>
  <c r="H21" i="9"/>
  <c r="J13" i="5"/>
  <c r="J17" i="5" s="1"/>
  <c r="J41" i="8" s="1"/>
  <c r="I41" i="8"/>
  <c r="H23" i="7"/>
  <c r="H4" i="9"/>
  <c r="I6" i="5"/>
  <c r="H24" i="8"/>
  <c r="H28" i="8" s="1"/>
  <c r="H9" i="9" l="1"/>
  <c r="H19" i="9" s="1"/>
  <c r="H22" i="9" s="1"/>
  <c r="H23" i="9" s="1"/>
  <c r="H8" i="10"/>
  <c r="H15" i="10" s="1"/>
  <c r="F4" i="12" s="1"/>
  <c r="I8" i="5"/>
  <c r="H18" i="8" l="1"/>
  <c r="H32" i="8"/>
  <c r="H35" i="8" s="1"/>
  <c r="H42" i="8" s="1"/>
  <c r="I21" i="7"/>
  <c r="I9" i="5"/>
  <c r="H31" i="6" l="1"/>
  <c r="H33" i="6" s="1"/>
  <c r="I21" i="9"/>
  <c r="H22" i="8"/>
  <c r="H30" i="8" s="1"/>
  <c r="H44" i="8" s="1"/>
  <c r="I23" i="7"/>
  <c r="I4" i="9"/>
  <c r="J6" i="5"/>
  <c r="I24" i="8"/>
  <c r="I28" i="8" s="1"/>
  <c r="I9" i="9" l="1"/>
  <c r="I19" i="9" s="1"/>
  <c r="I22" i="9" s="1"/>
  <c r="I23" i="9" s="1"/>
  <c r="I8" i="10"/>
  <c r="I15" i="10" s="1"/>
  <c r="G4" i="12" s="1"/>
  <c r="J8" i="5"/>
  <c r="I18" i="8" l="1"/>
  <c r="I32" i="8"/>
  <c r="I35" i="8" s="1"/>
  <c r="I42" i="8" s="1"/>
  <c r="J21" i="7"/>
  <c r="J9" i="5"/>
  <c r="J24" i="8" s="1"/>
  <c r="J28" i="8" s="1"/>
  <c r="I22" i="8" l="1"/>
  <c r="I30" i="8" s="1"/>
  <c r="I44" i="8" s="1"/>
  <c r="I31" i="6"/>
  <c r="I33" i="6" s="1"/>
  <c r="J21" i="9"/>
  <c r="J23" i="7"/>
  <c r="G8" i="12" s="1"/>
  <c r="J4" i="9"/>
  <c r="J9" i="9" l="1"/>
  <c r="J19" i="9" s="1"/>
  <c r="J22" i="9" s="1"/>
  <c r="J23" i="9" s="1"/>
  <c r="J8" i="10"/>
  <c r="J15" i="10" s="1"/>
  <c r="H4" i="12" s="1"/>
  <c r="J32" i="8" l="1"/>
  <c r="J35" i="8" s="1"/>
  <c r="J42" i="8" s="1"/>
  <c r="J18" i="8"/>
  <c r="C7" i="12"/>
  <c r="H5" i="12"/>
  <c r="C8" i="12" s="1"/>
  <c r="J22" i="8" l="1"/>
  <c r="J30" i="8" s="1"/>
  <c r="J44" i="8" s="1"/>
  <c r="J31" i="6"/>
  <c r="J33" i="6" s="1"/>
  <c r="C9" i="12"/>
  <c r="C15" i="12" s="1"/>
  <c r="C18" i="12" s="1"/>
  <c r="G7" i="12"/>
  <c r="G9" i="12" s="1"/>
  <c r="G15" i="12" s="1"/>
  <c r="G18" i="12" s="1"/>
  <c r="J5" i="3" l="1"/>
  <c r="J6" i="3" s="1"/>
  <c r="C27" i="12"/>
  <c r="I5" i="3"/>
  <c r="H27" i="12"/>
  <c r="M5" i="3" l="1"/>
  <c r="M6" i="3" s="1"/>
  <c r="I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<sst xmlns="http://schemas.openxmlformats.org/spreadsheetml/2006/main" count="427" uniqueCount="257">
  <si>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</si>
  <si>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</si>
  <si>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</si>
  <si>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</si>
  <si>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</si>
  <si>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</si>
  <si>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</si>
  <si>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</si>
  <si>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</si>
  <si>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</si>
  <si>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</si>
  <si>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</si>
  <si>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</si>
  <si>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</si>
  <si>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</si>
  <si>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</si>
  <si>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</si>
  <si>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</si>
  <si>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</si>
  <si>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</si>
  <si>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</si>
  <si>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</si>
  <si>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</si>
  <si>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</si>
  <si>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</si>
  <si>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</si>
  <si>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</si>
  <si>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</si>
  <si>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</si>
  <si>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</si>
  <si>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</si>
  <si>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</si>
  <si>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</si>
  <si>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</si>
  <si>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</si>
  <si>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</si>
  <si>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</si>
  <si>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</si>
  <si>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</si>
  <si>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</si>
  <si>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</si>
  <si>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</si>
  <si>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</si>
  <si>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</si>
  <si>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</si>
  <si>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</si>
  <si>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</si>
  <si>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</si>
  <si>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</si>
  <si>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</si>
  <si>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</si>
  <si>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</si>
  <si>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</si>
  <si>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</si>
  <si>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</si>
  <si>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</si>
  <si>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</si>
  <si>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</si>
  <si>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</si>
  <si>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</si>
  <si>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</si>
  <si>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</si>
  <si>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</si>
  <si>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</si>
  <si>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</si>
  <si>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</si>
  <si>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</si>
  <si>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</si>
  <si>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</si>
  <si>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</si>
  <si>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</si>
  <si>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</si>
  <si>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</si>
  <si>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</si>
  <si>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</si>
  <si>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</si>
  <si>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</si>
  <si>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</si>
  <si>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</si>
  <si>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</si>
  <si>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</si>
  <si>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</si>
  <si>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</si>
  <si>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</si>
  <si>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</si>
  <si>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</si>
  <si>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</si>
  <si>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</si>
  <si>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</si>
  <si>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</si>
  <si>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</si>
  <si>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</si>
  <si>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</si>
  <si>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</si>
  <si>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</si>
  <si>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</si>
  <si>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</si>
  <si>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</si>
  <si>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</si>
  <si>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</si>
  <si>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</si>
  <si>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</si>
  <si>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</si>
  <si>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</si>
  <si>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</si>
  <si>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</si>
  <si>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</si>
  <si>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</si>
  <si>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</si>
  <si>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</si>
  <si>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</si>
  <si>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</si>
  <si>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</si>
  <si>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</si>
  <si>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</si>
  <si>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</si>
  <si>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</si>
  <si>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</si>
  <si>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</si>
  <si>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</si>
  <si>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</si>
  <si>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</si>
  <si>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</si>
  <si>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</si>
  <si>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</si>
  <si>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</si>
  <si>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</si>
  <si>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</si>
  <si>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</si>
  <si>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</si>
  <si>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</si>
  <si>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</si>
  <si>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</si>
  <si>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</si>
  <si>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</si>
  <si>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</si>
  <si>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</si>
  <si>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</si>
  <si>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</si>
  <si>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</si>
  <si>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</si>
  <si>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</si>
  <si>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</si>
  <si>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</si>
  <si>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</si>
  <si>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</si>
  <si>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</si>
  <si>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</si>
  <si>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</si>
  <si>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</si>
  <si>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</si>
  <si>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</si>
  <si>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</si>
  <si>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</si>
  <si>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</si>
  <si>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</si>
  <si>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</si>
  <si>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</si>
  <si>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</si>
  <si>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</si>
  <si>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</si>
  <si>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</si>
  <si>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</si>
  <si>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</si>
  <si>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</si>
  <si>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</si>
  <si>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</si>
  <si>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</si>
  <si>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</si>
  <si>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</si>
  <si>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</si>
  <si>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</si>
  <si>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</si>
  <si>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</si>
  <si>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</si>
  <si>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</si>
  <si>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</si>
  <si>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</si>
  <si>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</si>
  <si>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</si>
  <si>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</si>
  <si>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</si>
  <si>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</si>
  <si>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</si>
  <si>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</si>
  <si>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Discount Factor</t>
  </si>
  <si>
    <t>PV FCF</t>
  </si>
  <si>
    <t>McDonald's Corp.</t>
  </si>
  <si>
    <t>Franchised resturants</t>
  </si>
  <si>
    <t>Revenues</t>
  </si>
  <si>
    <t>Company owned resturants</t>
  </si>
  <si>
    <t>Other</t>
  </si>
  <si>
    <t>Franchised resturant expenses</t>
  </si>
  <si>
    <t>Company owned resturant expenses</t>
  </si>
  <si>
    <t>Other resturant expenses</t>
  </si>
  <si>
    <t>Operating Income</t>
  </si>
  <si>
    <t>Taxes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</si>
  <si>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</si>
  <si>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</si>
  <si>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</si>
  <si>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</si>
  <si>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</si>
  <si>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</si>
  <si>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</si>
  <si>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</si>
  <si>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</si>
  <si>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</si>
  <si>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</si>
  <si>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</si>
  <si>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</si>
  <si>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</si>
  <si>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</si>
  <si>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Q425E</t>
  </si>
  <si>
    <t>2025E</t>
  </si>
  <si>
    <t>Q126E</t>
  </si>
  <si>
    <t>Q226E</t>
  </si>
  <si>
    <t>Q326E</t>
  </si>
  <si>
    <t>Q426E</t>
  </si>
  <si>
    <t>2026E</t>
  </si>
  <si>
    <t>2027E</t>
  </si>
  <si>
    <t>2028E</t>
  </si>
  <si>
    <t>2029E</t>
  </si>
  <si>
    <t>y/y%</t>
  </si>
  <si>
    <t>n/a</t>
  </si>
  <si>
    <t>Margin%</t>
  </si>
  <si>
    <t>Tax rate</t>
  </si>
  <si>
    <t>Operating Margin</t>
  </si>
  <si>
    <t>NO REVOLVER</t>
  </si>
  <si>
    <t>(inc) / dec in LT assets</t>
  </si>
  <si>
    <t>inc / (dec) in LT liabilities</t>
  </si>
  <si>
    <t>CFFO</t>
  </si>
  <si>
    <t>CFFI</t>
  </si>
  <si>
    <t>Dividends Paid</t>
  </si>
  <si>
    <t>Debt issuance / (repayments)</t>
  </si>
  <si>
    <t>CFFF</t>
  </si>
  <si>
    <t>Net Changes in Cash</t>
  </si>
  <si>
    <t>Beginning Cash</t>
  </si>
  <si>
    <t>Ending Cash</t>
  </si>
  <si>
    <t>YUM</t>
  </si>
  <si>
    <t>QSR</t>
  </si>
  <si>
    <t>SBUX</t>
  </si>
  <si>
    <t>LTGR</t>
  </si>
  <si>
    <t>LTGR variance</t>
  </si>
  <si>
    <t>Exit Mult.</t>
  </si>
  <si>
    <t>Average</t>
  </si>
  <si>
    <t>DDM</t>
  </si>
  <si>
    <t>FY Dividends</t>
  </si>
  <si>
    <t>Ticker</t>
  </si>
  <si>
    <t>P/E</t>
  </si>
  <si>
    <t>FY P/E</t>
  </si>
  <si>
    <t>EV/EBITDA</t>
  </si>
  <si>
    <t>EV/EBIT</t>
  </si>
  <si>
    <t>EV/R</t>
  </si>
  <si>
    <t>Delta / Avg</t>
  </si>
  <si>
    <t>McDonalds - Current Price</t>
  </si>
  <si>
    <t xml:space="preserve">MCD </t>
  </si>
  <si>
    <t>Comps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</si>
</sst>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10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78" fontId="33" fillId="42" borderId="0" xfId="0" applyNumberFormat="1" applyFont="1" applyFill="1"/>
    <xf numFmtId="178" fontId="35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5" fillId="0" borderId="0" xfId="0" applyNumberFormat="1" applyFont="1"/>
    <xf numFmtId="37" fontId="39" fillId="0" borderId="0" xfId="0" applyNumberFormat="1" applyFont="1"/>
    <xf numFmtId="37" fontId="45" fillId="0" borderId="0" xfId="0" applyNumberFormat="1" applyFont="1"/>
    <xf numFmtId="37" fontId="39" fillId="0" borderId="18" xfId="0" applyNumberFormat="1" applyFont="1" applyBorder="1"/>
    <xf numFmtId="37" fontId="45" fillId="0" borderId="18" xfId="0" applyNumberFormat="1" applyFont="1" applyBorder="1"/>
    <xf numFmtId="37" fontId="39" fillId="0" borderId="21" xfId="0" applyNumberFormat="1" applyFont="1" applyBorder="1"/>
    <xf numFmtId="37" fontId="45" fillId="0" borderId="21" xfId="0" applyNumberFormat="1" applyFont="1" applyBorder="1"/>
    <xf numFmtId="9" fontId="39" fillId="0" borderId="18" xfId="0" applyNumberFormat="1" applyFont="1" applyBorder="1"/>
    <xf numFmtId="9" fontId="39" fillId="0" borderId="21" xfId="0" applyNumberFormat="1" applyFont="1" applyBorder="1"/>
    <xf numFmtId="9" fontId="37" fillId="43" borderId="18" xfId="0" applyNumberFormat="1" applyFont="1" applyFill="1" applyBorder="1"/>
    <xf numFmtId="9" fontId="37" fillId="43" borderId="0" xfId="0" applyNumberFormat="1" applyFont="1" applyFill="1"/>
    <xf numFmtId="37" fontId="39" fillId="0" borderId="17" xfId="0" applyNumberFormat="1" applyFont="1" applyBorder="1"/>
    <xf numFmtId="9" fontId="39" fillId="0" borderId="0" xfId="0" applyNumberFormat="1" applyFont="1" applyAlignment="1">
      <alignment horizontal="right"/>
    </xf>
    <xf numFmtId="9" fontId="39" fillId="0" borderId="18" xfId="0" applyNumberFormat="1" applyFont="1" applyBorder="1" applyAlignment="1">
      <alignment horizontal="right"/>
    </xf>
    <xf numFmtId="9" fontId="39" fillId="0" borderId="21" xfId="0" applyNumberFormat="1" applyFont="1" applyBorder="1" applyAlignment="1">
      <alignment horizontal="right"/>
    </xf>
    <xf numFmtId="39" fontId="39" fillId="0" borderId="19" xfId="0" applyNumberFormat="1" applyFont="1" applyBorder="1"/>
    <xf numFmtId="166" fontId="39" fillId="0" borderId="0" xfId="57" applyFont="1" applyFill="1"/>
    <xf numFmtId="176" fontId="39" fillId="0" borderId="0" xfId="59" applyNumberFormat="1" applyFont="1" applyProtection="1"/>
    <xf numFmtId="182" fontId="39" fillId="0" borderId="0" xfId="0" applyNumberFormat="1" applyFont="1"/>
    <xf numFmtId="182" fontId="45" fillId="0" borderId="0" xfId="0" applyNumberFormat="1" applyFont="1"/>
    <xf numFmtId="182" fontId="45" fillId="0" borderId="0" xfId="59" applyNumberFormat="1" applyFont="1" applyProtection="1"/>
    <xf numFmtId="182" fontId="39" fillId="0" borderId="0" xfId="59" applyNumberFormat="1" applyFont="1" applyProtection="1"/>
    <xf numFmtId="180" fontId="45" fillId="0" borderId="0" xfId="0" applyNumberFormat="1" applyFont="1"/>
    <xf numFmtId="182" fontId="45" fillId="0" borderId="0" xfId="4" applyNumberFormat="1" applyFont="1" applyFill="1" applyBorder="1" applyAlignment="1" applyProtection="1"/>
    <xf numFmtId="180" fontId="45" fillId="0" borderId="0" xfId="59" applyNumberFormat="1" applyFont="1" applyProtection="1"/>
    <xf numFmtId="167" fontId="71" fillId="0" borderId="0" xfId="0" applyFont="1"/>
    <xf numFmtId="167" fontId="72" fillId="0" borderId="0" xfId="0" applyFont="1"/>
    <xf numFmtId="167" fontId="33" fillId="42" borderId="0" xfId="0" applyFont="1" applyFill="1"/>
    <xf numFmtId="167" fontId="39" fillId="0" borderId="0" xfId="0" applyFont="1" applyAlignment="1">
      <alignment horizontal="left"/>
    </xf>
    <xf numFmtId="176" fontId="39" fillId="0" borderId="15" xfId="0" applyNumberFormat="1" applyFont="1" applyBorder="1"/>
    <xf numFmtId="176" fontId="39" fillId="0" borderId="14" xfId="0" applyNumberFormat="1" applyFont="1" applyBorder="1"/>
    <xf numFmtId="173" fontId="39" fillId="0" borderId="15" xfId="0" applyNumberFormat="1" applyFont="1" applyBorder="1"/>
    <xf numFmtId="180" fontId="39" fillId="0" borderId="0" xfId="0" applyNumberFormat="1" applyFont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44546A"/>
      <color rgb="FFEA4335"/>
      <color rgb="FF5F6368"/>
      <color rgb="FF34A853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zoomScaleNormal="100" workbookViewId="0">
      <selection activeCell="A13" sqref="A13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2" width="17.4257812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2" t="str">
        <f>CoName</f>
        <v>McDonald's Corp.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184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187</v>
      </c>
      <c r="E4" s="4" t="s">
        <v>170</v>
      </c>
      <c r="F4" s="223">
        <v>311.01</v>
      </c>
      <c r="H4" s="170"/>
      <c r="I4" s="169" t="s">
        <v>183</v>
      </c>
      <c r="J4" s="169" t="s">
        <v>182</v>
      </c>
      <c r="K4" s="169" t="s">
        <v>245</v>
      </c>
      <c r="L4" s="169" t="s">
        <v>256</v>
      </c>
      <c r="M4" s="169" t="s">
        <v>244</v>
      </c>
    </row>
    <row r="5" spans="1:15" x14ac:dyDescent="0.25">
      <c r="B5" s="4" t="s">
        <v>4</v>
      </c>
      <c r="C5" s="52">
        <v>247.43</v>
      </c>
      <c r="E5" s="4" t="s">
        <v>175</v>
      </c>
      <c r="F5" s="160">
        <v>712.15435000000002</v>
      </c>
      <c r="H5" s="169" t="s">
        <v>177</v>
      </c>
      <c r="I5" s="230">
        <f>'DCF Model'!G18</f>
        <v>254.81764789677115</v>
      </c>
      <c r="J5" s="229">
        <f>'DCF Model'!C18</f>
        <v>228.9602679824149</v>
      </c>
      <c r="K5" s="229">
        <f>'DCF Model'!K18</f>
        <v>255.4908764464198</v>
      </c>
      <c r="L5" s="229">
        <f>Comps!I9</f>
        <v>213.02644798499574</v>
      </c>
      <c r="M5" s="229">
        <f>AVERAGE(I5:J5)</f>
        <v>241.88895793959301</v>
      </c>
    </row>
    <row r="6" spans="1:15" x14ac:dyDescent="0.25">
      <c r="B6" s="4" t="s">
        <v>5</v>
      </c>
      <c r="C6" s="51" t="s">
        <v>9</v>
      </c>
      <c r="E6" s="4" t="s">
        <v>104</v>
      </c>
      <c r="F6" s="160">
        <f>F5*F4</f>
        <v>221487.12439350001</v>
      </c>
      <c r="H6" s="169" t="s">
        <v>178</v>
      </c>
      <c r="I6" s="224">
        <f>I5/$F$4-1</f>
        <v>-0.18067699464077958</v>
      </c>
      <c r="J6" s="224">
        <f>J5/$F$4-1</f>
        <v>-0.26381702201725055</v>
      </c>
      <c r="K6" s="224">
        <f>K5/$F$4-1</f>
        <v>-0.17851234221915757</v>
      </c>
      <c r="L6" s="224">
        <f>L5/$F$4-1</f>
        <v>-0.31504952257163521</v>
      </c>
      <c r="M6" s="224">
        <f>M5/$F$4-1</f>
        <v>-0.22224700832901512</v>
      </c>
    </row>
    <row r="7" spans="1:15" x14ac:dyDescent="0.25">
      <c r="B7" s="4" t="s">
        <v>6</v>
      </c>
      <c r="C7" s="51" t="s">
        <v>8</v>
      </c>
      <c r="E7" s="4" t="s">
        <v>176</v>
      </c>
      <c r="F7" s="51">
        <v>2413</v>
      </c>
    </row>
    <row r="8" spans="1:15" x14ac:dyDescent="0.25">
      <c r="B8" s="4" t="s">
        <v>2</v>
      </c>
      <c r="C8" s="51" t="s">
        <v>87</v>
      </c>
      <c r="E8" s="4" t="s">
        <v>146</v>
      </c>
      <c r="F8" s="51">
        <f>1800+39483</f>
        <v>41283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260357.12439350001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D25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9" sqref="A19"/>
    </sheetView>
  </sheetViews>
  <sheetFormatPr defaultColWidth="11.7109375" defaultRowHeight="15" x14ac:dyDescent="0.25"/>
  <cols>
    <col min="1" max="1" width="2" style="4" bestFit="1" customWidth="1"/>
    <col min="2" max="2" width="34.140625" style="4" bestFit="1" customWidth="1"/>
    <col min="3" max="16384" width="11.7109375" style="4"/>
  </cols>
  <sheetData>
    <row r="1" spans="1:30" ht="19.5" x14ac:dyDescent="0.3">
      <c r="A1" s="252" t="str">
        <f>CoName</f>
        <v>McDonald's Corp.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0" s="277" customFormat="1" x14ac:dyDescent="0.25">
      <c r="A2" s="274" t="s">
        <v>127</v>
      </c>
      <c r="B2" s="275"/>
      <c r="C2" s="276" t="s">
        <v>197</v>
      </c>
      <c r="D2" s="276" t="s">
        <v>198</v>
      </c>
      <c r="E2" s="276" t="s">
        <v>199</v>
      </c>
      <c r="F2" s="276" t="s">
        <v>200</v>
      </c>
      <c r="G2" s="276">
        <v>2022</v>
      </c>
      <c r="H2" s="276" t="s">
        <v>201</v>
      </c>
      <c r="I2" s="276" t="s">
        <v>202</v>
      </c>
      <c r="J2" s="276" t="s">
        <v>203</v>
      </c>
      <c r="K2" s="276" t="s">
        <v>204</v>
      </c>
      <c r="L2" s="276">
        <v>2023</v>
      </c>
      <c r="M2" s="276" t="s">
        <v>205</v>
      </c>
      <c r="N2" s="276" t="s">
        <v>206</v>
      </c>
      <c r="O2" s="276" t="s">
        <v>207</v>
      </c>
      <c r="P2" s="276" t="s">
        <v>208</v>
      </c>
      <c r="Q2" s="276">
        <v>2024</v>
      </c>
      <c r="R2" s="276" t="s">
        <v>209</v>
      </c>
      <c r="S2" s="276" t="s">
        <v>210</v>
      </c>
      <c r="T2" s="276" t="s">
        <v>211</v>
      </c>
      <c r="U2" s="276" t="s">
        <v>212</v>
      </c>
      <c r="V2" s="276" t="s">
        <v>213</v>
      </c>
      <c r="W2" s="276" t="s">
        <v>214</v>
      </c>
      <c r="X2" s="276" t="s">
        <v>215</v>
      </c>
      <c r="Y2" s="276" t="s">
        <v>216</v>
      </c>
      <c r="Z2" s="276" t="s">
        <v>217</v>
      </c>
      <c r="AA2" s="276" t="s">
        <v>218</v>
      </c>
      <c r="AB2" s="276" t="s">
        <v>219</v>
      </c>
      <c r="AC2" s="276" t="s">
        <v>220</v>
      </c>
      <c r="AD2" s="276" t="s">
        <v>221</v>
      </c>
    </row>
    <row r="3" spans="1:30" s="278" customFormat="1" x14ac:dyDescent="0.25">
      <c r="B3" s="278" t="s">
        <v>188</v>
      </c>
      <c r="C3" s="278">
        <v>3262.8</v>
      </c>
      <c r="D3" s="278">
        <v>3526.8</v>
      </c>
      <c r="E3" s="278">
        <v>3671.2</v>
      </c>
      <c r="F3" s="280">
        <v>3645</v>
      </c>
      <c r="G3" s="282">
        <f>SUM(C3:F3)</f>
        <v>14105.8</v>
      </c>
      <c r="H3" s="278">
        <v>3587.5</v>
      </c>
      <c r="I3" s="278">
        <v>3933.3</v>
      </c>
      <c r="J3" s="278">
        <v>4047.1</v>
      </c>
      <c r="K3" s="280">
        <v>3869</v>
      </c>
      <c r="L3" s="282">
        <f>SUM(H3:K3)</f>
        <v>15436.9</v>
      </c>
      <c r="M3" s="278">
        <v>3723</v>
      </c>
      <c r="N3" s="278">
        <v>3940</v>
      </c>
      <c r="O3" s="278">
        <v>4094</v>
      </c>
      <c r="P3" s="278">
        <v>3958</v>
      </c>
      <c r="Q3" s="282">
        <f>SUM(M3:P3)</f>
        <v>15715</v>
      </c>
      <c r="R3" s="278">
        <v>3661</v>
      </c>
      <c r="S3" s="278">
        <v>4213</v>
      </c>
      <c r="T3" s="278">
        <v>4363</v>
      </c>
      <c r="U3" s="278">
        <f>P3*(1+U4)</f>
        <v>4218.0639960918415</v>
      </c>
      <c r="V3" s="282">
        <f>SUM(R3:U3)</f>
        <v>16455.063996091842</v>
      </c>
      <c r="W3" s="278">
        <f>R3*(1+W4)</f>
        <v>3931.9140000000002</v>
      </c>
      <c r="X3" s="278">
        <f t="shared" ref="X3:Z3" si="0">S3*(1+X4)</f>
        <v>4423.6500000000005</v>
      </c>
      <c r="Y3" s="278">
        <f t="shared" si="0"/>
        <v>4572.424</v>
      </c>
      <c r="Z3" s="278">
        <f t="shared" si="0"/>
        <v>4445.8394518808009</v>
      </c>
      <c r="AA3" s="282">
        <f>SUM(W3:Z3)</f>
        <v>17373.827451880803</v>
      </c>
      <c r="AB3" s="278">
        <f>AA3*(1+AB4)</f>
        <v>18312.014134282366</v>
      </c>
      <c r="AC3" s="278">
        <f>AB3*(1+AC4)</f>
        <v>19300.862897533614</v>
      </c>
      <c r="AD3" s="280">
        <f>AC3*(1+AD4)</f>
        <v>20343.10949400043</v>
      </c>
    </row>
    <row r="4" spans="1:30" s="191" customFormat="1" x14ac:dyDescent="0.25">
      <c r="B4" s="191" t="s">
        <v>222</v>
      </c>
      <c r="C4" s="289" t="s">
        <v>223</v>
      </c>
      <c r="D4" s="289" t="s">
        <v>223</v>
      </c>
      <c r="E4" s="289" t="s">
        <v>223</v>
      </c>
      <c r="F4" s="290" t="s">
        <v>223</v>
      </c>
      <c r="G4" s="291" t="s">
        <v>223</v>
      </c>
      <c r="H4" s="289">
        <f>H3/C3-1</f>
        <v>9.9515753340688962E-2</v>
      </c>
      <c r="I4" s="289">
        <f t="shared" ref="I4:L4" si="1">I3/D3-1</f>
        <v>0.11526029261653625</v>
      </c>
      <c r="J4" s="289">
        <f t="shared" si="1"/>
        <v>0.10239158858139041</v>
      </c>
      <c r="K4" s="290">
        <f t="shared" si="1"/>
        <v>6.145404663923193E-2</v>
      </c>
      <c r="L4" s="291">
        <f t="shared" si="1"/>
        <v>9.4365438330332285E-2</v>
      </c>
      <c r="M4" s="289">
        <f>M3/H3-1</f>
        <v>3.7770034843205513E-2</v>
      </c>
      <c r="N4" s="289">
        <f t="shared" ref="N4" si="2">N3/I3-1</f>
        <v>1.703404266137909E-3</v>
      </c>
      <c r="O4" s="289">
        <f t="shared" ref="O4" si="3">O3/J3-1</f>
        <v>1.158854488399097E-2</v>
      </c>
      <c r="P4" s="290">
        <f t="shared" ref="P4" si="4">P3/K3-1</f>
        <v>2.3003360041354393E-2</v>
      </c>
      <c r="Q4" s="291">
        <f t="shared" ref="Q4" si="5">Q3/L3-1</f>
        <v>1.8015275087614802E-2</v>
      </c>
      <c r="R4" s="289">
        <f>R3/M3-1</f>
        <v>-1.6653236637120594E-2</v>
      </c>
      <c r="S4" s="289">
        <f t="shared" ref="S4" si="6">S3/N3-1</f>
        <v>6.9289340101522878E-2</v>
      </c>
      <c r="T4" s="289">
        <f t="shared" ref="T4" si="7">T3/O3-1</f>
        <v>6.570591108939916E-2</v>
      </c>
      <c r="U4" s="286">
        <f>T4</f>
        <v>6.570591108939916E-2</v>
      </c>
      <c r="V4" s="285">
        <f t="shared" ref="V4" si="8">V3/Q3-1</f>
        <v>4.7092840985799578E-2</v>
      </c>
      <c r="W4" s="287">
        <v>7.3999999999999996E-2</v>
      </c>
      <c r="X4" s="287">
        <v>0.05</v>
      </c>
      <c r="Y4" s="287">
        <v>4.8000000000000001E-2</v>
      </c>
      <c r="Z4" s="286">
        <v>5.3999999999999999E-2</v>
      </c>
      <c r="AA4" s="285">
        <f t="shared" ref="AA4" si="9">AA3/V3-1</f>
        <v>5.5834693563463045E-2</v>
      </c>
      <c r="AB4" s="287">
        <f>Z4</f>
        <v>5.3999999999999999E-2</v>
      </c>
      <c r="AC4" s="287">
        <f>AB4</f>
        <v>5.3999999999999999E-2</v>
      </c>
      <c r="AD4" s="286">
        <f>AC4</f>
        <v>5.3999999999999999E-2</v>
      </c>
    </row>
    <row r="5" spans="1:30" s="278" customFormat="1" x14ac:dyDescent="0.25">
      <c r="B5" s="278" t="s">
        <v>190</v>
      </c>
      <c r="C5" s="278">
        <v>2302.4</v>
      </c>
      <c r="D5" s="278">
        <v>2112.8000000000002</v>
      </c>
      <c r="E5" s="278">
        <v>2124.8000000000002</v>
      </c>
      <c r="F5" s="280">
        <v>2208.4</v>
      </c>
      <c r="G5" s="282">
        <f t="shared" ref="G5:G23" si="10">SUM(C5:F5)</f>
        <v>8748.4000000000015</v>
      </c>
      <c r="H5" s="278">
        <v>2224.3000000000002</v>
      </c>
      <c r="I5" s="278">
        <v>2487</v>
      </c>
      <c r="J5" s="278">
        <v>2556.1999999999998</v>
      </c>
      <c r="K5" s="280">
        <v>2474</v>
      </c>
      <c r="L5" s="282">
        <f t="shared" ref="L5:L23" si="11">SUM(H5:K5)</f>
        <v>9741.5</v>
      </c>
      <c r="M5" s="278">
        <v>2355</v>
      </c>
      <c r="N5" s="278">
        <v>2461</v>
      </c>
      <c r="O5" s="278">
        <v>2656</v>
      </c>
      <c r="P5" s="278">
        <v>2310</v>
      </c>
      <c r="Q5" s="282">
        <f t="shared" ref="Q5:Q23" si="12">SUM(M5:P5)</f>
        <v>9782</v>
      </c>
      <c r="R5" s="278">
        <v>2132</v>
      </c>
      <c r="S5" s="278">
        <v>2458</v>
      </c>
      <c r="T5" s="278">
        <v>2563</v>
      </c>
      <c r="U5" s="278">
        <f>P5*(1+U6)</f>
        <v>2471.7000000000003</v>
      </c>
      <c r="V5" s="282">
        <f t="shared" ref="V5:V23" si="13">SUM(R5:U5)</f>
        <v>9624.7000000000007</v>
      </c>
      <c r="W5" s="278">
        <f>R5*(1+W6)</f>
        <v>2281.2400000000002</v>
      </c>
      <c r="X5" s="278">
        <f t="shared" ref="X5" si="14">S5*(1+X6)</f>
        <v>2630.06</v>
      </c>
      <c r="Y5" s="278">
        <f t="shared" ref="Y5" si="15">T5*(1+Y6)</f>
        <v>2742.4100000000003</v>
      </c>
      <c r="Z5" s="278">
        <f t="shared" ref="Z5" si="16">U5*(1+Z6)</f>
        <v>2644.7190000000005</v>
      </c>
      <c r="AA5" s="282">
        <f t="shared" ref="AA5:AA23" si="17">SUM(W5:Z5)</f>
        <v>10298.429000000002</v>
      </c>
      <c r="AB5" s="278">
        <f>AA5*(1+AB6)</f>
        <v>11019.319030000002</v>
      </c>
      <c r="AC5" s="278">
        <f>AB5*(1+AC6)</f>
        <v>11790.671362100004</v>
      </c>
      <c r="AD5" s="280">
        <f>AC5*(1+AD6)</f>
        <v>12616.018357447005</v>
      </c>
    </row>
    <row r="6" spans="1:30" s="191" customFormat="1" x14ac:dyDescent="0.25">
      <c r="B6" s="191" t="s">
        <v>222</v>
      </c>
      <c r="C6" s="289" t="s">
        <v>223</v>
      </c>
      <c r="D6" s="289" t="s">
        <v>223</v>
      </c>
      <c r="E6" s="289" t="s">
        <v>223</v>
      </c>
      <c r="F6" s="290" t="s">
        <v>223</v>
      </c>
      <c r="G6" s="291" t="s">
        <v>223</v>
      </c>
      <c r="H6" s="289">
        <f>H5/C5-1</f>
        <v>-3.3921125781792849E-2</v>
      </c>
      <c r="I6" s="289">
        <f t="shared" ref="I6" si="18">I5/D5-1</f>
        <v>0.17711094282468753</v>
      </c>
      <c r="J6" s="289">
        <f t="shared" ref="J6" si="19">J5/E5-1</f>
        <v>0.20303087349397564</v>
      </c>
      <c r="K6" s="290">
        <f t="shared" ref="K6:L6" si="20">K5/F5-1</f>
        <v>0.1202680673790979</v>
      </c>
      <c r="L6" s="291">
        <f t="shared" si="20"/>
        <v>0.11351790041607579</v>
      </c>
      <c r="M6" s="289">
        <f>M5/H5-1</f>
        <v>5.8760059344512783E-2</v>
      </c>
      <c r="N6" s="289">
        <f t="shared" ref="N6" si="21">N5/I5-1</f>
        <v>-1.0454362685967E-2</v>
      </c>
      <c r="O6" s="289">
        <f t="shared" ref="O6" si="22">O5/J5-1</f>
        <v>3.90423284563024E-2</v>
      </c>
      <c r="P6" s="290">
        <f t="shared" ref="P6" si="23">P5/K5-1</f>
        <v>-6.6289409862570703E-2</v>
      </c>
      <c r="Q6" s="291">
        <f t="shared" ref="Q6" si="24">Q5/L5-1</f>
        <v>4.1574706154083874E-3</v>
      </c>
      <c r="R6" s="289">
        <f>R5/M5-1</f>
        <v>-9.4692144373673015E-2</v>
      </c>
      <c r="S6" s="289">
        <f t="shared" ref="S6" si="25">S5/N5-1</f>
        <v>-1.2190166598943231E-3</v>
      </c>
      <c r="T6" s="289">
        <f t="shared" ref="T6" si="26">T5/O5-1</f>
        <v>-3.5015060240963902E-2</v>
      </c>
      <c r="U6" s="286">
        <v>7.0000000000000007E-2</v>
      </c>
      <c r="V6" s="285">
        <f t="shared" ref="V6" si="27">V5/Q5-1</f>
        <v>-1.6080556123492018E-2</v>
      </c>
      <c r="W6" s="287">
        <v>7.0000000000000007E-2</v>
      </c>
      <c r="X6" s="287">
        <f>W6</f>
        <v>7.0000000000000007E-2</v>
      </c>
      <c r="Y6" s="287">
        <v>7.0000000000000007E-2</v>
      </c>
      <c r="Z6" s="286">
        <v>7.0000000000000007E-2</v>
      </c>
      <c r="AA6" s="285">
        <f t="shared" ref="AA6" si="28">AA5/V5-1</f>
        <v>7.0000000000000062E-2</v>
      </c>
      <c r="AB6" s="287">
        <f>Z6</f>
        <v>7.0000000000000007E-2</v>
      </c>
      <c r="AC6" s="287">
        <f>AB6</f>
        <v>7.0000000000000007E-2</v>
      </c>
      <c r="AD6" s="286">
        <f>AC6</f>
        <v>7.0000000000000007E-2</v>
      </c>
    </row>
    <row r="7" spans="1:30" s="278" customFormat="1" x14ac:dyDescent="0.25">
      <c r="B7" s="278" t="s">
        <v>191</v>
      </c>
      <c r="C7" s="278">
        <v>100.4</v>
      </c>
      <c r="D7" s="278">
        <v>78.8</v>
      </c>
      <c r="E7" s="278">
        <v>76.099999999999994</v>
      </c>
      <c r="F7" s="280">
        <v>73.099999999999994</v>
      </c>
      <c r="G7" s="282">
        <f t="shared" si="10"/>
        <v>328.4</v>
      </c>
      <c r="H7" s="278">
        <v>86</v>
      </c>
      <c r="I7" s="278">
        <v>77.2</v>
      </c>
      <c r="J7" s="278">
        <v>89</v>
      </c>
      <c r="K7" s="280">
        <v>63</v>
      </c>
      <c r="L7" s="282">
        <f t="shared" si="11"/>
        <v>315.2</v>
      </c>
      <c r="M7" s="278">
        <v>91</v>
      </c>
      <c r="N7" s="278">
        <v>89</v>
      </c>
      <c r="O7" s="278">
        <v>124</v>
      </c>
      <c r="P7" s="278">
        <v>120</v>
      </c>
      <c r="Q7" s="282">
        <f t="shared" si="12"/>
        <v>424</v>
      </c>
      <c r="R7" s="278">
        <v>162</v>
      </c>
      <c r="S7" s="278">
        <v>172</v>
      </c>
      <c r="T7" s="278">
        <v>151</v>
      </c>
      <c r="U7" s="278">
        <f>T7</f>
        <v>151</v>
      </c>
      <c r="V7" s="282">
        <f t="shared" si="13"/>
        <v>636</v>
      </c>
      <c r="W7" s="278">
        <f>U7</f>
        <v>151</v>
      </c>
      <c r="X7" s="278">
        <f>W7*1.05</f>
        <v>158.55000000000001</v>
      </c>
      <c r="Y7" s="278">
        <f t="shared" ref="Y7:Z7" si="29">X7*1.05</f>
        <v>166.47750000000002</v>
      </c>
      <c r="Z7" s="278">
        <f t="shared" si="29"/>
        <v>174.80137500000004</v>
      </c>
      <c r="AA7" s="282">
        <f t="shared" si="17"/>
        <v>650.82887500000004</v>
      </c>
      <c r="AB7" s="278">
        <f>AA7*1.05</f>
        <v>683.37031875000002</v>
      </c>
      <c r="AC7" s="278">
        <f t="shared" ref="AC7:AD7" si="30">AB7*1.05</f>
        <v>717.53883468750007</v>
      </c>
      <c r="AD7" s="280">
        <f t="shared" si="30"/>
        <v>753.41577642187508</v>
      </c>
    </row>
    <row r="8" spans="1:30" s="279" customFormat="1" x14ac:dyDescent="0.25">
      <c r="A8" s="279" t="s">
        <v>189</v>
      </c>
      <c r="C8" s="279">
        <f t="shared" ref="C8:AD8" si="31">SUM(C3:C7)</f>
        <v>5665.6</v>
      </c>
      <c r="D8" s="279">
        <f t="shared" si="31"/>
        <v>5718.4000000000005</v>
      </c>
      <c r="E8" s="279">
        <f t="shared" si="31"/>
        <v>5872.1</v>
      </c>
      <c r="F8" s="281">
        <f t="shared" si="31"/>
        <v>5926.5</v>
      </c>
      <c r="G8" s="283">
        <f t="shared" si="31"/>
        <v>23182.600000000002</v>
      </c>
      <c r="H8" s="279">
        <f t="shared" si="31"/>
        <v>5897.8655946275594</v>
      </c>
      <c r="I8" s="279">
        <f t="shared" si="31"/>
        <v>6497.7923712354414</v>
      </c>
      <c r="J8" s="279">
        <f t="shared" si="31"/>
        <v>6692.6054224620748</v>
      </c>
      <c r="K8" s="281">
        <f t="shared" si="31"/>
        <v>6406.1817221140182</v>
      </c>
      <c r="L8" s="283">
        <f t="shared" si="31"/>
        <v>25493.807883338748</v>
      </c>
      <c r="M8" s="279">
        <f t="shared" si="31"/>
        <v>6169.096530094188</v>
      </c>
      <c r="N8" s="279">
        <f t="shared" si="31"/>
        <v>6489.9912490415809</v>
      </c>
      <c r="O8" s="279">
        <f t="shared" si="31"/>
        <v>6874.0506308733402</v>
      </c>
      <c r="P8" s="279">
        <f t="shared" si="31"/>
        <v>6387.9567139501796</v>
      </c>
      <c r="Q8" s="283">
        <f t="shared" si="31"/>
        <v>25921.022172745703</v>
      </c>
      <c r="R8" s="279">
        <f t="shared" si="31"/>
        <v>5954.8886546189897</v>
      </c>
      <c r="S8" s="279">
        <f t="shared" si="31"/>
        <v>6843.068070323442</v>
      </c>
      <c r="T8" s="279">
        <f t="shared" si="31"/>
        <v>7077.0306908508483</v>
      </c>
      <c r="U8" s="279">
        <f t="shared" si="31"/>
        <v>6840.899702002931</v>
      </c>
      <c r="V8" s="283">
        <f t="shared" si="31"/>
        <v>26715.795008376703</v>
      </c>
      <c r="W8" s="279">
        <f t="shared" si="31"/>
        <v>6364.2980000000007</v>
      </c>
      <c r="X8" s="279">
        <f t="shared" si="31"/>
        <v>7212.38</v>
      </c>
      <c r="Y8" s="279">
        <f t="shared" si="31"/>
        <v>7481.4294999999993</v>
      </c>
      <c r="Z8" s="279">
        <f t="shared" si="31"/>
        <v>7265.4838268808007</v>
      </c>
      <c r="AA8" s="283">
        <f t="shared" si="31"/>
        <v>28323.211161574371</v>
      </c>
      <c r="AB8" s="279">
        <f t="shared" si="31"/>
        <v>30014.827483032368</v>
      </c>
      <c r="AC8" s="279">
        <f t="shared" si="31"/>
        <v>31809.197094321116</v>
      </c>
      <c r="AD8" s="281">
        <f t="shared" si="31"/>
        <v>33712.667627869312</v>
      </c>
    </row>
    <row r="9" spans="1:30" s="191" customFormat="1" x14ac:dyDescent="0.25">
      <c r="F9" s="284"/>
      <c r="G9" s="285"/>
      <c r="K9" s="284"/>
      <c r="L9" s="285">
        <f>L8/G8-1</f>
        <v>9.9695801305235143E-2</v>
      </c>
      <c r="Q9" s="285">
        <f>Q8/L8-1</f>
        <v>1.6757570754510898E-2</v>
      </c>
      <c r="V9" s="285">
        <f>V8/Q8-1</f>
        <v>3.0661323088819081E-2</v>
      </c>
      <c r="AA9" s="285">
        <f>AA8/V8-1</f>
        <v>6.0167258832973802E-2</v>
      </c>
      <c r="AB9" s="191">
        <f>AB8/AA8-1</f>
        <v>5.9725442563976827E-2</v>
      </c>
      <c r="AC9" s="191">
        <f t="shared" ref="AC9:AD9" si="32">AC8/AB8-1</f>
        <v>5.9782772774660042E-2</v>
      </c>
      <c r="AD9" s="284">
        <f t="shared" si="32"/>
        <v>5.9840257140222564E-2</v>
      </c>
    </row>
    <row r="10" spans="1:30" s="278" customFormat="1" x14ac:dyDescent="0.25">
      <c r="B10" s="278" t="s">
        <v>192</v>
      </c>
      <c r="C10" s="278">
        <v>584</v>
      </c>
      <c r="D10" s="278">
        <v>588.6</v>
      </c>
      <c r="E10" s="278">
        <v>589</v>
      </c>
      <c r="F10" s="280">
        <v>588.1</v>
      </c>
      <c r="G10" s="282">
        <f t="shared" si="10"/>
        <v>2349.6999999999998</v>
      </c>
      <c r="H10" s="278">
        <v>598.29999999999995</v>
      </c>
      <c r="I10" s="278">
        <v>618.20000000000005</v>
      </c>
      <c r="J10" s="278">
        <v>625.4</v>
      </c>
      <c r="K10" s="280">
        <v>633</v>
      </c>
      <c r="L10" s="282">
        <f t="shared" si="11"/>
        <v>2474.9</v>
      </c>
      <c r="M10" s="278">
        <v>627</v>
      </c>
      <c r="N10" s="278">
        <v>629</v>
      </c>
      <c r="O10" s="278">
        <v>646</v>
      </c>
      <c r="P10" s="278">
        <v>635</v>
      </c>
      <c r="Q10" s="282">
        <f t="shared" si="12"/>
        <v>2537</v>
      </c>
      <c r="R10" s="278">
        <v>620</v>
      </c>
      <c r="S10" s="278">
        <v>654</v>
      </c>
      <c r="T10" s="278">
        <v>666</v>
      </c>
      <c r="U10" s="278">
        <f>U11*U3</f>
        <v>643.87591597459686</v>
      </c>
      <c r="V10" s="282">
        <f t="shared" si="13"/>
        <v>2583.8759159745969</v>
      </c>
      <c r="W10" s="278">
        <f>W11*W3</f>
        <v>600.19590281916112</v>
      </c>
      <c r="X10" s="278">
        <f>X11*X3</f>
        <v>675.25805638322265</v>
      </c>
      <c r="Y10" s="278">
        <f t="shared" ref="Y10:Z10" si="33">Y11*Y3</f>
        <v>697.96799999999996</v>
      </c>
      <c r="Z10" s="278">
        <f t="shared" si="33"/>
        <v>678.64521543722515</v>
      </c>
      <c r="AA10" s="282">
        <f t="shared" si="17"/>
        <v>2652.0671746396088</v>
      </c>
      <c r="AB10" s="278">
        <f>AB11*AB3</f>
        <v>2795.2788020701473</v>
      </c>
      <c r="AC10" s="278">
        <f t="shared" ref="AC10" si="34">AC11*AC3</f>
        <v>2946.2238573819354</v>
      </c>
      <c r="AD10" s="280">
        <f t="shared" ref="AD10" si="35">AD11*AD3</f>
        <v>3105.3199456805601</v>
      </c>
    </row>
    <row r="11" spans="1:30" s="191" customFormat="1" x14ac:dyDescent="0.25">
      <c r="B11" s="191" t="s">
        <v>224</v>
      </c>
      <c r="C11" s="191">
        <f>C10/C3</f>
        <v>0.17898737280863061</v>
      </c>
      <c r="D11" s="191">
        <f t="shared" ref="D11:G11" si="36">D10/D3</f>
        <v>0.16689350119088125</v>
      </c>
      <c r="E11" s="191">
        <f t="shared" si="36"/>
        <v>0.16043800392242319</v>
      </c>
      <c r="F11" s="191">
        <f t="shared" si="36"/>
        <v>0.16134430727023319</v>
      </c>
      <c r="G11" s="285">
        <f t="shared" si="36"/>
        <v>0.16657686908931077</v>
      </c>
      <c r="H11" s="191">
        <f>H10/H3</f>
        <v>0.16677351916376304</v>
      </c>
      <c r="I11" s="191">
        <f t="shared" ref="I11" si="37">I10/I3</f>
        <v>0.15717082348155492</v>
      </c>
      <c r="J11" s="191">
        <f t="shared" ref="J11" si="38">J10/J3</f>
        <v>0.15453040448716365</v>
      </c>
      <c r="K11" s="191">
        <f t="shared" ref="K11" si="39">K10/K3</f>
        <v>0.16360816748513829</v>
      </c>
      <c r="L11" s="285">
        <f t="shared" ref="L11" si="40">L10/L3</f>
        <v>0.16032364010908928</v>
      </c>
      <c r="M11" s="191">
        <f>M10/M3</f>
        <v>0.16841257050765512</v>
      </c>
      <c r="N11" s="191">
        <f t="shared" ref="N11" si="41">N10/N3</f>
        <v>0.15964467005076141</v>
      </c>
      <c r="O11" s="191">
        <f t="shared" ref="O11" si="42">O10/O3</f>
        <v>0.15779189057156814</v>
      </c>
      <c r="P11" s="191">
        <f t="shared" ref="P11" si="43">P10/P3</f>
        <v>0.16043456291056088</v>
      </c>
      <c r="Q11" s="285">
        <f t="shared" ref="Q11" si="44">Q10/Q3</f>
        <v>0.16143811644925229</v>
      </c>
      <c r="R11" s="191">
        <f>R10/R3</f>
        <v>0.16935263589183283</v>
      </c>
      <c r="S11" s="191">
        <f t="shared" ref="S11" si="45">S10/S3</f>
        <v>0.15523380014241633</v>
      </c>
      <c r="T11" s="191">
        <f t="shared" ref="T11" si="46">T10/T3</f>
        <v>0.15264726105890442</v>
      </c>
      <c r="U11" s="286">
        <f>T11</f>
        <v>0.15264726105890442</v>
      </c>
      <c r="V11" s="285">
        <f t="shared" ref="V11" si="47">V10/V3</f>
        <v>0.15702618455864287</v>
      </c>
      <c r="W11" s="287">
        <v>0.15264726105890442</v>
      </c>
      <c r="X11" s="287">
        <f>W11</f>
        <v>0.15264726105890442</v>
      </c>
      <c r="Y11" s="287">
        <f t="shared" ref="Y11:Z13" si="48">X11</f>
        <v>0.15264726105890442</v>
      </c>
      <c r="Z11" s="287">
        <f t="shared" si="48"/>
        <v>0.15264726105890442</v>
      </c>
      <c r="AA11" s="285">
        <f t="shared" ref="AA11" si="49">AA10/AA3</f>
        <v>0.15264726105890439</v>
      </c>
      <c r="AB11" s="287">
        <f>AA11</f>
        <v>0.15264726105890439</v>
      </c>
      <c r="AC11" s="287">
        <f t="shared" ref="AC11:AD11" si="50">AB11</f>
        <v>0.15264726105890439</v>
      </c>
      <c r="AD11" s="286">
        <f t="shared" si="50"/>
        <v>0.15264726105890439</v>
      </c>
    </row>
    <row r="12" spans="1:30" s="278" customFormat="1" x14ac:dyDescent="0.25">
      <c r="B12" s="278" t="s">
        <v>193</v>
      </c>
      <c r="C12" s="278">
        <v>1959.2</v>
      </c>
      <c r="D12" s="278">
        <v>1769.8</v>
      </c>
      <c r="E12" s="278">
        <v>1779.6</v>
      </c>
      <c r="F12" s="280">
        <v>1872.3</v>
      </c>
      <c r="G12" s="282">
        <f t="shared" si="10"/>
        <v>7380.9000000000005</v>
      </c>
      <c r="H12" s="278">
        <v>1923.1</v>
      </c>
      <c r="I12" s="278">
        <v>2091.3000000000002</v>
      </c>
      <c r="J12" s="278">
        <v>2135</v>
      </c>
      <c r="K12" s="280">
        <v>2075</v>
      </c>
      <c r="L12" s="282">
        <f t="shared" si="11"/>
        <v>8224.4</v>
      </c>
      <c r="M12" s="278">
        <v>2035</v>
      </c>
      <c r="N12" s="278">
        <v>2074</v>
      </c>
      <c r="O12" s="278">
        <v>2248</v>
      </c>
      <c r="P12" s="278">
        <v>1977</v>
      </c>
      <c r="Q12" s="282">
        <f t="shared" si="12"/>
        <v>8334</v>
      </c>
      <c r="R12" s="278">
        <v>1859</v>
      </c>
      <c r="S12" s="278">
        <v>2078</v>
      </c>
      <c r="T12" s="278">
        <v>2172</v>
      </c>
      <c r="U12" s="278">
        <f>U5*U13</f>
        <v>2094.6283261802578</v>
      </c>
      <c r="V12" s="282">
        <f t="shared" si="13"/>
        <v>8203.6283261802582</v>
      </c>
      <c r="W12" s="278">
        <f t="shared" ref="W12:Z12" si="51">W5*W13</f>
        <v>1933.224065548186</v>
      </c>
      <c r="X12" s="278">
        <f t="shared" si="51"/>
        <v>2228.8296215372611</v>
      </c>
      <c r="Y12" s="278">
        <f t="shared" si="51"/>
        <v>2324.0400000000004</v>
      </c>
      <c r="Z12" s="278">
        <f t="shared" si="51"/>
        <v>2241.2523090128761</v>
      </c>
      <c r="AA12" s="282">
        <f t="shared" si="17"/>
        <v>8727.3459960983237</v>
      </c>
      <c r="AB12" s="278">
        <f t="shared" ref="AB12" si="52">AB5*AB13</f>
        <v>9338.2602158252066</v>
      </c>
      <c r="AC12" s="278">
        <f t="shared" ref="AC12" si="53">AC5*AC13</f>
        <v>9991.9384309329726</v>
      </c>
      <c r="AD12" s="280">
        <f t="shared" ref="AD12" si="54">AD5*AD13</f>
        <v>10691.374121098281</v>
      </c>
    </row>
    <row r="13" spans="1:30" s="191" customFormat="1" x14ac:dyDescent="0.25">
      <c r="B13" s="191" t="s">
        <v>224</v>
      </c>
      <c r="C13" s="191">
        <f>C12/C5</f>
        <v>0.85093815149409313</v>
      </c>
      <c r="D13" s="191">
        <f t="shared" ref="D13:G13" si="55">D12/D5</f>
        <v>0.83765619083680409</v>
      </c>
      <c r="E13" s="191">
        <f t="shared" si="55"/>
        <v>0.83753765060240948</v>
      </c>
      <c r="F13" s="284">
        <f t="shared" si="55"/>
        <v>0.8478083680492664</v>
      </c>
      <c r="G13" s="285">
        <f t="shared" si="55"/>
        <v>0.84368570252846231</v>
      </c>
      <c r="H13" s="191">
        <f>H12/H5</f>
        <v>0.86458661151823035</v>
      </c>
      <c r="I13" s="191">
        <f t="shared" ref="I13" si="56">I12/I5</f>
        <v>0.8408926417370326</v>
      </c>
      <c r="J13" s="191">
        <f t="shared" ref="J13" si="57">J12/J5</f>
        <v>0.83522416086378226</v>
      </c>
      <c r="K13" s="284">
        <f t="shared" ref="K13" si="58">K12/K5</f>
        <v>0.83872271624898953</v>
      </c>
      <c r="L13" s="285">
        <f t="shared" ref="L13" si="59">L12/L5</f>
        <v>0.84426423035466813</v>
      </c>
      <c r="M13" s="191">
        <f>M12/M5</f>
        <v>0.86411889596602975</v>
      </c>
      <c r="N13" s="191">
        <f t="shared" ref="N13" si="60">N12/N5</f>
        <v>0.84274685087362866</v>
      </c>
      <c r="O13" s="191">
        <f t="shared" ref="O13" si="61">O12/O5</f>
        <v>0.84638554216867468</v>
      </c>
      <c r="P13" s="284">
        <f t="shared" ref="P13" si="62">P12/P5</f>
        <v>0.85584415584415585</v>
      </c>
      <c r="Q13" s="285">
        <f t="shared" ref="Q13" si="63">Q12/Q5</f>
        <v>0.85197301165405848</v>
      </c>
      <c r="R13" s="191">
        <f>R12/R5</f>
        <v>0.87195121951219512</v>
      </c>
      <c r="S13" s="191">
        <f t="shared" ref="S13" si="64">S12/S5</f>
        <v>0.84540276647681045</v>
      </c>
      <c r="T13" s="191">
        <f t="shared" ref="T13" si="65">T12/T5</f>
        <v>0.84744440109246977</v>
      </c>
      <c r="U13" s="286">
        <f>T13</f>
        <v>0.84744440109246977</v>
      </c>
      <c r="V13" s="285">
        <f t="shared" ref="V13" si="66">V12/V5</f>
        <v>0.85235158770457864</v>
      </c>
      <c r="W13" s="287">
        <f>U13</f>
        <v>0.84744440109246977</v>
      </c>
      <c r="X13" s="287">
        <f>W13</f>
        <v>0.84744440109246977</v>
      </c>
      <c r="Y13" s="287">
        <f t="shared" si="48"/>
        <v>0.84744440109246977</v>
      </c>
      <c r="Z13" s="287">
        <f t="shared" si="48"/>
        <v>0.84744440109246977</v>
      </c>
      <c r="AA13" s="285">
        <f t="shared" ref="AA13" si="67">AA12/AA5</f>
        <v>0.84744440109246977</v>
      </c>
      <c r="AB13" s="287">
        <f>AA13</f>
        <v>0.84744440109246977</v>
      </c>
      <c r="AC13" s="287">
        <f t="shared" ref="AC13:AD13" si="68">AB13</f>
        <v>0.84744440109246977</v>
      </c>
      <c r="AD13" s="286">
        <f t="shared" si="68"/>
        <v>0.84744440109246977</v>
      </c>
    </row>
    <row r="14" spans="1:30" s="278" customFormat="1" x14ac:dyDescent="0.25">
      <c r="B14" s="278" t="s">
        <v>194</v>
      </c>
      <c r="C14" s="278">
        <v>72.3</v>
      </c>
      <c r="D14" s="278">
        <v>57.9</v>
      </c>
      <c r="E14" s="278">
        <v>57.4</v>
      </c>
      <c r="F14" s="280">
        <v>57.2</v>
      </c>
      <c r="G14" s="282">
        <f t="shared" si="10"/>
        <v>244.8</v>
      </c>
      <c r="H14" s="278">
        <v>62.8</v>
      </c>
      <c r="I14" s="278">
        <v>57</v>
      </c>
      <c r="J14" s="278">
        <v>68</v>
      </c>
      <c r="K14" s="280">
        <v>45</v>
      </c>
      <c r="L14" s="282">
        <f t="shared" si="11"/>
        <v>232.8</v>
      </c>
      <c r="M14" s="278">
        <v>68</v>
      </c>
      <c r="N14" s="278">
        <v>69</v>
      </c>
      <c r="O14" s="278">
        <v>104</v>
      </c>
      <c r="P14" s="278">
        <v>98</v>
      </c>
      <c r="Q14" s="282">
        <f t="shared" si="12"/>
        <v>339</v>
      </c>
      <c r="R14" s="278">
        <v>140</v>
      </c>
      <c r="S14" s="278">
        <v>149</v>
      </c>
      <c r="T14" s="278">
        <v>135</v>
      </c>
      <c r="U14" s="278">
        <f>T14</f>
        <v>135</v>
      </c>
      <c r="V14" s="282">
        <f t="shared" si="13"/>
        <v>559</v>
      </c>
      <c r="W14" s="278">
        <f>U14</f>
        <v>135</v>
      </c>
      <c r="X14" s="278">
        <f>W14*1.05</f>
        <v>141.75</v>
      </c>
      <c r="Y14" s="278">
        <f t="shared" ref="Y14:Z14" si="69">X14*1.05</f>
        <v>148.83750000000001</v>
      </c>
      <c r="Z14" s="278">
        <f t="shared" si="69"/>
        <v>156.27937500000002</v>
      </c>
      <c r="AA14" s="282">
        <f t="shared" si="17"/>
        <v>581.86687499999994</v>
      </c>
      <c r="AB14" s="278">
        <f>AA14*1.05</f>
        <v>610.96021874999997</v>
      </c>
      <c r="AC14" s="278">
        <f t="shared" ref="AC14:AD14" si="70">AB14*1.05</f>
        <v>641.50822968750003</v>
      </c>
      <c r="AD14" s="280">
        <f t="shared" si="70"/>
        <v>673.58364117187512</v>
      </c>
    </row>
    <row r="15" spans="1:30" s="278" customFormat="1" x14ac:dyDescent="0.25">
      <c r="B15" s="278" t="s">
        <v>52</v>
      </c>
      <c r="C15" s="278">
        <f>92.7+584.3+60.5</f>
        <v>737.5</v>
      </c>
      <c r="D15" s="278">
        <f>93+611.2+886.1</f>
        <v>1590.3000000000002</v>
      </c>
      <c r="E15" s="278">
        <f>93.3+576.4+12.5</f>
        <v>682.19999999999993</v>
      </c>
      <c r="F15" s="280">
        <f>91.4+720.3+14.5</f>
        <v>826.19999999999993</v>
      </c>
      <c r="G15" s="282">
        <f t="shared" si="10"/>
        <v>3836.2</v>
      </c>
      <c r="H15" s="278">
        <f>99.3+553.3+128.6</f>
        <v>781.19999999999993</v>
      </c>
      <c r="I15" s="278">
        <f>95.2+567.5-35.8</f>
        <v>626.90000000000009</v>
      </c>
      <c r="J15" s="278">
        <f>97+584-25</f>
        <v>656</v>
      </c>
      <c r="K15" s="280">
        <f>91+731+31</f>
        <v>853</v>
      </c>
      <c r="L15" s="282">
        <f t="shared" si="11"/>
        <v>2917.1</v>
      </c>
      <c r="M15" s="278">
        <f>99+622-17</f>
        <v>704</v>
      </c>
      <c r="N15" s="278">
        <f>101+590+107</f>
        <v>798</v>
      </c>
      <c r="O15" s="278">
        <f>111+536+39</f>
        <v>686</v>
      </c>
      <c r="P15" s="278">
        <f>136+664+10</f>
        <v>810</v>
      </c>
      <c r="Q15" s="282">
        <f t="shared" si="12"/>
        <v>2998</v>
      </c>
      <c r="R15" s="278">
        <f>107+575+7</f>
        <v>689</v>
      </c>
      <c r="S15" s="278">
        <f>106+595+29</f>
        <v>730</v>
      </c>
      <c r="T15" s="278">
        <f>121+664-37</f>
        <v>748</v>
      </c>
      <c r="U15" s="278">
        <f>U16*U8</f>
        <v>723.04236064899601</v>
      </c>
      <c r="V15" s="282">
        <f t="shared" si="13"/>
        <v>2890.0423606489958</v>
      </c>
      <c r="W15" s="278">
        <f t="shared" ref="W15:Z15" si="71">W16*W8</f>
        <v>763.71576000000005</v>
      </c>
      <c r="X15" s="278">
        <f t="shared" si="71"/>
        <v>865.48559999999998</v>
      </c>
      <c r="Y15" s="278">
        <f t="shared" si="71"/>
        <v>897.77153999999985</v>
      </c>
      <c r="Z15" s="278">
        <f t="shared" si="71"/>
        <v>871.85805922569602</v>
      </c>
      <c r="AA15" s="282">
        <f t="shared" si="17"/>
        <v>3398.8309592256956</v>
      </c>
      <c r="AB15" s="278">
        <f t="shared" ref="AB15" si="72">AB16*AB8</f>
        <v>3601.827642465596</v>
      </c>
      <c r="AC15" s="278">
        <f t="shared" ref="AC15" si="73">AC16*AC8</f>
        <v>3817.1548859886066</v>
      </c>
      <c r="AD15" s="280">
        <f t="shared" ref="AD15" si="74">AD16*AD8</f>
        <v>4045.5744159102219</v>
      </c>
    </row>
    <row r="16" spans="1:30" s="191" customFormat="1" x14ac:dyDescent="0.25">
      <c r="B16" s="191" t="s">
        <v>224</v>
      </c>
      <c r="C16" s="191">
        <f>C15/C8</f>
        <v>0.13017156170573282</v>
      </c>
      <c r="D16" s="191">
        <f t="shared" ref="D16:G16" si="75">D15/D8</f>
        <v>0.27810226636821489</v>
      </c>
      <c r="E16" s="191">
        <f t="shared" si="75"/>
        <v>0.11617649563188635</v>
      </c>
      <c r="F16" s="191">
        <f t="shared" si="75"/>
        <v>0.13940774487471524</v>
      </c>
      <c r="G16" s="285">
        <f t="shared" si="75"/>
        <v>0.16547755644319445</v>
      </c>
      <c r="H16" s="191">
        <f>H15/H8</f>
        <v>0.13245469695199649</v>
      </c>
      <c r="I16" s="191">
        <f t="shared" ref="I16" si="76">I15/I8</f>
        <v>9.6478921483421617E-2</v>
      </c>
      <c r="J16" s="191">
        <f t="shared" ref="J16" si="77">J15/J8</f>
        <v>9.8018627812465717E-2</v>
      </c>
      <c r="K16" s="191">
        <f t="shared" ref="K16" si="78">K15/K8</f>
        <v>0.13315263865454521</v>
      </c>
      <c r="L16" s="285">
        <f t="shared" ref="L16" si="79">L15/L8</f>
        <v>0.11442386376130358</v>
      </c>
      <c r="M16" s="191">
        <f>M15/M8</f>
        <v>0.1141171963456457</v>
      </c>
      <c r="N16" s="191">
        <f t="shared" ref="N16" si="80">N15/N8</f>
        <v>0.12295856332901001</v>
      </c>
      <c r="O16" s="191">
        <f t="shared" ref="O16" si="81">O15/O8</f>
        <v>9.9795598961546272E-2</v>
      </c>
      <c r="P16" s="191">
        <f t="shared" ref="P16" si="82">P15/P8</f>
        <v>0.12680110969304187</v>
      </c>
      <c r="Q16" s="285">
        <f t="shared" ref="Q16" si="83">Q15/Q8</f>
        <v>0.11565901915520158</v>
      </c>
      <c r="R16" s="191">
        <f>R15/R8</f>
        <v>0.11570325491570155</v>
      </c>
      <c r="S16" s="191">
        <f t="shared" ref="S16" si="84">S15/S8</f>
        <v>0.10667729627969287</v>
      </c>
      <c r="T16" s="191">
        <f t="shared" ref="T16" si="85">T15/T8</f>
        <v>0.10569404495687872</v>
      </c>
      <c r="U16" s="286">
        <f>T16</f>
        <v>0.10569404495687872</v>
      </c>
      <c r="V16" s="285">
        <f t="shared" ref="V16" si="86">V15/V8</f>
        <v>0.1081772921128803</v>
      </c>
      <c r="W16" s="287">
        <v>0.12</v>
      </c>
      <c r="X16" s="287">
        <f>W16</f>
        <v>0.12</v>
      </c>
      <c r="Y16" s="287">
        <f t="shared" ref="Y16:Z16" si="87">X16</f>
        <v>0.12</v>
      </c>
      <c r="Z16" s="287">
        <f t="shared" si="87"/>
        <v>0.12</v>
      </c>
      <c r="AA16" s="285">
        <f t="shared" ref="AA16" si="88">AA15/AA8</f>
        <v>0.12000161068730911</v>
      </c>
      <c r="AB16" s="287">
        <f>AA16</f>
        <v>0.12000161068730911</v>
      </c>
      <c r="AC16" s="287">
        <f t="shared" ref="AC16:AD16" si="89">AB16</f>
        <v>0.12000161068730911</v>
      </c>
      <c r="AD16" s="286">
        <f t="shared" si="89"/>
        <v>0.12000161068730911</v>
      </c>
    </row>
    <row r="17" spans="1:30" s="191" customFormat="1" x14ac:dyDescent="0.25">
      <c r="F17" s="284"/>
      <c r="G17" s="285"/>
      <c r="K17" s="284"/>
      <c r="L17" s="285"/>
      <c r="Q17" s="285"/>
      <c r="V17" s="285"/>
      <c r="AA17" s="285"/>
      <c r="AD17" s="284"/>
    </row>
    <row r="18" spans="1:30" s="279" customFormat="1" x14ac:dyDescent="0.25">
      <c r="A18" s="279" t="s">
        <v>195</v>
      </c>
      <c r="C18" s="279">
        <f t="shared" ref="C18:AD18" si="90">C8-SUM(C10:C15)</f>
        <v>2311.5700744756973</v>
      </c>
      <c r="D18" s="279">
        <f t="shared" si="90"/>
        <v>1710.7954503079727</v>
      </c>
      <c r="E18" s="279">
        <f t="shared" si="90"/>
        <v>2762.9020243454756</v>
      </c>
      <c r="F18" s="281">
        <f t="shared" si="90"/>
        <v>2581.6908473246808</v>
      </c>
      <c r="G18" s="283">
        <f t="shared" si="90"/>
        <v>9369.9897374283864</v>
      </c>
      <c r="H18" s="279">
        <f t="shared" si="90"/>
        <v>2531.4342344968777</v>
      </c>
      <c r="I18" s="279">
        <f t="shared" si="90"/>
        <v>3103.3943077702224</v>
      </c>
      <c r="J18" s="279">
        <f t="shared" si="90"/>
        <v>3207.215667896724</v>
      </c>
      <c r="K18" s="281">
        <f t="shared" si="90"/>
        <v>2799.1793912302842</v>
      </c>
      <c r="L18" s="283">
        <f t="shared" si="90"/>
        <v>11643.603295468285</v>
      </c>
      <c r="M18" s="279">
        <f t="shared" si="90"/>
        <v>2734.0639986277142</v>
      </c>
      <c r="N18" s="279">
        <f t="shared" si="90"/>
        <v>2918.9888575206569</v>
      </c>
      <c r="O18" s="279">
        <f t="shared" si="90"/>
        <v>3189.0464534406001</v>
      </c>
      <c r="P18" s="279">
        <f t="shared" si="90"/>
        <v>2866.9404352314245</v>
      </c>
      <c r="Q18" s="283">
        <f t="shared" si="90"/>
        <v>11712.008761617601</v>
      </c>
      <c r="R18" s="279">
        <f t="shared" si="90"/>
        <v>2645.8473507635858</v>
      </c>
      <c r="S18" s="279">
        <f t="shared" si="90"/>
        <v>3231.0674337568225</v>
      </c>
      <c r="T18" s="279">
        <f t="shared" si="90"/>
        <v>3355.0305991886967</v>
      </c>
      <c r="U18" s="279">
        <f t="shared" si="90"/>
        <v>3243.353007536929</v>
      </c>
      <c r="V18" s="283">
        <f t="shared" si="90"/>
        <v>12478.239027800588</v>
      </c>
      <c r="W18" s="279">
        <f t="shared" si="90"/>
        <v>2931.1621799705022</v>
      </c>
      <c r="X18" s="279">
        <f t="shared" si="90"/>
        <v>3300.0566304173649</v>
      </c>
      <c r="Y18" s="279">
        <f t="shared" si="90"/>
        <v>3411.8123683378476</v>
      </c>
      <c r="Z18" s="279">
        <f t="shared" si="90"/>
        <v>3316.4487765428521</v>
      </c>
      <c r="AA18" s="283">
        <f t="shared" si="90"/>
        <v>12962.100064948592</v>
      </c>
      <c r="AB18" s="279">
        <f t="shared" si="90"/>
        <v>13667.500512259267</v>
      </c>
      <c r="AC18" s="279">
        <f t="shared" si="90"/>
        <v>14411.371598667949</v>
      </c>
      <c r="AD18" s="281">
        <f t="shared" si="90"/>
        <v>15195.815412346223</v>
      </c>
    </row>
    <row r="19" spans="1:30" s="191" customFormat="1" x14ac:dyDescent="0.25">
      <c r="A19" s="191" t="s">
        <v>226</v>
      </c>
      <c r="F19" s="284"/>
      <c r="G19" s="285"/>
      <c r="K19" s="284"/>
      <c r="L19" s="285"/>
      <c r="Q19" s="285"/>
      <c r="V19" s="285">
        <f>V18/V8</f>
        <v>0.46707346810708994</v>
      </c>
      <c r="AA19" s="285">
        <f>AA18/AA8</f>
        <v>0.45764938131499927</v>
      </c>
      <c r="AD19" s="284"/>
    </row>
    <row r="20" spans="1:30" s="278" customFormat="1" x14ac:dyDescent="0.25">
      <c r="B20" s="278" t="s">
        <v>33</v>
      </c>
      <c r="C20" s="278">
        <v>287.3</v>
      </c>
      <c r="D20" s="278">
        <v>290.60000000000002</v>
      </c>
      <c r="E20" s="278">
        <v>306.2</v>
      </c>
      <c r="F20" s="280">
        <v>322.89999999999998</v>
      </c>
      <c r="G20" s="282">
        <f t="shared" si="10"/>
        <v>1207</v>
      </c>
      <c r="H20" s="278">
        <v>329.7</v>
      </c>
      <c r="I20" s="278">
        <v>330.2</v>
      </c>
      <c r="J20" s="278">
        <v>341</v>
      </c>
      <c r="K20" s="280">
        <v>360</v>
      </c>
      <c r="L20" s="282">
        <f t="shared" si="11"/>
        <v>1360.9</v>
      </c>
      <c r="M20" s="278">
        <v>372</v>
      </c>
      <c r="N20" s="278">
        <v>373</v>
      </c>
      <c r="O20" s="278">
        <v>381</v>
      </c>
      <c r="P20" s="278">
        <v>380</v>
      </c>
      <c r="Q20" s="282">
        <f t="shared" si="12"/>
        <v>1506</v>
      </c>
      <c r="R20" s="278">
        <v>376</v>
      </c>
      <c r="S20" s="278">
        <v>390</v>
      </c>
      <c r="T20" s="278">
        <v>406</v>
      </c>
      <c r="V20" s="282">
        <f t="shared" si="13"/>
        <v>1172</v>
      </c>
      <c r="AA20" s="282">
        <f t="shared" si="17"/>
        <v>0</v>
      </c>
      <c r="AD20" s="280"/>
    </row>
    <row r="21" spans="1:30" s="278" customFormat="1" x14ac:dyDescent="0.25">
      <c r="A21" s="278" t="s">
        <v>86</v>
      </c>
      <c r="C21" s="278">
        <f t="shared" ref="C21:AD21" si="91">C18-C20</f>
        <v>2024.2700744756974</v>
      </c>
      <c r="D21" s="278">
        <f t="shared" si="91"/>
        <v>1420.1954503079728</v>
      </c>
      <c r="E21" s="278">
        <f t="shared" si="91"/>
        <v>2456.7020243454758</v>
      </c>
      <c r="F21" s="280">
        <f t="shared" si="91"/>
        <v>2258.7908473246807</v>
      </c>
      <c r="G21" s="282">
        <f t="shared" si="91"/>
        <v>8162.9897374283864</v>
      </c>
      <c r="H21" s="278">
        <f t="shared" si="91"/>
        <v>2201.7342344968779</v>
      </c>
      <c r="I21" s="278">
        <f t="shared" si="91"/>
        <v>2773.1943077702226</v>
      </c>
      <c r="J21" s="278">
        <f t="shared" si="91"/>
        <v>2866.215667896724</v>
      </c>
      <c r="K21" s="280">
        <f t="shared" si="91"/>
        <v>2439.1793912302842</v>
      </c>
      <c r="L21" s="282">
        <f t="shared" si="91"/>
        <v>10282.703295468285</v>
      </c>
      <c r="M21" s="278">
        <f t="shared" si="91"/>
        <v>2362.0639986277142</v>
      </c>
      <c r="N21" s="278">
        <f t="shared" si="91"/>
        <v>2545.9888575206569</v>
      </c>
      <c r="O21" s="278">
        <f t="shared" si="91"/>
        <v>2808.0464534406001</v>
      </c>
      <c r="P21" s="278">
        <f t="shared" si="91"/>
        <v>2486.9404352314245</v>
      </c>
      <c r="Q21" s="282">
        <f t="shared" si="91"/>
        <v>10206.008761617601</v>
      </c>
      <c r="R21" s="278">
        <f t="shared" si="91"/>
        <v>2269.8473507635858</v>
      </c>
      <c r="S21" s="278">
        <f t="shared" si="91"/>
        <v>2841.0674337568225</v>
      </c>
      <c r="T21" s="278">
        <f t="shared" si="91"/>
        <v>2949.0305991886967</v>
      </c>
      <c r="U21" s="278">
        <f t="shared" si="91"/>
        <v>3243.353007536929</v>
      </c>
      <c r="V21" s="282">
        <f t="shared" si="91"/>
        <v>11306.239027800588</v>
      </c>
      <c r="W21" s="278">
        <f t="shared" si="91"/>
        <v>2931.1621799705022</v>
      </c>
      <c r="X21" s="278">
        <f t="shared" si="91"/>
        <v>3300.0566304173649</v>
      </c>
      <c r="Y21" s="278">
        <f t="shared" si="91"/>
        <v>3411.8123683378476</v>
      </c>
      <c r="Z21" s="278">
        <f t="shared" si="91"/>
        <v>3316.4487765428521</v>
      </c>
      <c r="AA21" s="282">
        <f t="shared" si="91"/>
        <v>12962.100064948592</v>
      </c>
      <c r="AB21" s="278">
        <f t="shared" si="91"/>
        <v>13667.500512259267</v>
      </c>
      <c r="AC21" s="278">
        <f t="shared" si="91"/>
        <v>14411.371598667949</v>
      </c>
      <c r="AD21" s="280">
        <f t="shared" si="91"/>
        <v>15195.815412346223</v>
      </c>
    </row>
    <row r="22" spans="1:30" s="191" customFormat="1" x14ac:dyDescent="0.25">
      <c r="B22" s="191" t="s">
        <v>225</v>
      </c>
      <c r="C22" s="191">
        <f>C23/C21</f>
        <v>0.21578148366054109</v>
      </c>
      <c r="D22" s="191">
        <f t="shared" ref="D22:G22" si="92">D23/D21</f>
        <v>0.15568279700660492</v>
      </c>
      <c r="E22" s="191">
        <f t="shared" si="92"/>
        <v>0.22574980380364149</v>
      </c>
      <c r="F22" s="191">
        <f t="shared" si="92"/>
        <v>0.19280226875180037</v>
      </c>
      <c r="G22" s="285">
        <f t="shared" si="92"/>
        <v>0.20188681512653411</v>
      </c>
      <c r="H22" s="191">
        <f>H23/H21</f>
        <v>0.21106089586974577</v>
      </c>
      <c r="I22" s="191">
        <f t="shared" ref="I22" si="93">I23/I21</f>
        <v>0.1825692482425037</v>
      </c>
      <c r="J22" s="191">
        <f t="shared" ref="J22" si="94">J23/J21</f>
        <v>0.21142861187577441</v>
      </c>
      <c r="K22" s="191">
        <f t="shared" ref="K22" si="95">K23/K21</f>
        <v>0.19514759829120767</v>
      </c>
      <c r="L22" s="285">
        <f t="shared" ref="L22" si="96">L23/L21</f>
        <v>0.199655668456833</v>
      </c>
      <c r="M22" s="191">
        <f>M23/M21</f>
        <v>0.2027887475861298</v>
      </c>
      <c r="N22" s="191">
        <f t="shared" ref="N22" si="97">N23/N21</f>
        <v>0.20934891306596204</v>
      </c>
      <c r="O22" s="191">
        <f t="shared" ref="O22" si="98">O23/O21</f>
        <v>0.20939824527459094</v>
      </c>
      <c r="P22" s="191">
        <f t="shared" ref="P22" si="99">P23/P21</f>
        <v>0.20949436207607355</v>
      </c>
      <c r="Q22" s="285">
        <f t="shared" ref="Q22" si="100">Q23/Q21</f>
        <v>0.20781875163350655</v>
      </c>
      <c r="R22" s="191">
        <f>R23/R21</f>
        <v>0.20309735799850934</v>
      </c>
      <c r="S22" s="191">
        <f t="shared" ref="S22" si="101">S23/S21</f>
        <v>0.21400407212299943</v>
      </c>
      <c r="T22" s="191">
        <f t="shared" ref="T22" si="102">T23/T21</f>
        <v>0.22753239664064448</v>
      </c>
      <c r="U22" s="286">
        <v>0.22</v>
      </c>
      <c r="V22" s="285">
        <f t="shared" ref="V22" si="103">V23/V21</f>
        <v>0.2170074111846734</v>
      </c>
      <c r="W22" s="287">
        <v>0.22</v>
      </c>
      <c r="X22" s="287">
        <v>0.22</v>
      </c>
      <c r="Y22" s="287">
        <v>0.22</v>
      </c>
      <c r="Z22" s="286">
        <v>0.22</v>
      </c>
      <c r="AA22" s="285">
        <f t="shared" ref="AA22" si="104">AA23/AA21</f>
        <v>0.21995553003550986</v>
      </c>
      <c r="AB22" s="287">
        <v>0.22</v>
      </c>
      <c r="AC22" s="287">
        <v>0.22</v>
      </c>
      <c r="AD22" s="286">
        <v>0.22</v>
      </c>
    </row>
    <row r="23" spans="1:30" s="278" customFormat="1" x14ac:dyDescent="0.25">
      <c r="B23" s="278" t="s">
        <v>196</v>
      </c>
      <c r="C23" s="278">
        <v>436.8</v>
      </c>
      <c r="D23" s="278">
        <v>221.1</v>
      </c>
      <c r="E23" s="278">
        <v>554.6</v>
      </c>
      <c r="F23" s="280">
        <v>435.5</v>
      </c>
      <c r="G23" s="282">
        <f t="shared" si="10"/>
        <v>1648</v>
      </c>
      <c r="H23" s="278">
        <v>464.7</v>
      </c>
      <c r="I23" s="278">
        <v>506.3</v>
      </c>
      <c r="J23" s="278">
        <v>606</v>
      </c>
      <c r="K23" s="280">
        <v>476</v>
      </c>
      <c r="L23" s="282">
        <f t="shared" si="11"/>
        <v>2053</v>
      </c>
      <c r="M23" s="278">
        <v>479</v>
      </c>
      <c r="N23" s="278">
        <v>533</v>
      </c>
      <c r="O23" s="278">
        <v>588</v>
      </c>
      <c r="P23" s="278">
        <v>521</v>
      </c>
      <c r="Q23" s="282">
        <f t="shared" si="12"/>
        <v>2121</v>
      </c>
      <c r="R23" s="278">
        <v>461</v>
      </c>
      <c r="S23" s="278">
        <v>608</v>
      </c>
      <c r="T23" s="278">
        <v>671</v>
      </c>
      <c r="U23" s="278">
        <f>U21*U22</f>
        <v>713.53766165812442</v>
      </c>
      <c r="V23" s="282">
        <f t="shared" si="13"/>
        <v>2453.5376616581243</v>
      </c>
      <c r="W23" s="278">
        <f t="shared" ref="W23:Z23" si="105">W21*W22</f>
        <v>644.85567959351044</v>
      </c>
      <c r="X23" s="278">
        <f t="shared" si="105"/>
        <v>726.01245869182026</v>
      </c>
      <c r="Y23" s="278">
        <f t="shared" si="105"/>
        <v>750.59872103432645</v>
      </c>
      <c r="Z23" s="278">
        <f t="shared" si="105"/>
        <v>729.61873083942749</v>
      </c>
      <c r="AA23" s="282">
        <f t="shared" si="17"/>
        <v>2851.0855901590844</v>
      </c>
      <c r="AB23" s="278">
        <f t="shared" ref="AB23" si="106">AB21*AB22</f>
        <v>3006.8501126970386</v>
      </c>
      <c r="AC23" s="278">
        <f t="shared" ref="AC23" si="107">AC21*AC22</f>
        <v>3170.5017517069487</v>
      </c>
      <c r="AD23" s="280">
        <f t="shared" ref="AD23" si="108">AD21*AD22</f>
        <v>3343.0793907161692</v>
      </c>
    </row>
    <row r="24" spans="1:30" s="278" customFormat="1" x14ac:dyDescent="0.25">
      <c r="A24" s="278" t="s">
        <v>20</v>
      </c>
      <c r="C24" s="278">
        <f t="shared" ref="C24:S24" si="109">C21-C23</f>
        <v>1587.4700744756974</v>
      </c>
      <c r="D24" s="278">
        <f t="shared" si="109"/>
        <v>1199.0954503079729</v>
      </c>
      <c r="E24" s="278">
        <f t="shared" si="109"/>
        <v>1902.1020243454759</v>
      </c>
      <c r="F24" s="280">
        <f t="shared" si="109"/>
        <v>1823.2908473246807</v>
      </c>
      <c r="G24" s="282">
        <f t="shared" si="109"/>
        <v>6514.9897374283864</v>
      </c>
      <c r="H24" s="278">
        <f t="shared" si="109"/>
        <v>1737.0342344968778</v>
      </c>
      <c r="I24" s="278">
        <f t="shared" si="109"/>
        <v>2266.8943077702224</v>
      </c>
      <c r="J24" s="278">
        <f t="shared" si="109"/>
        <v>2260.215667896724</v>
      </c>
      <c r="K24" s="280">
        <f t="shared" si="109"/>
        <v>1963.1793912302842</v>
      </c>
      <c r="L24" s="282">
        <f t="shared" si="109"/>
        <v>8229.7032954682854</v>
      </c>
      <c r="M24" s="278">
        <f t="shared" si="109"/>
        <v>1883.0639986277142</v>
      </c>
      <c r="N24" s="278">
        <f t="shared" si="109"/>
        <v>2012.9888575206569</v>
      </c>
      <c r="O24" s="278">
        <f t="shared" si="109"/>
        <v>2220.0464534406001</v>
      </c>
      <c r="P24" s="278">
        <f t="shared" si="109"/>
        <v>1965.9404352314245</v>
      </c>
      <c r="Q24" s="282">
        <f t="shared" si="109"/>
        <v>8085.0087616176006</v>
      </c>
      <c r="R24" s="278">
        <f t="shared" si="109"/>
        <v>1808.8473507635858</v>
      </c>
      <c r="S24" s="278">
        <f t="shared" si="109"/>
        <v>2233.0674337568225</v>
      </c>
      <c r="T24" s="278">
        <f>T21-T23</f>
        <v>2278.0305991886967</v>
      </c>
      <c r="U24" s="278">
        <f t="shared" ref="U24:AD24" si="110">U21-U23</f>
        <v>2529.8153458788047</v>
      </c>
      <c r="V24" s="282">
        <f t="shared" si="110"/>
        <v>8852.7013661424644</v>
      </c>
      <c r="W24" s="278">
        <f t="shared" si="110"/>
        <v>2286.3065003769916</v>
      </c>
      <c r="X24" s="278">
        <f t="shared" si="110"/>
        <v>2574.0441717255444</v>
      </c>
      <c r="Y24" s="278">
        <f t="shared" si="110"/>
        <v>2661.2136473035212</v>
      </c>
      <c r="Z24" s="278">
        <f t="shared" si="110"/>
        <v>2586.8300457034247</v>
      </c>
      <c r="AA24" s="282">
        <f t="shared" si="110"/>
        <v>10111.014474789508</v>
      </c>
      <c r="AB24" s="278">
        <f t="shared" si="110"/>
        <v>10660.650399562228</v>
      </c>
      <c r="AC24" s="278">
        <f t="shared" si="110"/>
        <v>11240.869846961001</v>
      </c>
      <c r="AD24" s="288">
        <f t="shared" si="110"/>
        <v>11852.736021630053</v>
      </c>
    </row>
    <row r="25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9"/>
  <sheetViews>
    <sheetView showGridLines="0" zoomScaleNormal="100" workbookViewId="0">
      <selection activeCell="D5" sqref="D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126</v>
      </c>
      <c r="B2" s="260" t="s">
        <v>127</v>
      </c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196"/>
      <c r="L2" s="196"/>
    </row>
    <row r="3" spans="1:20" x14ac:dyDescent="0.25">
      <c r="A3" s="85"/>
      <c r="B3" s="159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20" x14ac:dyDescent="0.25">
      <c r="B4" s="93" t="s">
        <v>133</v>
      </c>
      <c r="C4"/>
      <c r="D4" s="257">
        <v>1</v>
      </c>
      <c r="E4"/>
      <c r="F4"/>
      <c r="G4" s="88"/>
      <c r="H4" s="88"/>
      <c r="I4" s="88"/>
      <c r="J4" s="88"/>
      <c r="K4" s="88"/>
      <c r="M4" s="231"/>
      <c r="N4" s="232"/>
      <c r="O4" s="232"/>
    </row>
    <row r="5" spans="1:20" x14ac:dyDescent="0.25">
      <c r="B5" s="87"/>
      <c r="C5" s="89"/>
      <c r="D5" s="112" t="s">
        <v>128</v>
      </c>
      <c r="E5" s="90"/>
      <c r="K5" s="88"/>
      <c r="M5" s="233"/>
      <c r="N5" s="234"/>
      <c r="O5" s="234"/>
    </row>
    <row r="6" spans="1:20" x14ac:dyDescent="0.25">
      <c r="B6" s="91" t="s">
        <v>134</v>
      </c>
      <c r="D6" s="100">
        <v>0</v>
      </c>
      <c r="E6" s="92"/>
      <c r="F6" s="100">
        <f>'Quarterly Projections'!V9</f>
        <v>3.0661323088819081E-2</v>
      </c>
      <c r="G6" s="100">
        <f>'Quarterly Projections'!AA9</f>
        <v>6.0167258832973802E-2</v>
      </c>
      <c r="H6" s="100">
        <f>'Quarterly Projections'!AB9</f>
        <v>5.9725442563976827E-2</v>
      </c>
      <c r="I6" s="100">
        <f>'Quarterly Projections'!AC9</f>
        <v>5.9782772774660042E-2</v>
      </c>
      <c r="J6" s="100">
        <f>'Quarterly Projections'!AD9</f>
        <v>5.9840257140222564E-2</v>
      </c>
      <c r="K6" s="171"/>
      <c r="M6" s="171"/>
      <c r="N6" s="235"/>
      <c r="O6" s="235"/>
      <c r="P6" s="235"/>
      <c r="Q6" s="235"/>
      <c r="R6" s="235"/>
      <c r="S6" s="235"/>
      <c r="T6" s="235"/>
    </row>
    <row r="7" spans="1:20" x14ac:dyDescent="0.25">
      <c r="B7" s="4" t="s">
        <v>130</v>
      </c>
      <c r="D7" s="100">
        <v>2.5000000000000001E-2</v>
      </c>
      <c r="E7" s="92"/>
      <c r="F7" s="100">
        <f>F6+$D$7</f>
        <v>5.5661323088819083E-2</v>
      </c>
      <c r="G7" s="100">
        <f t="shared" ref="G7:J7" si="1">G6+$D$7</f>
        <v>8.5167258832973797E-2</v>
      </c>
      <c r="H7" s="100">
        <f t="shared" si="1"/>
        <v>8.4725442563976822E-2</v>
      </c>
      <c r="I7" s="100">
        <f t="shared" si="1"/>
        <v>8.4782772774660037E-2</v>
      </c>
      <c r="J7" s="100">
        <f t="shared" si="1"/>
        <v>8.4840257140222558E-2</v>
      </c>
      <c r="K7" s="171"/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129</v>
      </c>
      <c r="D8" s="100">
        <v>-2.5000000000000001E-2</v>
      </c>
      <c r="E8" s="92"/>
      <c r="F8" s="100">
        <f>F6+$D$8</f>
        <v>5.6613230888190799E-3</v>
      </c>
      <c r="G8" s="100">
        <f t="shared" ref="G8:J8" si="2">G6+$D$8</f>
        <v>3.5167258832973801E-2</v>
      </c>
      <c r="H8" s="100">
        <f t="shared" si="2"/>
        <v>3.4725442563976826E-2</v>
      </c>
      <c r="I8" s="100">
        <f t="shared" si="2"/>
        <v>3.4782772774660041E-2</v>
      </c>
      <c r="J8" s="100">
        <f t="shared" si="2"/>
        <v>3.4840257140222562E-2</v>
      </c>
      <c r="K8" s="171"/>
    </row>
    <row r="9" spans="1:20" x14ac:dyDescent="0.25">
      <c r="K9" s="30"/>
      <c r="L9" s="30"/>
      <c r="M9" s="171"/>
      <c r="N9" s="171"/>
    </row>
    <row r="10" spans="1:20" x14ac:dyDescent="0.25">
      <c r="B10" s="117" t="s">
        <v>150</v>
      </c>
      <c r="C10" s="191"/>
      <c r="D10" s="272">
        <f>IncState!D16/IncState!C16-1</f>
        <v>9.9695801305235143E-2</v>
      </c>
      <c r="E10" s="192">
        <f>IncState!E16/IncState!D16-1</f>
        <v>1.6757570754510898E-2</v>
      </c>
      <c r="F10" s="104">
        <f t="shared" ref="F10" si="3">CHOOSE(ScenarioREV,F6,F7,F8)</f>
        <v>3.0661323088819081E-2</v>
      </c>
      <c r="G10" s="104">
        <f t="shared" ref="G10:J10" si="4">CHOOSE(ScenarioREV,G6,G7,G8)</f>
        <v>6.0167258832973802E-2</v>
      </c>
      <c r="H10" s="104">
        <f t="shared" si="4"/>
        <v>5.9725442563976827E-2</v>
      </c>
      <c r="I10" s="104">
        <f t="shared" si="4"/>
        <v>5.9782772774660042E-2</v>
      </c>
      <c r="J10" s="104">
        <f t="shared" si="4"/>
        <v>5.9840257140222564E-2</v>
      </c>
      <c r="K10" s="29"/>
      <c r="L10" s="29"/>
      <c r="M10" s="171"/>
      <c r="N10" s="171"/>
    </row>
    <row r="11" spans="1:20" x14ac:dyDescent="0.25">
      <c r="B11" s="4" t="s">
        <v>135</v>
      </c>
      <c r="C11" s="8">
        <f>IncState!C17/IncState!C16</f>
        <v>0.58521477314882708</v>
      </c>
      <c r="D11" s="8">
        <f>IncState!D17/IncState!D16</f>
        <v>0.42881393199579948</v>
      </c>
      <c r="E11" s="8">
        <f>IncState!E17/IncState!E16</f>
        <v>0.53504834445079741</v>
      </c>
      <c r="F11" s="100">
        <f>E11</f>
        <v>0.53504834445079741</v>
      </c>
      <c r="G11" s="100">
        <f t="shared" ref="G11:J11" si="5">F11</f>
        <v>0.53504834445079741</v>
      </c>
      <c r="H11" s="100">
        <f t="shared" si="5"/>
        <v>0.53504834445079741</v>
      </c>
      <c r="I11" s="100">
        <f t="shared" si="5"/>
        <v>0.53504834445079741</v>
      </c>
      <c r="J11" s="100">
        <f t="shared" si="5"/>
        <v>0.53504834445079741</v>
      </c>
      <c r="K11" s="171"/>
      <c r="L11" s="171"/>
      <c r="M11" s="171"/>
      <c r="N11" s="171"/>
    </row>
    <row r="12" spans="1:20" x14ac:dyDescent="0.25">
      <c r="B12" s="4" t="s">
        <v>45</v>
      </c>
      <c r="C12" s="8">
        <f>IncState!C18/IncState!C16</f>
        <v>0.16547755644319445</v>
      </c>
      <c r="D12" s="8">
        <f>IncState!D18/IncState!D16</f>
        <v>0.11442386376130358</v>
      </c>
      <c r="E12" s="8">
        <f>IncState!E18/IncState!E16</f>
        <v>0.11565901915520158</v>
      </c>
      <c r="F12" s="100">
        <f>E12</f>
        <v>0.11565901915520158</v>
      </c>
      <c r="G12" s="100">
        <f t="shared" ref="G12:J12" si="6">F12</f>
        <v>0.11565901915520158</v>
      </c>
      <c r="H12" s="100">
        <f t="shared" si="6"/>
        <v>0.11565901915520158</v>
      </c>
      <c r="I12" s="100">
        <f t="shared" si="6"/>
        <v>0.11565901915520158</v>
      </c>
      <c r="J12" s="100">
        <f t="shared" si="6"/>
        <v>0.11565901915520158</v>
      </c>
      <c r="K12" s="171"/>
      <c r="L12" s="171"/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1">
        <f>E13</f>
        <v>0</v>
      </c>
      <c r="G13" s="101">
        <f t="shared" ref="G13:J13" si="7">F13</f>
        <v>0</v>
      </c>
      <c r="H13" s="101">
        <f t="shared" si="7"/>
        <v>0</v>
      </c>
      <c r="I13" s="101">
        <f t="shared" si="7"/>
        <v>0</v>
      </c>
      <c r="J13" s="101">
        <f t="shared" si="7"/>
        <v>0</v>
      </c>
      <c r="K13" s="197"/>
      <c r="L13" s="197"/>
    </row>
    <row r="14" spans="1:20" x14ac:dyDescent="0.25">
      <c r="B14" s="4" t="s">
        <v>138</v>
      </c>
      <c r="C14" s="4">
        <f>IncState!C25</f>
        <v>0</v>
      </c>
      <c r="D14" s="4">
        <f>IncState!D25</f>
        <v>0</v>
      </c>
      <c r="E14" s="4">
        <f>IncState!E25</f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97"/>
      <c r="L14" s="197"/>
    </row>
    <row r="15" spans="1:20" x14ac:dyDescent="0.25">
      <c r="B15" s="4" t="s">
        <v>140</v>
      </c>
      <c r="C15" s="4">
        <f>IncState!C26</f>
        <v>0</v>
      </c>
      <c r="D15" s="4">
        <f>IncState!D26</f>
        <v>0</v>
      </c>
      <c r="E15" s="4">
        <f>IncState!E26</f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97"/>
      <c r="L15" s="197"/>
    </row>
    <row r="16" spans="1:20" x14ac:dyDescent="0.25">
      <c r="B16" s="4" t="s">
        <v>48</v>
      </c>
      <c r="C16" s="8">
        <f>IncState!C33/IncState!C31</f>
        <v>0.33553220946331119</v>
      </c>
      <c r="D16" s="8">
        <f>IncState!D33/IncState!D31</f>
        <v>0.19515936551699795</v>
      </c>
      <c r="E16" s="8">
        <f>IncState!E33/IncState!E31</f>
        <v>0.27591958919020609</v>
      </c>
      <c r="F16" s="100">
        <v>0.22</v>
      </c>
      <c r="G16" s="100">
        <f t="shared" ref="G16:J16" si="8">F16</f>
        <v>0.22</v>
      </c>
      <c r="H16" s="100">
        <f t="shared" si="8"/>
        <v>0.22</v>
      </c>
      <c r="I16" s="100">
        <f t="shared" si="8"/>
        <v>0.22</v>
      </c>
      <c r="J16" s="100">
        <f t="shared" si="8"/>
        <v>0.22</v>
      </c>
      <c r="K16" s="171"/>
      <c r="L16" s="171"/>
    </row>
    <row r="17" spans="1:12" s="263" customFormat="1" x14ac:dyDescent="0.25">
      <c r="B17" s="263" t="s">
        <v>141</v>
      </c>
      <c r="C17" s="263">
        <f>IncState!C35</f>
        <v>5.6591989137813989</v>
      </c>
      <c r="D17" s="263">
        <f>IncState!D35</f>
        <v>6.2275037779914824</v>
      </c>
      <c r="E17" s="263">
        <f>IncState!E35</f>
        <v>6.7798969789781429</v>
      </c>
      <c r="F17" s="264">
        <f>E17+(E17-D17)</f>
        <v>7.3322901799648035</v>
      </c>
      <c r="G17" s="264">
        <f t="shared" ref="G17:J17" si="9">F17+(F17-E17)</f>
        <v>7.884683380951464</v>
      </c>
      <c r="H17" s="264">
        <f t="shared" si="9"/>
        <v>8.4370765819381255</v>
      </c>
      <c r="I17" s="264">
        <f t="shared" si="9"/>
        <v>8.989469782924786</v>
      </c>
      <c r="J17" s="264">
        <f t="shared" si="9"/>
        <v>9.5418629839114466</v>
      </c>
      <c r="K17" s="265"/>
      <c r="L17" s="265"/>
    </row>
    <row r="18" spans="1:12" x14ac:dyDescent="0.25">
      <c r="B18" s="4" t="s">
        <v>49</v>
      </c>
      <c r="C18" s="4">
        <f>IncState!C38</f>
        <v>736.5</v>
      </c>
      <c r="D18" s="4">
        <f>IncState!D38</f>
        <v>727.9</v>
      </c>
      <c r="E18" s="4">
        <f>IncState!E38</f>
        <v>718.3</v>
      </c>
      <c r="F18" s="101">
        <f>E18</f>
        <v>718.3</v>
      </c>
      <c r="G18" s="101">
        <f t="shared" ref="G18:J18" si="10">F18</f>
        <v>718.3</v>
      </c>
      <c r="H18" s="101">
        <f t="shared" si="10"/>
        <v>718.3</v>
      </c>
      <c r="I18" s="101">
        <f t="shared" si="10"/>
        <v>718.3</v>
      </c>
      <c r="J18" s="101">
        <f t="shared" si="10"/>
        <v>718.3</v>
      </c>
      <c r="K18" s="197"/>
      <c r="L18" s="197"/>
    </row>
    <row r="19" spans="1:12" x14ac:dyDescent="0.25">
      <c r="B19" s="4" t="s">
        <v>50</v>
      </c>
      <c r="C19" s="4">
        <f>IncState!C39</f>
        <v>741.3</v>
      </c>
      <c r="D19" s="4">
        <f>IncState!D39</f>
        <v>732.3</v>
      </c>
      <c r="E19" s="4">
        <f>IncState!E39</f>
        <v>721.9</v>
      </c>
      <c r="F19" s="101">
        <f>E19</f>
        <v>721.9</v>
      </c>
      <c r="G19" s="101">
        <f t="shared" ref="G19:J19" si="11">F19</f>
        <v>721.9</v>
      </c>
      <c r="H19" s="101">
        <f t="shared" si="11"/>
        <v>721.9</v>
      </c>
      <c r="I19" s="101">
        <f t="shared" si="11"/>
        <v>721.9</v>
      </c>
      <c r="J19" s="101">
        <f t="shared" si="11"/>
        <v>721.9</v>
      </c>
      <c r="K19" s="197"/>
      <c r="L19" s="197"/>
    </row>
    <row r="20" spans="1:12" x14ac:dyDescent="0.25">
      <c r="F20" s="103"/>
      <c r="G20" s="103"/>
      <c r="H20" s="103"/>
      <c r="I20" s="103"/>
      <c r="J20" s="103"/>
      <c r="K20" s="171"/>
      <c r="L20" s="171"/>
    </row>
    <row r="21" spans="1:12" x14ac:dyDescent="0.25">
      <c r="A21" s="64" t="s">
        <v>126</v>
      </c>
      <c r="B21" s="106" t="s">
        <v>146</v>
      </c>
      <c r="C21" s="260">
        <f t="shared" ref="C21:J21" si="12">C2</f>
        <v>2022</v>
      </c>
      <c r="D21" s="260">
        <f t="shared" si="12"/>
        <v>2023</v>
      </c>
      <c r="E21" s="260">
        <f t="shared" si="12"/>
        <v>2024</v>
      </c>
      <c r="F21" s="260">
        <f t="shared" si="12"/>
        <v>2025</v>
      </c>
      <c r="G21" s="260">
        <f t="shared" si="12"/>
        <v>2026</v>
      </c>
      <c r="H21" s="260">
        <f t="shared" si="12"/>
        <v>2027</v>
      </c>
      <c r="I21" s="260">
        <f t="shared" si="12"/>
        <v>2028</v>
      </c>
      <c r="J21" s="260">
        <f t="shared" si="12"/>
        <v>2029</v>
      </c>
      <c r="K21" s="198"/>
      <c r="L21" s="198"/>
    </row>
    <row r="22" spans="1:12" x14ac:dyDescent="0.25">
      <c r="A22" s="85"/>
      <c r="B22" s="159"/>
      <c r="C22" s="196"/>
      <c r="D22" s="196"/>
      <c r="E22" s="196"/>
      <c r="F22" s="198"/>
      <c r="G22" s="198"/>
      <c r="H22" s="198"/>
      <c r="I22" s="198"/>
      <c r="J22" s="198"/>
      <c r="K22" s="198"/>
      <c r="L22" s="198"/>
    </row>
    <row r="23" spans="1:12" x14ac:dyDescent="0.25">
      <c r="B23" s="4" t="s">
        <v>139</v>
      </c>
      <c r="E23" s="8">
        <f>E24+0.04</f>
        <v>7.8E-2</v>
      </c>
      <c r="F23" s="100">
        <f>E23</f>
        <v>7.8E-2</v>
      </c>
      <c r="G23" s="100">
        <f t="shared" ref="G23:J23" si="13">F23</f>
        <v>7.8E-2</v>
      </c>
      <c r="H23" s="100">
        <f t="shared" si="13"/>
        <v>7.8E-2</v>
      </c>
      <c r="I23" s="100">
        <f t="shared" si="13"/>
        <v>7.8E-2</v>
      </c>
      <c r="J23" s="100">
        <f t="shared" si="13"/>
        <v>7.8E-2</v>
      </c>
      <c r="K23" s="171"/>
      <c r="L23" s="171"/>
    </row>
    <row r="24" spans="1:12" x14ac:dyDescent="0.25">
      <c r="B24" s="4" t="s">
        <v>26</v>
      </c>
      <c r="E24" s="8">
        <v>3.7999999999999999E-2</v>
      </c>
      <c r="F24" s="100">
        <v>0.05</v>
      </c>
      <c r="G24" s="100">
        <f t="shared" ref="G24:J24" si="14">F24</f>
        <v>0.05</v>
      </c>
      <c r="H24" s="100">
        <f t="shared" si="14"/>
        <v>0.05</v>
      </c>
      <c r="I24" s="100">
        <f t="shared" si="14"/>
        <v>0.05</v>
      </c>
      <c r="J24" s="100">
        <f t="shared" si="14"/>
        <v>0.05</v>
      </c>
      <c r="K24" s="171"/>
      <c r="L24" s="171"/>
    </row>
    <row r="25" spans="1:12" x14ac:dyDescent="0.25">
      <c r="B25" s="4" t="s">
        <v>27</v>
      </c>
      <c r="C25" s="8">
        <f>IncState!C28/SUM(BalSheet!C17:C18)</f>
        <v>0.13120210542611657</v>
      </c>
      <c r="D25" s="8">
        <f>IncState!D28/SUM(BalSheet!D17:D18)</f>
        <v>5.1539637475431319E-2</v>
      </c>
      <c r="E25" s="8">
        <f>IncState!E28/SUM(BalSheet!E17:E18)</f>
        <v>0.12811059907834102</v>
      </c>
      <c r="F25" s="126">
        <f>AVERAGE(C25:E25)</f>
        <v>0.10361744732662963</v>
      </c>
      <c r="G25" s="126">
        <f t="shared" ref="G25:J25" si="15">F25</f>
        <v>0.10361744732662963</v>
      </c>
      <c r="H25" s="126">
        <f t="shared" si="15"/>
        <v>0.10361744732662963</v>
      </c>
      <c r="I25" s="126">
        <f t="shared" si="15"/>
        <v>0.10361744732662963</v>
      </c>
      <c r="J25" s="126">
        <f t="shared" si="15"/>
        <v>0.10361744732662963</v>
      </c>
      <c r="K25" s="171"/>
      <c r="L25" s="171"/>
    </row>
    <row r="26" spans="1:12" x14ac:dyDescent="0.25">
      <c r="F26" s="103"/>
      <c r="G26" s="103"/>
      <c r="H26" s="103"/>
      <c r="I26" s="103"/>
      <c r="J26" s="103"/>
      <c r="K26" s="171"/>
      <c r="L26" s="171"/>
    </row>
    <row r="27" spans="1:12" x14ac:dyDescent="0.25">
      <c r="B27" s="4" t="s">
        <v>28</v>
      </c>
      <c r="E27" s="4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97"/>
      <c r="L27" s="197"/>
    </row>
    <row r="28" spans="1:12" x14ac:dyDescent="0.25">
      <c r="B28" s="4" t="s">
        <v>29</v>
      </c>
      <c r="E28" s="4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97"/>
      <c r="L28" s="197"/>
    </row>
    <row r="29" spans="1:12" x14ac:dyDescent="0.25">
      <c r="F29" s="103"/>
      <c r="G29" s="103"/>
      <c r="H29" s="103"/>
      <c r="I29" s="103"/>
      <c r="J29" s="103"/>
      <c r="K29" s="171"/>
      <c r="L29" s="171"/>
    </row>
    <row r="30" spans="1:12" x14ac:dyDescent="0.25">
      <c r="A30" s="64" t="s">
        <v>126</v>
      </c>
      <c r="B30" s="106" t="s">
        <v>143</v>
      </c>
      <c r="C30" s="260">
        <f>C21</f>
        <v>2022</v>
      </c>
      <c r="D30" s="260">
        <f t="shared" ref="D30:J30" si="16">D21</f>
        <v>2023</v>
      </c>
      <c r="E30" s="260">
        <f t="shared" si="16"/>
        <v>2024</v>
      </c>
      <c r="F30" s="260">
        <f t="shared" si="16"/>
        <v>2025</v>
      </c>
      <c r="G30" s="260">
        <f t="shared" si="16"/>
        <v>2026</v>
      </c>
      <c r="H30" s="260">
        <f t="shared" si="16"/>
        <v>2027</v>
      </c>
      <c r="I30" s="260">
        <f t="shared" si="16"/>
        <v>2028</v>
      </c>
      <c r="J30" s="260">
        <f t="shared" si="16"/>
        <v>2029</v>
      </c>
      <c r="K30" s="199"/>
      <c r="L30" s="199"/>
    </row>
    <row r="31" spans="1:12" x14ac:dyDescent="0.25">
      <c r="A31" s="85"/>
      <c r="B31" s="159"/>
      <c r="C31" s="196"/>
      <c r="D31" s="196"/>
      <c r="E31" s="196"/>
      <c r="F31" s="198"/>
      <c r="G31" s="198"/>
      <c r="H31" s="198"/>
      <c r="I31" s="198"/>
      <c r="J31" s="198"/>
      <c r="K31" s="199"/>
      <c r="L31" s="199"/>
    </row>
    <row r="32" spans="1:12" x14ac:dyDescent="0.25">
      <c r="B32" s="4" t="s">
        <v>144</v>
      </c>
      <c r="D32" s="8"/>
      <c r="E32" s="8"/>
      <c r="F32" s="221">
        <f>3200/IncState!F16</f>
        <v>0.11977932900730238</v>
      </c>
      <c r="G32" s="221">
        <f>F32-0.02</f>
        <v>9.9779329007302381E-2</v>
      </c>
      <c r="H32" s="221">
        <f t="shared" ref="H32:J32" si="17">G32-0.02</f>
        <v>7.9779329007302377E-2</v>
      </c>
      <c r="I32" s="221">
        <f t="shared" si="17"/>
        <v>5.9779329007302373E-2</v>
      </c>
      <c r="J32" s="221">
        <f t="shared" si="17"/>
        <v>3.9779329007302369E-2</v>
      </c>
      <c r="K32" s="171"/>
      <c r="L32" s="171"/>
    </row>
    <row r="33" spans="1:12" x14ac:dyDescent="0.25">
      <c r="B33" s="4" t="s">
        <v>156</v>
      </c>
      <c r="D33" s="8">
        <f>IncState!D21/BalSheet!C24</f>
        <v>1.0512035179543909E-2</v>
      </c>
      <c r="E33" s="8">
        <f>IncState!E21/BalSheet!D24</f>
        <v>1.1633959710582479E-2</v>
      </c>
      <c r="F33" s="100">
        <f>E33</f>
        <v>1.1633959710582479E-2</v>
      </c>
      <c r="G33" s="100">
        <f t="shared" ref="G33:J33" si="18">F33</f>
        <v>1.1633959710582479E-2</v>
      </c>
      <c r="H33" s="100">
        <f t="shared" si="18"/>
        <v>1.1633959710582479E-2</v>
      </c>
      <c r="I33" s="100">
        <f t="shared" si="18"/>
        <v>1.1633959710582479E-2</v>
      </c>
      <c r="J33" s="100">
        <f t="shared" si="18"/>
        <v>1.1633959710582479E-2</v>
      </c>
      <c r="K33" s="171"/>
      <c r="L33" s="171"/>
    </row>
    <row r="34" spans="1:12" x14ac:dyDescent="0.25">
      <c r="B34" s="4" t="s">
        <v>145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200"/>
      <c r="L34" s="200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126</v>
      </c>
      <c r="B36" s="106" t="s">
        <v>61</v>
      </c>
      <c r="C36" s="260">
        <f>C30</f>
        <v>2022</v>
      </c>
      <c r="D36" s="260">
        <f t="shared" ref="D36:J36" si="19">D30</f>
        <v>2023</v>
      </c>
      <c r="E36" s="260">
        <f t="shared" si="19"/>
        <v>2024</v>
      </c>
      <c r="F36" s="260">
        <f t="shared" si="19"/>
        <v>2025</v>
      </c>
      <c r="G36" s="260">
        <f t="shared" si="19"/>
        <v>2026</v>
      </c>
      <c r="H36" s="260">
        <f t="shared" si="19"/>
        <v>2027</v>
      </c>
      <c r="I36" s="260">
        <f t="shared" si="19"/>
        <v>2028</v>
      </c>
      <c r="J36" s="260">
        <f t="shared" si="19"/>
        <v>2029</v>
      </c>
      <c r="K36" s="199"/>
      <c r="L36" s="199"/>
    </row>
    <row r="37" spans="1:12" x14ac:dyDescent="0.25">
      <c r="A37" s="85"/>
      <c r="B37" s="159"/>
      <c r="C37" s="196"/>
      <c r="D37" s="196"/>
      <c r="E37" s="196"/>
      <c r="F37" s="258"/>
      <c r="G37" s="258"/>
      <c r="H37" s="258"/>
      <c r="I37" s="258"/>
      <c r="J37" s="258"/>
      <c r="K37" s="199"/>
      <c r="L37" s="199"/>
    </row>
    <row r="38" spans="1:12" s="263" customFormat="1" x14ac:dyDescent="0.25">
      <c r="B38" s="263" t="str">
        <f>B17</f>
        <v>Dividend Payout Rate</v>
      </c>
      <c r="C38" s="263">
        <f>C17</f>
        <v>5.6591989137813989</v>
      </c>
      <c r="D38" s="263">
        <f t="shared" ref="D38:E38" si="20">D17</f>
        <v>6.2275037779914824</v>
      </c>
      <c r="E38" s="263">
        <f t="shared" si="20"/>
        <v>6.7798969789781429</v>
      </c>
      <c r="F38" s="264">
        <f>F17</f>
        <v>7.3322901799648035</v>
      </c>
      <c r="G38" s="264">
        <f t="shared" ref="G38:J38" si="21">G17</f>
        <v>7.884683380951464</v>
      </c>
      <c r="H38" s="264">
        <f t="shared" si="21"/>
        <v>8.4370765819381255</v>
      </c>
      <c r="I38" s="264">
        <f t="shared" si="21"/>
        <v>8.989469782924786</v>
      </c>
      <c r="J38" s="264">
        <f t="shared" si="21"/>
        <v>9.5418629839114466</v>
      </c>
      <c r="K38" s="265"/>
      <c r="L38" s="265"/>
    </row>
    <row r="39" spans="1:12" x14ac:dyDescent="0.25">
      <c r="B39" s="4" t="s">
        <v>49</v>
      </c>
      <c r="C39" s="4">
        <f>C18</f>
        <v>736.5</v>
      </c>
      <c r="D39" s="4">
        <f t="shared" ref="D39:E39" si="22">D18</f>
        <v>727.9</v>
      </c>
      <c r="E39" s="4">
        <f t="shared" si="22"/>
        <v>718.3</v>
      </c>
      <c r="F39" s="101">
        <f>F18</f>
        <v>718.3</v>
      </c>
      <c r="G39" s="101">
        <f t="shared" ref="G39:J40" si="23">G18</f>
        <v>718.3</v>
      </c>
      <c r="H39" s="101">
        <f t="shared" si="23"/>
        <v>718.3</v>
      </c>
      <c r="I39" s="101">
        <f t="shared" si="23"/>
        <v>718.3</v>
      </c>
      <c r="J39" s="101">
        <f t="shared" si="23"/>
        <v>718.3</v>
      </c>
      <c r="K39" s="197"/>
      <c r="L39" s="197"/>
    </row>
    <row r="40" spans="1:12" x14ac:dyDescent="0.25">
      <c r="B40" s="4" t="s">
        <v>50</v>
      </c>
      <c r="C40" s="4">
        <f t="shared" ref="C40:E40" si="24">C19</f>
        <v>741.3</v>
      </c>
      <c r="D40" s="4">
        <f t="shared" si="24"/>
        <v>732.3</v>
      </c>
      <c r="E40" s="4">
        <f t="shared" si="24"/>
        <v>721.9</v>
      </c>
      <c r="F40" s="101">
        <f>F19</f>
        <v>721.9</v>
      </c>
      <c r="G40" s="101">
        <f t="shared" si="23"/>
        <v>721.9</v>
      </c>
      <c r="H40" s="101">
        <f t="shared" si="23"/>
        <v>721.9</v>
      </c>
      <c r="I40" s="101">
        <f t="shared" si="23"/>
        <v>721.9</v>
      </c>
      <c r="J40" s="101">
        <f t="shared" si="23"/>
        <v>721.9</v>
      </c>
      <c r="K40" s="197"/>
      <c r="L40" s="197"/>
    </row>
    <row r="41" spans="1:12" x14ac:dyDescent="0.25">
      <c r="F41" s="30"/>
      <c r="G41" s="30"/>
      <c r="H41" s="30"/>
      <c r="I41" s="30"/>
      <c r="J41" s="30"/>
      <c r="K41" s="30"/>
      <c r="L41" s="30"/>
    </row>
    <row r="42" spans="1:12" x14ac:dyDescent="0.25">
      <c r="A42" s="64" t="s">
        <v>126</v>
      </c>
      <c r="B42" s="106" t="s">
        <v>131</v>
      </c>
      <c r="C42" s="260">
        <f>C36</f>
        <v>2022</v>
      </c>
      <c r="D42" s="260">
        <f t="shared" ref="D42:J42" si="25">D36</f>
        <v>2023</v>
      </c>
      <c r="E42" s="260">
        <f t="shared" si="25"/>
        <v>2024</v>
      </c>
      <c r="F42" s="260">
        <f t="shared" si="25"/>
        <v>2025</v>
      </c>
      <c r="G42" s="260">
        <f t="shared" si="25"/>
        <v>2026</v>
      </c>
      <c r="H42" s="260">
        <f t="shared" si="25"/>
        <v>2027</v>
      </c>
      <c r="I42" s="260">
        <f t="shared" si="25"/>
        <v>2028</v>
      </c>
      <c r="J42" s="260">
        <f t="shared" si="25"/>
        <v>2029</v>
      </c>
      <c r="K42" s="199"/>
      <c r="L42" s="199"/>
    </row>
    <row r="43" spans="1:12" x14ac:dyDescent="0.25">
      <c r="A43" s="85"/>
      <c r="B43" s="159"/>
      <c r="C43" s="196"/>
      <c r="D43" s="196"/>
      <c r="E43" s="196"/>
      <c r="F43" s="258"/>
      <c r="G43" s="258"/>
      <c r="H43" s="258"/>
      <c r="I43" s="258"/>
      <c r="J43" s="258"/>
      <c r="K43" s="199"/>
      <c r="L43" s="199"/>
    </row>
    <row r="44" spans="1:12" x14ac:dyDescent="0.25">
      <c r="B44" s="4" t="s">
        <v>142</v>
      </c>
      <c r="C44" s="8">
        <f>BalSheet!C17/IncState!C16</f>
        <v>1.4999999999999999E-2</v>
      </c>
      <c r="D44" s="8">
        <f>BalSheet!D17/IncState!D16</f>
        <v>1.4999999999999999E-2</v>
      </c>
      <c r="E44" s="8">
        <f>BalSheet!E17/IncState!E16</f>
        <v>1.5000000000000001E-2</v>
      </c>
      <c r="F44" s="100">
        <f>E44</f>
        <v>1.5000000000000001E-2</v>
      </c>
      <c r="G44" s="100">
        <f t="shared" ref="G44:J44" si="26">F44</f>
        <v>1.5000000000000001E-2</v>
      </c>
      <c r="H44" s="100">
        <f t="shared" si="26"/>
        <v>1.5000000000000001E-2</v>
      </c>
      <c r="I44" s="100">
        <f t="shared" si="26"/>
        <v>1.5000000000000001E-2</v>
      </c>
      <c r="J44" s="100">
        <f t="shared" si="26"/>
        <v>1.5000000000000001E-2</v>
      </c>
      <c r="K44" s="171"/>
      <c r="L44" s="171"/>
    </row>
    <row r="45" spans="1:12" x14ac:dyDescent="0.25">
      <c r="B45" s="4" t="s">
        <v>154</v>
      </c>
      <c r="C45" s="8">
        <f>BalSheet!C19/IncState!C16</f>
        <v>9.1232217266398061E-2</v>
      </c>
      <c r="D45" s="8">
        <f>BalSheet!D19/IncState!D16</f>
        <v>9.7592325610408731E-2</v>
      </c>
      <c r="E45" s="8">
        <f>BalSheet!E19/IncState!E16</f>
        <v>9.1933102950915724E-2</v>
      </c>
      <c r="F45" s="100">
        <f>E45</f>
        <v>9.1933102950915724E-2</v>
      </c>
      <c r="G45" s="100">
        <f t="shared" ref="G45:J45" si="27">F45</f>
        <v>9.1933102950915724E-2</v>
      </c>
      <c r="H45" s="100">
        <f t="shared" si="27"/>
        <v>9.1933102950915724E-2</v>
      </c>
      <c r="I45" s="100">
        <f t="shared" si="27"/>
        <v>9.1933102950915724E-2</v>
      </c>
      <c r="J45" s="100">
        <f t="shared" si="27"/>
        <v>9.1933102950915724E-2</v>
      </c>
      <c r="K45" s="171"/>
      <c r="L45" s="171"/>
    </row>
    <row r="46" spans="1:12" x14ac:dyDescent="0.25">
      <c r="B46" s="4" t="s">
        <v>65</v>
      </c>
      <c r="C46" s="8">
        <f>BalSheet!C20/IncState!C17</f>
        <v>3.8328861632809506E-3</v>
      </c>
      <c r="D46" s="8">
        <f>BalSheet!D20/IncState!D17</f>
        <v>4.848107865826329E-3</v>
      </c>
      <c r="E46" s="8">
        <f>BalSheet!E20/IncState!E17</f>
        <v>4.0377821039728895E-3</v>
      </c>
      <c r="F46" s="100">
        <f t="shared" ref="F46:J46" si="28">E46</f>
        <v>4.0377821039728895E-3</v>
      </c>
      <c r="G46" s="100">
        <f t="shared" si="28"/>
        <v>4.0377821039728895E-3</v>
      </c>
      <c r="H46" s="100">
        <f t="shared" si="28"/>
        <v>4.0377821039728895E-3</v>
      </c>
      <c r="I46" s="100">
        <f t="shared" si="28"/>
        <v>4.0377821039728895E-3</v>
      </c>
      <c r="J46" s="100">
        <f t="shared" si="28"/>
        <v>4.0377821039728895E-3</v>
      </c>
      <c r="K46" s="171"/>
      <c r="L46" s="171"/>
    </row>
    <row r="47" spans="1:12" x14ac:dyDescent="0.25">
      <c r="B47" s="4" t="s">
        <v>66</v>
      </c>
      <c r="C47" s="8">
        <f>BalSheet!C21/IncState!C16</f>
        <v>2.9047647804819127E-2</v>
      </c>
      <c r="D47" s="8">
        <f>BalSheet!D21/IncState!D16</f>
        <v>3.3969032949603684E-2</v>
      </c>
      <c r="E47" s="8">
        <f>BalSheet!E21/IncState!E16</f>
        <v>4.143355122504553E-2</v>
      </c>
      <c r="F47" s="100">
        <f t="shared" ref="F47:J47" si="29">E47</f>
        <v>4.143355122504553E-2</v>
      </c>
      <c r="G47" s="100">
        <f t="shared" si="29"/>
        <v>4.143355122504553E-2</v>
      </c>
      <c r="H47" s="100">
        <f t="shared" si="29"/>
        <v>4.143355122504553E-2</v>
      </c>
      <c r="I47" s="100">
        <f t="shared" si="29"/>
        <v>4.143355122504553E-2</v>
      </c>
      <c r="J47" s="100">
        <f t="shared" si="29"/>
        <v>4.143355122504553E-2</v>
      </c>
      <c r="K47" s="171"/>
      <c r="L47" s="171"/>
    </row>
    <row r="48" spans="1:12" x14ac:dyDescent="0.25">
      <c r="E48" s="8"/>
      <c r="F48" s="103"/>
      <c r="G48" s="103"/>
      <c r="H48" s="103"/>
      <c r="I48" s="103"/>
      <c r="J48" s="103"/>
      <c r="K48" s="171"/>
      <c r="L48" s="171"/>
    </row>
    <row r="49" spans="1:12" x14ac:dyDescent="0.25">
      <c r="B49" s="4" t="s">
        <v>179</v>
      </c>
      <c r="C49" s="4">
        <f>BalSheet!C26</f>
        <v>1064.5</v>
      </c>
      <c r="D49" s="4">
        <f>BalSheet!D26</f>
        <v>1080</v>
      </c>
      <c r="E49" s="4">
        <f>BalSheet!E26</f>
        <v>2710</v>
      </c>
      <c r="F49" s="101">
        <f>E49</f>
        <v>2710</v>
      </c>
      <c r="G49" s="101">
        <f t="shared" ref="G49:J49" si="30">F49</f>
        <v>2710</v>
      </c>
      <c r="H49" s="101">
        <f t="shared" si="30"/>
        <v>2710</v>
      </c>
      <c r="I49" s="101">
        <f t="shared" si="30"/>
        <v>2710</v>
      </c>
      <c r="J49" s="101">
        <f t="shared" si="30"/>
        <v>2710</v>
      </c>
      <c r="K49" s="197"/>
      <c r="L49" s="197"/>
    </row>
    <row r="50" spans="1:12" x14ac:dyDescent="0.25">
      <c r="B50" s="4" t="s">
        <v>67</v>
      </c>
      <c r="C50" s="8">
        <f>BalSheet!C27/IncState!C16</f>
        <v>0.20304883835290258</v>
      </c>
      <c r="D50" s="8">
        <f>BalSheet!D27/IncState!D16</f>
        <v>0.2203672368485837</v>
      </c>
      <c r="E50" s="8">
        <f>BalSheet!E27/IncState!E16</f>
        <v>0.23513733213841015</v>
      </c>
      <c r="F50" s="100">
        <f>E50</f>
        <v>0.23513733213841015</v>
      </c>
      <c r="G50" s="100">
        <f t="shared" ref="G50:J50" si="31">F50</f>
        <v>0.23513733213841015</v>
      </c>
      <c r="H50" s="100">
        <f t="shared" si="31"/>
        <v>0.23513733213841015</v>
      </c>
      <c r="I50" s="100">
        <f t="shared" si="31"/>
        <v>0.23513733213841015</v>
      </c>
      <c r="J50" s="100">
        <f t="shared" si="31"/>
        <v>0.23513733213841015</v>
      </c>
      <c r="K50" s="171"/>
      <c r="L50" s="171"/>
    </row>
    <row r="51" spans="1:12" x14ac:dyDescent="0.25">
      <c r="F51" s="30"/>
      <c r="G51" s="30"/>
      <c r="H51" s="30"/>
      <c r="I51" s="30"/>
      <c r="J51" s="30"/>
      <c r="K51" s="30"/>
      <c r="L51" s="30"/>
    </row>
    <row r="52" spans="1:12" x14ac:dyDescent="0.25">
      <c r="A52" s="64" t="s">
        <v>126</v>
      </c>
      <c r="B52" s="106" t="s">
        <v>132</v>
      </c>
      <c r="C52" s="260">
        <f>C42</f>
        <v>2022</v>
      </c>
      <c r="D52" s="260">
        <f t="shared" ref="D52:J52" si="32">D42</f>
        <v>2023</v>
      </c>
      <c r="E52" s="260">
        <f t="shared" si="32"/>
        <v>2024</v>
      </c>
      <c r="F52" s="260">
        <f t="shared" si="32"/>
        <v>2025</v>
      </c>
      <c r="G52" s="260">
        <f t="shared" si="32"/>
        <v>2026</v>
      </c>
      <c r="H52" s="260">
        <f t="shared" si="32"/>
        <v>2027</v>
      </c>
      <c r="I52" s="260">
        <f t="shared" si="32"/>
        <v>2028</v>
      </c>
      <c r="J52" s="260">
        <f t="shared" si="32"/>
        <v>2029</v>
      </c>
      <c r="K52" s="199"/>
      <c r="L52" s="199"/>
    </row>
    <row r="53" spans="1:12" x14ac:dyDescent="0.25">
      <c r="A53" s="85"/>
      <c r="B53" s="159"/>
      <c r="C53" s="196"/>
      <c r="D53" s="196"/>
      <c r="E53" s="196"/>
      <c r="F53" s="258"/>
      <c r="G53" s="258"/>
      <c r="H53" s="258"/>
      <c r="I53" s="258"/>
      <c r="J53" s="258"/>
      <c r="K53" s="199"/>
      <c r="L53" s="199"/>
    </row>
    <row r="54" spans="1:12" x14ac:dyDescent="0.25">
      <c r="B54" s="4" t="s">
        <v>155</v>
      </c>
      <c r="C54" s="8">
        <f>BalSheet!C33/IncState!C17</f>
        <v>7.2249904177845922E-2</v>
      </c>
      <c r="D54" s="8">
        <f>BalSheet!D33/IncState!D17</f>
        <v>0.10089552784917812</v>
      </c>
      <c r="E54" s="8">
        <f>BalSheet!E33/IncState!E17</f>
        <v>7.4194246160501839E-2</v>
      </c>
      <c r="F54" s="100">
        <f t="shared" ref="F54:J54" si="33">E54</f>
        <v>7.4194246160501839E-2</v>
      </c>
      <c r="G54" s="100">
        <f t="shared" si="33"/>
        <v>7.4194246160501839E-2</v>
      </c>
      <c r="H54" s="100">
        <f t="shared" si="33"/>
        <v>7.4194246160501839E-2</v>
      </c>
      <c r="I54" s="100">
        <f t="shared" si="33"/>
        <v>7.4194246160501839E-2</v>
      </c>
      <c r="J54" s="100">
        <f t="shared" si="33"/>
        <v>7.4194246160501839E-2</v>
      </c>
      <c r="K54" s="171"/>
      <c r="L54" s="171"/>
    </row>
    <row r="55" spans="1:12" x14ac:dyDescent="0.25">
      <c r="B55" s="4" t="s">
        <v>68</v>
      </c>
      <c r="C55" s="8">
        <f>BalSheet!C34/IncState!C16</f>
        <v>0.12172491437543674</v>
      </c>
      <c r="D55" s="8">
        <f>BalSheet!D34/IncState!D16</f>
        <v>0.13979865292423502</v>
      </c>
      <c r="E55" s="8">
        <f>BalSheet!E34/IncState!E16</f>
        <v>0.11384581905503664</v>
      </c>
      <c r="F55" s="100">
        <f t="shared" ref="F55:J55" si="34">E55</f>
        <v>0.11384581905503664</v>
      </c>
      <c r="G55" s="100">
        <f t="shared" si="34"/>
        <v>0.11384581905503664</v>
      </c>
      <c r="H55" s="100">
        <f t="shared" si="34"/>
        <v>0.11384581905503664</v>
      </c>
      <c r="I55" s="100">
        <f t="shared" si="34"/>
        <v>0.11384581905503664</v>
      </c>
      <c r="J55" s="100">
        <f t="shared" si="34"/>
        <v>0.11384581905503664</v>
      </c>
      <c r="K55" s="171"/>
      <c r="L55" s="171"/>
    </row>
    <row r="56" spans="1:12" x14ac:dyDescent="0.25">
      <c r="B56" s="4" t="s">
        <v>69</v>
      </c>
      <c r="C56" s="8">
        <f>BalSheet!C38/IncState!C16</f>
        <v>0.72180859782768092</v>
      </c>
      <c r="D56" s="8">
        <f>BalSheet!D38/IncState!D16</f>
        <v>0.66063100801065266</v>
      </c>
      <c r="E56" s="8">
        <f>BalSheet!E38/IncState!E16</f>
        <v>0.64407182281390607</v>
      </c>
      <c r="F56" s="100">
        <f t="shared" ref="F56:J56" si="35">E56</f>
        <v>0.64407182281390607</v>
      </c>
      <c r="G56" s="100">
        <f t="shared" si="35"/>
        <v>0.64407182281390607</v>
      </c>
      <c r="H56" s="100">
        <f t="shared" si="35"/>
        <v>0.64407182281390607</v>
      </c>
      <c r="I56" s="100">
        <f t="shared" si="35"/>
        <v>0.64407182281390607</v>
      </c>
      <c r="J56" s="100">
        <f t="shared" si="35"/>
        <v>0.64407182281390607</v>
      </c>
      <c r="K56" s="171"/>
      <c r="L56" s="171"/>
    </row>
    <row r="57" spans="1:12" x14ac:dyDescent="0.25">
      <c r="F57" s="121"/>
      <c r="G57" s="30"/>
      <c r="H57" s="30"/>
      <c r="I57" s="30"/>
      <c r="J57" s="30"/>
    </row>
    <row r="58" spans="1:12" x14ac:dyDescent="0.25">
      <c r="F58" s="122"/>
      <c r="G58" s="94"/>
      <c r="H58" s="94"/>
      <c r="I58" s="94"/>
      <c r="J58" s="94"/>
    </row>
    <row r="59" spans="1:12" x14ac:dyDescent="0.25">
      <c r="F59" s="94"/>
      <c r="G59" s="94"/>
      <c r="H59" s="94"/>
      <c r="I59" s="94"/>
      <c r="J59" s="94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F11:L20 K21:L21 F22:L29 K30:L30 F31:L34 K36:L40 F38:J40 K42:L50 F44:J50 K52:L56 F54:J56 F58:J59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zoomScaleNormal="100" workbookViewId="0">
      <selection activeCell="G2" sqref="G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3">
        <v>2022</v>
      </c>
      <c r="D2" s="251">
        <f>C2+1</f>
        <v>2023</v>
      </c>
      <c r="E2" s="251">
        <f t="shared" ref="E2:J2" si="0">D2+1</f>
        <v>2024</v>
      </c>
      <c r="F2" s="251">
        <f t="shared" si="0"/>
        <v>2025</v>
      </c>
      <c r="G2" s="251">
        <f t="shared" si="0"/>
        <v>2026</v>
      </c>
      <c r="H2" s="251">
        <f t="shared" si="0"/>
        <v>2027</v>
      </c>
      <c r="I2" s="251">
        <f t="shared" si="0"/>
        <v>2028</v>
      </c>
      <c r="J2" s="251">
        <f t="shared" si="0"/>
        <v>2029</v>
      </c>
      <c r="K2" s="194"/>
      <c r="L2" s="194"/>
      <c r="M2" s="194"/>
    </row>
    <row r="3" spans="1:13" x14ac:dyDescent="0.25">
      <c r="B3" s="4" t="s">
        <v>12</v>
      </c>
      <c r="C3" s="29"/>
      <c r="D3" s="29"/>
      <c r="E3" s="40"/>
      <c r="F3" s="203">
        <f>Assumptions!F32</f>
        <v>0.11977932900730238</v>
      </c>
      <c r="G3" s="203">
        <f>Assumptions!G32</f>
        <v>9.9779329007302381E-2</v>
      </c>
      <c r="H3" s="203">
        <f>Assumptions!H32</f>
        <v>7.9779329007302377E-2</v>
      </c>
      <c r="I3" s="203">
        <f>Assumptions!I32</f>
        <v>5.9779329007302373E-2</v>
      </c>
      <c r="J3" s="203">
        <f>Assumptions!J32</f>
        <v>3.9779329007302369E-2</v>
      </c>
      <c r="K3" s="201"/>
      <c r="L3" s="201"/>
    </row>
    <row r="4" spans="1:13" x14ac:dyDescent="0.25">
      <c r="B4" s="4" t="s">
        <v>136</v>
      </c>
      <c r="C4" s="29"/>
      <c r="D4" s="29"/>
      <c r="E4" s="40"/>
      <c r="F4" s="203">
        <f>Assumptions!F33</f>
        <v>1.1633959710582479E-2</v>
      </c>
      <c r="G4" s="203">
        <f>F4</f>
        <v>1.1633959710582479E-2</v>
      </c>
      <c r="H4" s="203">
        <f t="shared" ref="H4:J4" si="1">G4</f>
        <v>1.1633959710582479E-2</v>
      </c>
      <c r="I4" s="203">
        <f t="shared" si="1"/>
        <v>1.1633959710582479E-2</v>
      </c>
      <c r="J4" s="203">
        <f t="shared" si="1"/>
        <v>1.1633959710582479E-2</v>
      </c>
      <c r="K4" s="201"/>
      <c r="L4" s="201"/>
    </row>
    <row r="5" spans="1:13" x14ac:dyDescent="0.25">
      <c r="E5" s="27"/>
      <c r="F5" s="78"/>
      <c r="G5" s="66"/>
      <c r="H5" s="83"/>
      <c r="I5" s="66"/>
      <c r="J5" s="66"/>
    </row>
    <row r="6" spans="1:13" x14ac:dyDescent="0.25">
      <c r="B6" s="4" t="s">
        <v>13</v>
      </c>
      <c r="E6" s="27"/>
      <c r="F6" s="4">
        <f>E9</f>
        <v>38634</v>
      </c>
      <c r="G6" s="4">
        <f t="shared" ref="G6:J6" si="2">F9</f>
        <v>41384.533600541356</v>
      </c>
      <c r="H6" s="4">
        <f t="shared" si="2"/>
        <v>43729.138609025438</v>
      </c>
      <c r="I6" s="4">
        <f t="shared" si="2"/>
        <v>45614.95836913582</v>
      </c>
      <c r="J6" s="4">
        <f t="shared" si="2"/>
        <v>46985.808239828948</v>
      </c>
    </row>
    <row r="7" spans="1:13" x14ac:dyDescent="0.25">
      <c r="B7" s="4" t="s">
        <v>14</v>
      </c>
      <c r="C7" s="12"/>
      <c r="D7" s="12"/>
      <c r="E7" s="127"/>
      <c r="F7" s="4">
        <f>F3*IncState!F16</f>
        <v>3200</v>
      </c>
      <c r="G7" s="4">
        <f>G3*IncState!G16</f>
        <v>2826.0710050340285</v>
      </c>
      <c r="H7" s="4">
        <f>H3*IncState!H16</f>
        <v>2394.5627968662611</v>
      </c>
      <c r="I7" s="4">
        <f>I3*IncState!I16</f>
        <v>1901.5324585595486</v>
      </c>
      <c r="J7" s="4">
        <f>J3*IncState!J16</f>
        <v>1341.0672972828452</v>
      </c>
    </row>
    <row r="8" spans="1:13" x14ac:dyDescent="0.25">
      <c r="B8" s="4" t="s">
        <v>15</v>
      </c>
      <c r="E8" s="27"/>
      <c r="F8" s="4">
        <f>F6*F4</f>
        <v>449.46639945864348</v>
      </c>
      <c r="G8" s="4">
        <f t="shared" ref="G8:J8" si="3">G6*G4</f>
        <v>481.46599654994498</v>
      </c>
      <c r="H8" s="4">
        <f t="shared" si="3"/>
        <v>508.74303675587873</v>
      </c>
      <c r="I8" s="4">
        <f t="shared" si="3"/>
        <v>530.68258786642321</v>
      </c>
      <c r="J8" s="4">
        <f t="shared" si="3"/>
        <v>546.63100003132422</v>
      </c>
    </row>
    <row r="9" spans="1:13" x14ac:dyDescent="0.25">
      <c r="B9" s="4" t="s">
        <v>16</v>
      </c>
      <c r="E9" s="27">
        <f>BalSheet!E24</f>
        <v>38634</v>
      </c>
      <c r="F9" s="4">
        <f>F6+F7-F8</f>
        <v>41384.533600541356</v>
      </c>
      <c r="G9" s="4">
        <f t="shared" ref="G9:J9" si="4">G6+G7-G8</f>
        <v>43729.138609025438</v>
      </c>
      <c r="H9" s="4">
        <f t="shared" si="4"/>
        <v>45614.95836913582</v>
      </c>
      <c r="I9" s="4">
        <f t="shared" si="4"/>
        <v>46985.808239828948</v>
      </c>
      <c r="J9" s="4">
        <f t="shared" si="4"/>
        <v>47780.244537080471</v>
      </c>
    </row>
    <row r="10" spans="1:13" x14ac:dyDescent="0.25">
      <c r="A10" s="20" t="s">
        <v>17</v>
      </c>
      <c r="B10" s="42"/>
      <c r="C10" s="236">
        <f t="shared" ref="C10:F10" si="5">C2</f>
        <v>2022</v>
      </c>
      <c r="D10" s="236">
        <f t="shared" si="5"/>
        <v>2023</v>
      </c>
      <c r="E10" s="236">
        <f t="shared" si="5"/>
        <v>2024</v>
      </c>
      <c r="F10" s="236">
        <f t="shared" si="5"/>
        <v>2025</v>
      </c>
      <c r="G10" s="236">
        <f t="shared" ref="G10:J10" si="6">G2</f>
        <v>2026</v>
      </c>
      <c r="H10" s="236">
        <f t="shared" si="6"/>
        <v>2027</v>
      </c>
      <c r="I10" s="236">
        <f t="shared" si="6"/>
        <v>2028</v>
      </c>
      <c r="J10" s="236">
        <f t="shared" si="6"/>
        <v>2029</v>
      </c>
      <c r="K10" s="196"/>
      <c r="L10" s="196"/>
    </row>
    <row r="11" spans="1:13" x14ac:dyDescent="0.25">
      <c r="B11" s="4" t="s">
        <v>18</v>
      </c>
      <c r="E11" s="27"/>
      <c r="F11" s="253">
        <f>Assumptions!F34</f>
        <v>0</v>
      </c>
      <c r="G11" s="253">
        <f>Assumptions!G34</f>
        <v>0</v>
      </c>
      <c r="H11" s="253">
        <f>Assumptions!H34</f>
        <v>0</v>
      </c>
      <c r="I11" s="253">
        <f>Assumptions!I34</f>
        <v>0</v>
      </c>
      <c r="J11" s="253">
        <f>Assumptions!J34</f>
        <v>0</v>
      </c>
      <c r="K11" s="202"/>
      <c r="L11" s="202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E17</f>
        <v>-3917</v>
      </c>
      <c r="G13" s="4">
        <f t="shared" ref="G13:J13" si="7">F17</f>
        <v>-1905.112268235398</v>
      </c>
      <c r="H13" s="4">
        <f t="shared" si="7"/>
        <v>147.92915548800738</v>
      </c>
      <c r="I13" s="4">
        <f t="shared" si="7"/>
        <v>2265.0644602002594</v>
      </c>
      <c r="J13" s="4">
        <f t="shared" si="7"/>
        <v>4474.2886005538039</v>
      </c>
    </row>
    <row r="14" spans="1:13" x14ac:dyDescent="0.25">
      <c r="B14" s="4" t="s">
        <v>20</v>
      </c>
      <c r="E14" s="27"/>
      <c r="F14" s="4">
        <f>IncState!F34</f>
        <v>7278.6717680333204</v>
      </c>
      <c r="G14" s="4">
        <f>IncState!G34</f>
        <v>7716.6094962608413</v>
      </c>
      <c r="H14" s="4">
        <f>IncState!H34</f>
        <v>8177.4874135184073</v>
      </c>
      <c r="I14" s="4">
        <f>IncState!I34</f>
        <v>8666.3602854284181</v>
      </c>
      <c r="J14" s="4">
        <f>IncState!J34</f>
        <v>9184.9575133782691</v>
      </c>
    </row>
    <row r="15" spans="1:13" x14ac:dyDescent="0.25">
      <c r="B15" s="4" t="s">
        <v>21</v>
      </c>
      <c r="E15" s="27"/>
      <c r="F15" s="4">
        <f>-IncState!F36</f>
        <v>-5266.7840362687184</v>
      </c>
      <c r="G15" s="4">
        <f>-IncState!G36</f>
        <v>-5663.5680725374359</v>
      </c>
      <c r="H15" s="4">
        <f>-IncState!H36</f>
        <v>-6060.3521088061552</v>
      </c>
      <c r="I15" s="4">
        <f>-IncState!I36</f>
        <v>-6457.1361450748736</v>
      </c>
      <c r="J15" s="4">
        <f>-IncState!J36</f>
        <v>-6853.920181343592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BalSheet!E41</f>
        <v>-3917</v>
      </c>
      <c r="F17" s="4">
        <f>SUM(F13:F16)</f>
        <v>-1905.112268235398</v>
      </c>
      <c r="G17" s="4">
        <f t="shared" ref="G17:J17" si="9">SUM(G13:G16)</f>
        <v>147.92915548800738</v>
      </c>
      <c r="H17" s="4">
        <f t="shared" si="9"/>
        <v>2265.0644602002594</v>
      </c>
      <c r="I17" s="4">
        <f t="shared" si="9"/>
        <v>4474.2886005538039</v>
      </c>
      <c r="J17" s="4">
        <f t="shared" si="9"/>
        <v>6805.325932588481</v>
      </c>
    </row>
    <row r="18" spans="1:12" x14ac:dyDescent="0.25">
      <c r="A18" s="20" t="s">
        <v>24</v>
      </c>
      <c r="B18" s="42"/>
      <c r="C18" s="236">
        <f>C10</f>
        <v>2022</v>
      </c>
      <c r="D18" s="236">
        <f t="shared" ref="D18:F18" si="10">D10</f>
        <v>2023</v>
      </c>
      <c r="E18" s="236">
        <f t="shared" si="10"/>
        <v>2024</v>
      </c>
      <c r="F18" s="236">
        <f t="shared" si="10"/>
        <v>2025</v>
      </c>
      <c r="G18" s="236">
        <f t="shared" ref="G18:J18" si="11">G10</f>
        <v>2026</v>
      </c>
      <c r="H18" s="236">
        <f t="shared" si="11"/>
        <v>2027</v>
      </c>
      <c r="I18" s="236">
        <f t="shared" si="11"/>
        <v>2028</v>
      </c>
      <c r="J18" s="236">
        <f t="shared" si="11"/>
        <v>2029</v>
      </c>
      <c r="K18" s="196"/>
      <c r="L18" s="196"/>
    </row>
    <row r="19" spans="1:12" x14ac:dyDescent="0.25">
      <c r="A19" s="86"/>
      <c r="B19" s="173" t="s">
        <v>159</v>
      </c>
      <c r="C19" s="196"/>
      <c r="D19" s="196"/>
      <c r="E19" s="217">
        <f>BalSheet!E17</f>
        <v>388.81533259118555</v>
      </c>
      <c r="F19" s="131">
        <f>BalSheet!F17</f>
        <v>400.7369251256506</v>
      </c>
      <c r="G19" s="131">
        <f>BalSheet!G17</f>
        <v>424.84816742361562</v>
      </c>
      <c r="H19" s="131">
        <f>BalSheet!H17</f>
        <v>450.2224122454856</v>
      </c>
      <c r="I19" s="131">
        <f>BalSheet!I17</f>
        <v>477.13795641481676</v>
      </c>
      <c r="J19" s="131">
        <f>BalSheet!J17</f>
        <v>505.69001441803971</v>
      </c>
      <c r="K19" s="196"/>
      <c r="L19" s="196"/>
    </row>
    <row r="20" spans="1:12" x14ac:dyDescent="0.25">
      <c r="B20" s="4" t="str">
        <f>BalSheet!B20</f>
        <v>Inventories</v>
      </c>
      <c r="D20" s="97"/>
      <c r="E20" s="98">
        <f>BalSheet!E19</f>
        <v>2383</v>
      </c>
      <c r="F20" s="4">
        <f>BalSheet!F19</f>
        <v>2456.065932920656</v>
      </c>
      <c r="G20" s="4">
        <f>BalSheet!G19</f>
        <v>2603.8406876175422</v>
      </c>
      <c r="H20" s="4">
        <f>BalSheet!H19</f>
        <v>2759.3562250515897</v>
      </c>
      <c r="I20" s="4">
        <f>BalSheet!I19</f>
        <v>2924.3181912581927</v>
      </c>
      <c r="J20" s="4">
        <f>BalSheet!J19</f>
        <v>3099.3101437829132</v>
      </c>
      <c r="K20" s="97"/>
      <c r="L20" s="97"/>
    </row>
    <row r="21" spans="1:12" x14ac:dyDescent="0.25">
      <c r="B21" s="4" t="str">
        <f>BalSheet!B19</f>
        <v>Accounts receivable</v>
      </c>
      <c r="C21" s="97"/>
      <c r="D21" s="97"/>
      <c r="E21" s="98">
        <f>BalSheet!E20</f>
        <v>56</v>
      </c>
      <c r="F21" s="4">
        <f>BalSheet!F20</f>
        <v>57.717034092973876</v>
      </c>
      <c r="G21" s="4">
        <f>BalSheet!G20</f>
        <v>61.189709822317411</v>
      </c>
      <c r="H21" s="4">
        <f>BalSheet!H20</f>
        <v>64.844292321816638</v>
      </c>
      <c r="I21" s="4">
        <f>BalSheet!I20</f>
        <v>68.720863915425426</v>
      </c>
      <c r="J21" s="4">
        <f>BalSheet!J20</f>
        <v>72.833138083022718</v>
      </c>
      <c r="K21" s="97"/>
      <c r="L21" s="97"/>
    </row>
    <row r="22" spans="1:12" x14ac:dyDescent="0.25">
      <c r="B22" s="4" t="s">
        <v>72</v>
      </c>
      <c r="C22" s="97"/>
      <c r="D22" s="97"/>
      <c r="E22" s="98">
        <f>BalSheet!E21</f>
        <v>1074</v>
      </c>
      <c r="F22" s="4">
        <f>BalSheet!F21</f>
        <v>1106.9302609973918</v>
      </c>
      <c r="G22" s="4">
        <f>BalSheet!G21</f>
        <v>1173.5312205208731</v>
      </c>
      <c r="H22" s="4">
        <f>BalSheet!H21</f>
        <v>1243.6208920291263</v>
      </c>
      <c r="I22" s="4">
        <f>BalSheet!I21</f>
        <v>1317.9679972351234</v>
      </c>
      <c r="J22" s="4">
        <f>BalSheet!J21</f>
        <v>1396.8355410922572</v>
      </c>
      <c r="K22" s="97"/>
      <c r="L22" s="97"/>
    </row>
    <row r="23" spans="1:12" x14ac:dyDescent="0.25">
      <c r="B23" s="4" t="s">
        <v>165</v>
      </c>
      <c r="C23" s="97"/>
      <c r="D23" s="97"/>
      <c r="E23" s="98">
        <f>BalSheet!E33</f>
        <v>1029</v>
      </c>
      <c r="F23" s="4">
        <f>BalSheet!F33</f>
        <v>1982.1582712250074</v>
      </c>
      <c r="G23" s="4">
        <f>BalSheet!G33</f>
        <v>2101.4193009777223</v>
      </c>
      <c r="H23" s="4">
        <f>BalSheet!H33</f>
        <v>2226.9274987410995</v>
      </c>
      <c r="I23" s="4">
        <f>BalSheet!I33</f>
        <v>2360.0593993839807</v>
      </c>
      <c r="J23" s="4">
        <f>BalSheet!J33</f>
        <v>2501.2859607093174</v>
      </c>
      <c r="K23" s="97"/>
      <c r="L23" s="97"/>
    </row>
    <row r="24" spans="1:12" x14ac:dyDescent="0.25">
      <c r="B24" s="4" t="s">
        <v>78</v>
      </c>
      <c r="C24" s="97"/>
      <c r="D24" s="97"/>
      <c r="E24" s="98">
        <f>BalSheet!E34</f>
        <v>2951</v>
      </c>
      <c r="F24" s="4">
        <f>BalSheet!F34</f>
        <v>3041.4815644351052</v>
      </c>
      <c r="G24" s="4">
        <f>BalSheet!G34</f>
        <v>3224.4791729581902</v>
      </c>
      <c r="H24" s="4">
        <f>BalSheet!H34</f>
        <v>3417.0626186014442</v>
      </c>
      <c r="I24" s="4">
        <f>BalSheet!I34</f>
        <v>3621.344096686079</v>
      </c>
      <c r="J24" s="4">
        <f>BalSheet!J34</f>
        <v>3838.046258625001</v>
      </c>
      <c r="K24" s="97"/>
      <c r="L24" s="97"/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-78.184667408814676</v>
      </c>
      <c r="F25" s="18">
        <f>SUM(F19:F22)-SUM(F23:F24)</f>
        <v>-1002.1896825234408</v>
      </c>
      <c r="G25" s="18">
        <f t="shared" ref="G25:J25" si="12">SUM(G19:G22)-SUM(G23:G24)</f>
        <v>-1062.4886885515643</v>
      </c>
      <c r="H25" s="18">
        <f t="shared" si="12"/>
        <v>-1125.9462956945263</v>
      </c>
      <c r="I25" s="18">
        <f t="shared" si="12"/>
        <v>-1193.2584872465004</v>
      </c>
      <c r="J25" s="18">
        <f t="shared" si="12"/>
        <v>-1264.6633819580857</v>
      </c>
      <c r="K25" s="11"/>
      <c r="L25" s="11"/>
    </row>
    <row r="26" spans="1:12" s="11" customFormat="1" x14ac:dyDescent="0.25">
      <c r="A26" s="24"/>
      <c r="B26" s="11" t="s">
        <v>151</v>
      </c>
      <c r="F26" s="11">
        <f>E25-F25</f>
        <v>924.00501511462608</v>
      </c>
      <c r="G26" s="11">
        <f t="shared" ref="G26:J26" si="13">F25-G25</f>
        <v>60.299006028123586</v>
      </c>
      <c r="H26" s="11">
        <f t="shared" si="13"/>
        <v>63.457607142961933</v>
      </c>
      <c r="I26" s="11">
        <f t="shared" si="13"/>
        <v>67.312191551974138</v>
      </c>
      <c r="J26" s="11">
        <f t="shared" si="13"/>
        <v>71.404894711585257</v>
      </c>
    </row>
    <row r="27" spans="1:12" x14ac:dyDescent="0.25">
      <c r="B27" s="66"/>
      <c r="C27" s="66"/>
      <c r="D27" s="66"/>
      <c r="E27" s="66"/>
      <c r="F27" s="66"/>
      <c r="G27" s="66"/>
      <c r="H27" s="83"/>
      <c r="I27" s="66"/>
      <c r="J27" s="66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5"/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204"/>
      <c r="L2" s="204"/>
    </row>
    <row r="3" spans="1:13" s="2" customFormat="1" x14ac:dyDescent="0.25">
      <c r="A3" s="86"/>
      <c r="B3" s="11"/>
      <c r="C3" s="196"/>
      <c r="D3" s="196"/>
      <c r="E3" s="196"/>
      <c r="F3" s="196"/>
      <c r="G3" s="196"/>
      <c r="H3" s="196"/>
      <c r="I3" s="196"/>
      <c r="J3" s="196"/>
      <c r="K3" s="204"/>
      <c r="L3" s="204"/>
    </row>
    <row r="4" spans="1:13" s="2" customFormat="1" x14ac:dyDescent="0.25">
      <c r="A4" s="11"/>
      <c r="B4" s="4" t="s">
        <v>25</v>
      </c>
      <c r="C4" s="30"/>
      <c r="D4" s="56"/>
      <c r="E4" s="60"/>
      <c r="F4" s="110">
        <f>Assumptions!F23</f>
        <v>7.8E-2</v>
      </c>
      <c r="G4" s="110">
        <f>Assumptions!G23</f>
        <v>7.8E-2</v>
      </c>
      <c r="H4" s="110">
        <f>Assumptions!H23</f>
        <v>7.8E-2</v>
      </c>
      <c r="I4" s="110">
        <f>Assumptions!I23</f>
        <v>7.8E-2</v>
      </c>
      <c r="J4" s="110">
        <f>Assumptions!J23</f>
        <v>7.8E-2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0">
        <f>Assumptions!F24</f>
        <v>0.05</v>
      </c>
      <c r="G5" s="110">
        <f>Assumptions!G24</f>
        <v>0.05</v>
      </c>
      <c r="H5" s="110">
        <f>Assumptions!H24</f>
        <v>0.05</v>
      </c>
      <c r="I5" s="110">
        <f>Assumptions!I24</f>
        <v>0.05</v>
      </c>
      <c r="J5" s="110">
        <f>Assumptions!J24</f>
        <v>0.05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0">
        <f>Assumptions!F25</f>
        <v>0.10361744732662963</v>
      </c>
      <c r="G6" s="110">
        <f>Assumptions!G25</f>
        <v>0.10361744732662963</v>
      </c>
      <c r="H6" s="110">
        <f>Assumptions!H25</f>
        <v>0.10361744732662963</v>
      </c>
      <c r="I6" s="110">
        <f>Assumptions!I25</f>
        <v>0.10361744732662963</v>
      </c>
      <c r="J6" s="110">
        <f>Assumptions!J25</f>
        <v>0.10361744732662963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8"/>
      <c r="G7" s="108"/>
      <c r="H7" s="108"/>
      <c r="I7" s="109"/>
      <c r="J7" s="109"/>
      <c r="K7" s="205"/>
      <c r="L7" s="205"/>
    </row>
    <row r="8" spans="1:13" s="2" customFormat="1" x14ac:dyDescent="0.25">
      <c r="A8" s="11"/>
      <c r="B8" s="4" t="s">
        <v>28</v>
      </c>
      <c r="C8" s="30"/>
      <c r="D8" s="58"/>
      <c r="E8" s="62"/>
      <c r="F8" s="111">
        <f>Assumptions!F27</f>
        <v>0</v>
      </c>
      <c r="G8" s="111">
        <f>Assumptions!G27</f>
        <v>0</v>
      </c>
      <c r="H8" s="111">
        <f>Assumptions!H27</f>
        <v>0</v>
      </c>
      <c r="I8" s="111">
        <f>Assumptions!I27</f>
        <v>0</v>
      </c>
      <c r="J8" s="111">
        <f>Assumptions!J27</f>
        <v>0</v>
      </c>
      <c r="K8" s="206"/>
      <c r="L8" s="206"/>
    </row>
    <row r="9" spans="1:13" s="2" customFormat="1" x14ac:dyDescent="0.25">
      <c r="A9" s="11"/>
      <c r="B9" s="4" t="s">
        <v>29</v>
      </c>
      <c r="C9" s="30"/>
      <c r="D9" s="58"/>
      <c r="E9" s="62"/>
      <c r="F9" s="111">
        <f>Assumptions!F28</f>
        <v>0</v>
      </c>
      <c r="G9" s="111">
        <f>Assumptions!G28</f>
        <v>0</v>
      </c>
      <c r="H9" s="111">
        <f>Assumptions!H28</f>
        <v>0</v>
      </c>
      <c r="I9" s="111">
        <f>Assumptions!I28</f>
        <v>0</v>
      </c>
      <c r="J9" s="111">
        <f>Assumptions!J28</f>
        <v>0</v>
      </c>
      <c r="K9" s="206"/>
      <c r="L9" s="206"/>
    </row>
    <row r="10" spans="1:13" s="2" customFormat="1" ht="18.75" x14ac:dyDescent="0.3">
      <c r="A10" s="33"/>
      <c r="B10" s="3"/>
      <c r="C10" s="53"/>
      <c r="D10" s="53"/>
      <c r="E10" s="53"/>
      <c r="F10" s="107"/>
      <c r="G10" s="107"/>
      <c r="H10" s="107"/>
      <c r="I10" s="107"/>
      <c r="J10" s="107"/>
      <c r="K10" s="53"/>
      <c r="L10" s="53"/>
    </row>
    <row r="11" spans="1:13" x14ac:dyDescent="0.25">
      <c r="A11" s="20" t="s">
        <v>30</v>
      </c>
      <c r="B11" s="54"/>
      <c r="C11" s="251">
        <f>C2</f>
        <v>2022</v>
      </c>
      <c r="D11" s="251">
        <f t="shared" ref="D11:J11" si="1">D2</f>
        <v>2023</v>
      </c>
      <c r="E11" s="251">
        <f t="shared" si="1"/>
        <v>2024</v>
      </c>
      <c r="F11" s="251">
        <f t="shared" si="1"/>
        <v>2025</v>
      </c>
      <c r="G11" s="251">
        <f t="shared" si="1"/>
        <v>2026</v>
      </c>
      <c r="H11" s="251">
        <f t="shared" si="1"/>
        <v>2027</v>
      </c>
      <c r="I11" s="251">
        <f t="shared" si="1"/>
        <v>2028</v>
      </c>
      <c r="J11" s="251">
        <f t="shared" si="1"/>
        <v>2029</v>
      </c>
      <c r="K11" s="207"/>
      <c r="L11" s="207"/>
      <c r="M11" s="47"/>
    </row>
    <row r="12" spans="1:13" x14ac:dyDescent="0.25">
      <c r="B12" s="4" t="s">
        <v>31</v>
      </c>
      <c r="E12" s="27"/>
      <c r="F12" s="4" t="s">
        <v>227</v>
      </c>
      <c r="G12" s="4" t="s">
        <v>227</v>
      </c>
      <c r="H12" s="4" t="s">
        <v>227</v>
      </c>
      <c r="I12" s="4" t="s">
        <v>227</v>
      </c>
      <c r="J12" s="4" t="s">
        <v>227</v>
      </c>
      <c r="M12" s="47"/>
    </row>
    <row r="13" spans="1:13" x14ac:dyDescent="0.25">
      <c r="B13" s="4" t="s">
        <v>32</v>
      </c>
      <c r="E13" s="28"/>
      <c r="I13" s="4"/>
      <c r="J13" s="4"/>
      <c r="M13" s="47"/>
    </row>
    <row r="14" spans="1:13" x14ac:dyDescent="0.25">
      <c r="B14" s="4" t="s">
        <v>33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59" t="s">
        <v>34</v>
      </c>
      <c r="B16" s="19"/>
      <c r="C16" s="251">
        <f t="shared" ref="C16:F16" si="2">C11</f>
        <v>2022</v>
      </c>
      <c r="D16" s="251">
        <f t="shared" si="2"/>
        <v>2023</v>
      </c>
      <c r="E16" s="251">
        <f t="shared" si="2"/>
        <v>2024</v>
      </c>
      <c r="F16" s="251">
        <f t="shared" si="2"/>
        <v>2025</v>
      </c>
      <c r="G16" s="251">
        <f t="shared" ref="G16:J16" si="3">G11</f>
        <v>2026</v>
      </c>
      <c r="H16" s="251">
        <f t="shared" si="3"/>
        <v>2027</v>
      </c>
      <c r="I16" s="251">
        <f t="shared" si="3"/>
        <v>2028</v>
      </c>
      <c r="J16" s="251">
        <f t="shared" si="3"/>
        <v>2029</v>
      </c>
      <c r="K16" s="204"/>
      <c r="L16" s="204"/>
      <c r="M16" s="47"/>
    </row>
    <row r="17" spans="1:13" x14ac:dyDescent="0.25">
      <c r="B17" s="4" t="s">
        <v>19</v>
      </c>
      <c r="E17" s="27"/>
      <c r="F17" s="4">
        <f>E20</f>
        <v>38424</v>
      </c>
      <c r="G17" s="4">
        <f t="shared" ref="G17:J17" si="4">F20</f>
        <v>38424</v>
      </c>
      <c r="H17" s="4">
        <f t="shared" si="4"/>
        <v>38424</v>
      </c>
      <c r="I17" s="4">
        <f t="shared" si="4"/>
        <v>38424</v>
      </c>
      <c r="J17" s="4">
        <f t="shared" si="4"/>
        <v>38424</v>
      </c>
      <c r="M17" s="47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7">
        <f>BalSheet!E37</f>
        <v>38424</v>
      </c>
      <c r="F20" s="4">
        <f>SUM(F17:F19)</f>
        <v>38424</v>
      </c>
      <c r="G20" s="4">
        <f t="shared" ref="G20:J20" si="7">SUM(G17:G19)</f>
        <v>38424</v>
      </c>
      <c r="H20" s="4">
        <f t="shared" si="7"/>
        <v>38424</v>
      </c>
      <c r="I20" s="4">
        <f t="shared" si="7"/>
        <v>38424</v>
      </c>
      <c r="J20" s="4">
        <f t="shared" si="7"/>
        <v>38424</v>
      </c>
    </row>
    <row r="21" spans="1:13" x14ac:dyDescent="0.25">
      <c r="B21" s="4" t="s">
        <v>32</v>
      </c>
      <c r="D21" s="48"/>
      <c r="E21" s="27"/>
      <c r="F21" s="8">
        <f>F5</f>
        <v>0.05</v>
      </c>
      <c r="G21" s="8">
        <f t="shared" ref="G21:J21" si="8">G5</f>
        <v>0.05</v>
      </c>
      <c r="H21" s="8">
        <f t="shared" si="8"/>
        <v>0.05</v>
      </c>
      <c r="I21" s="8">
        <f t="shared" si="8"/>
        <v>0.05</v>
      </c>
      <c r="J21" s="8">
        <f t="shared" si="8"/>
        <v>0.05</v>
      </c>
    </row>
    <row r="22" spans="1:13" x14ac:dyDescent="0.25">
      <c r="B22" s="4" t="s">
        <v>33</v>
      </c>
      <c r="E22" s="27"/>
      <c r="F22" s="4">
        <f>F20*F21</f>
        <v>1921.2</v>
      </c>
      <c r="G22" s="4">
        <f t="shared" ref="G22:J22" si="9">G20*G21</f>
        <v>1921.2</v>
      </c>
      <c r="H22" s="4">
        <f t="shared" si="9"/>
        <v>1921.2</v>
      </c>
      <c r="I22" s="4">
        <f t="shared" si="9"/>
        <v>1921.2</v>
      </c>
      <c r="J22" s="4">
        <f t="shared" si="9"/>
        <v>1921.2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2"/>
      <c r="C24" s="251">
        <f>C16</f>
        <v>2022</v>
      </c>
      <c r="D24" s="251">
        <f t="shared" ref="D24:F24" si="10">D16</f>
        <v>2023</v>
      </c>
      <c r="E24" s="251">
        <f t="shared" si="10"/>
        <v>2024</v>
      </c>
      <c r="F24" s="251">
        <f t="shared" si="10"/>
        <v>2025</v>
      </c>
      <c r="G24" s="251">
        <f t="shared" ref="G24:J24" si="11">G16</f>
        <v>2026</v>
      </c>
      <c r="H24" s="251">
        <f t="shared" si="11"/>
        <v>2027</v>
      </c>
      <c r="I24" s="251">
        <f t="shared" si="11"/>
        <v>2028</v>
      </c>
      <c r="J24" s="251">
        <f t="shared" si="11"/>
        <v>2029</v>
      </c>
      <c r="K24" s="204"/>
      <c r="L24" s="204"/>
    </row>
    <row r="25" spans="1:13" x14ac:dyDescent="0.25">
      <c r="A25" s="7"/>
      <c r="B25" s="4" t="s">
        <v>30</v>
      </c>
      <c r="E25" s="27"/>
      <c r="F25" s="4" t="str">
        <f>F12</f>
        <v>NO REVOLVER</v>
      </c>
      <c r="G25" s="4" t="str">
        <f t="shared" ref="G25:J25" si="12">G12</f>
        <v>NO REVOLVER</v>
      </c>
      <c r="H25" s="4" t="str">
        <f t="shared" si="12"/>
        <v>NO REVOLVER</v>
      </c>
      <c r="I25" s="4" t="str">
        <f t="shared" si="12"/>
        <v>NO REVOLVER</v>
      </c>
      <c r="J25" s="4" t="str">
        <f t="shared" si="12"/>
        <v>NO REVOLVER</v>
      </c>
    </row>
    <row r="26" spans="1:13" x14ac:dyDescent="0.25">
      <c r="A26" s="7"/>
      <c r="B26" s="4" t="s">
        <v>38</v>
      </c>
      <c r="E26" s="27"/>
      <c r="F26" s="4">
        <f>F20</f>
        <v>38424</v>
      </c>
      <c r="G26" s="4">
        <f t="shared" ref="G26:J26" si="13">G20</f>
        <v>38424</v>
      </c>
      <c r="H26" s="4">
        <f t="shared" si="13"/>
        <v>38424</v>
      </c>
      <c r="I26" s="4">
        <f t="shared" si="13"/>
        <v>38424</v>
      </c>
      <c r="J26" s="4">
        <f t="shared" si="13"/>
        <v>38424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38424</v>
      </c>
      <c r="G27" s="11">
        <f t="shared" ref="G27:J27" si="14">SUM(G25:G26)</f>
        <v>38424</v>
      </c>
      <c r="H27" s="11">
        <f t="shared" si="14"/>
        <v>38424</v>
      </c>
      <c r="I27" s="11">
        <f t="shared" si="14"/>
        <v>38424</v>
      </c>
      <c r="J27" s="11">
        <f t="shared" si="14"/>
        <v>38424</v>
      </c>
      <c r="K27" s="11"/>
      <c r="L27" s="11"/>
    </row>
    <row r="28" spans="1:13" x14ac:dyDescent="0.25">
      <c r="A28" s="7"/>
      <c r="B28" s="4" t="s">
        <v>40</v>
      </c>
      <c r="E28" s="27"/>
      <c r="F28" s="4">
        <f>F22</f>
        <v>1921.2</v>
      </c>
      <c r="G28" s="4">
        <f t="shared" ref="G28:J28" si="15">G22</f>
        <v>1921.2</v>
      </c>
      <c r="H28" s="4">
        <f t="shared" si="15"/>
        <v>1921.2</v>
      </c>
      <c r="I28" s="4">
        <f t="shared" si="15"/>
        <v>1921.2</v>
      </c>
      <c r="J28" s="4">
        <f t="shared" si="15"/>
        <v>1921.2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2"/>
      <c r="C30" s="251">
        <f>C11</f>
        <v>2022</v>
      </c>
      <c r="D30" s="251">
        <f t="shared" ref="D30:F30" si="16">D11</f>
        <v>2023</v>
      </c>
      <c r="E30" s="251">
        <f t="shared" si="16"/>
        <v>2024</v>
      </c>
      <c r="F30" s="251">
        <f t="shared" si="16"/>
        <v>2025</v>
      </c>
      <c r="G30" s="251">
        <f t="shared" ref="G30:J30" si="17">G11</f>
        <v>2026</v>
      </c>
      <c r="H30" s="251">
        <f t="shared" si="17"/>
        <v>2027</v>
      </c>
      <c r="I30" s="251">
        <f t="shared" si="17"/>
        <v>2028</v>
      </c>
      <c r="J30" s="251">
        <f t="shared" si="17"/>
        <v>2029</v>
      </c>
      <c r="K30" s="204"/>
      <c r="L30" s="204"/>
    </row>
    <row r="31" spans="1:13" x14ac:dyDescent="0.25">
      <c r="A31" s="7"/>
      <c r="B31" s="4" t="s">
        <v>171</v>
      </c>
      <c r="E31" s="27"/>
      <c r="F31" s="4">
        <f>BalSheet!F18</f>
        <v>1206.55383848817</v>
      </c>
      <c r="G31" s="4">
        <f>BalSheet!G18</f>
        <v>1632.6171656670674</v>
      </c>
      <c r="H31" s="4">
        <f>BalSheet!H18</f>
        <v>2619.1505762456809</v>
      </c>
      <c r="I31" s="4">
        <f>BalSheet!I18</f>
        <v>4258.6166605340231</v>
      </c>
      <c r="J31" s="4">
        <f>BalSheet!J18</f>
        <v>6645.0173431811136</v>
      </c>
    </row>
    <row r="32" spans="1:13" x14ac:dyDescent="0.25">
      <c r="B32" s="4" t="s">
        <v>32</v>
      </c>
      <c r="D32" s="48"/>
      <c r="E32" s="23"/>
      <c r="F32" s="5">
        <f>F6</f>
        <v>0.10361744732662963</v>
      </c>
      <c r="G32" s="5">
        <f t="shared" ref="G32:J32" si="18">G6</f>
        <v>0.10361744732662963</v>
      </c>
      <c r="H32" s="5">
        <f t="shared" si="18"/>
        <v>0.10361744732662963</v>
      </c>
      <c r="I32" s="5">
        <f t="shared" si="18"/>
        <v>0.10361744732662963</v>
      </c>
      <c r="J32" s="5">
        <f t="shared" si="18"/>
        <v>0.10361744732662963</v>
      </c>
      <c r="K32" s="172"/>
      <c r="L32" s="172"/>
    </row>
    <row r="33" spans="2:10" x14ac:dyDescent="0.25">
      <c r="B33" s="4" t="s">
        <v>41</v>
      </c>
      <c r="E33" s="27"/>
      <c r="F33" s="4">
        <f>F31*F32</f>
        <v>125.02002880629074</v>
      </c>
      <c r="G33" s="4">
        <f t="shared" ref="G33:J33" si="19">G31*G32</f>
        <v>169.16762316805873</v>
      </c>
      <c r="H33" s="4">
        <f t="shared" si="19"/>
        <v>271.38969687464845</v>
      </c>
      <c r="I33" s="4">
        <f t="shared" si="19"/>
        <v>441.26698750719152</v>
      </c>
      <c r="J33" s="4">
        <f t="shared" si="19"/>
        <v>688.53973454160939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topLeftCell="A4" zoomScaleNormal="100" workbookViewId="0">
      <selection activeCell="G5" sqref="G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</row>
    <row r="3" spans="1:12" x14ac:dyDescent="0.25">
      <c r="A3" s="86"/>
      <c r="C3" s="99"/>
      <c r="D3" s="99"/>
      <c r="E3" s="99"/>
    </row>
    <row r="4" spans="1:12" x14ac:dyDescent="0.25">
      <c r="B4" s="30" t="s">
        <v>43</v>
      </c>
      <c r="C4" s="31"/>
      <c r="D4" s="31"/>
      <c r="E4" s="32"/>
      <c r="F4" s="176">
        <f>Assumptions!F10</f>
        <v>3.0661323088819081E-2</v>
      </c>
      <c r="G4" s="176">
        <f>Assumptions!G10</f>
        <v>6.0167258832973802E-2</v>
      </c>
      <c r="H4" s="176">
        <f>Assumptions!H10</f>
        <v>5.9725442563976827E-2</v>
      </c>
      <c r="I4" s="176">
        <f>Assumptions!I10</f>
        <v>5.9782772774660042E-2</v>
      </c>
      <c r="J4" s="176">
        <f>Assumptions!J10</f>
        <v>5.9840257140222564E-2</v>
      </c>
      <c r="K4" s="209"/>
      <c r="L4" s="209"/>
    </row>
    <row r="5" spans="1:12" x14ac:dyDescent="0.25">
      <c r="B5" s="30" t="s">
        <v>44</v>
      </c>
      <c r="C5" s="31"/>
      <c r="D5" s="31"/>
      <c r="E5" s="31"/>
      <c r="F5" s="176">
        <f>Assumptions!F11</f>
        <v>0.53504834445079741</v>
      </c>
      <c r="G5" s="176">
        <f>Assumptions!G11</f>
        <v>0.53504834445079741</v>
      </c>
      <c r="H5" s="176">
        <f>Assumptions!H11</f>
        <v>0.53504834445079741</v>
      </c>
      <c r="I5" s="176">
        <f>Assumptions!I11</f>
        <v>0.53504834445079741</v>
      </c>
      <c r="J5" s="176">
        <f>Assumptions!J11</f>
        <v>0.53504834445079741</v>
      </c>
      <c r="K5" s="209"/>
      <c r="L5" s="209"/>
    </row>
    <row r="6" spans="1:12" x14ac:dyDescent="0.25">
      <c r="B6" s="30" t="s">
        <v>45</v>
      </c>
      <c r="C6" s="31"/>
      <c r="D6" s="31"/>
      <c r="E6" s="31"/>
      <c r="F6" s="176">
        <f>Assumptions!F12</f>
        <v>0.11565901915520158</v>
      </c>
      <c r="G6" s="176">
        <f>Assumptions!G12</f>
        <v>0.11565901915520158</v>
      </c>
      <c r="H6" s="176">
        <f>Assumptions!H12</f>
        <v>0.11565901915520158</v>
      </c>
      <c r="I6" s="176">
        <f>Assumptions!I12</f>
        <v>0.11565901915520158</v>
      </c>
      <c r="J6" s="176">
        <f>Assumptions!J12</f>
        <v>0.11565901915520158</v>
      </c>
      <c r="K6" s="209"/>
      <c r="L6" s="209"/>
    </row>
    <row r="7" spans="1:12" x14ac:dyDescent="0.25">
      <c r="A7" s="86"/>
      <c r="B7" s="4" t="s">
        <v>46</v>
      </c>
      <c r="C7" s="30"/>
      <c r="D7" s="30"/>
      <c r="E7" s="30"/>
      <c r="F7" s="177">
        <f>Assumptions!F13</f>
        <v>0</v>
      </c>
      <c r="G7" s="177">
        <f>Assumptions!G13</f>
        <v>0</v>
      </c>
      <c r="H7" s="177">
        <f>Assumptions!H13</f>
        <v>0</v>
      </c>
      <c r="I7" s="177">
        <f>Assumptions!I13</f>
        <v>0</v>
      </c>
      <c r="J7" s="177">
        <f>Assumptions!J13</f>
        <v>0</v>
      </c>
      <c r="K7" s="210"/>
      <c r="L7" s="210"/>
    </row>
    <row r="8" spans="1:12" x14ac:dyDescent="0.25">
      <c r="A8" s="86"/>
      <c r="B8" s="4" t="s">
        <v>47</v>
      </c>
      <c r="C8" s="30"/>
      <c r="D8" s="30"/>
      <c r="E8" s="30"/>
      <c r="F8" s="178">
        <f>Assumptions!F14</f>
        <v>0</v>
      </c>
      <c r="G8" s="178">
        <f>Assumptions!G14</f>
        <v>0</v>
      </c>
      <c r="H8" s="178">
        <f>Assumptions!H14</f>
        <v>0</v>
      </c>
      <c r="I8" s="178">
        <f>Assumptions!I14</f>
        <v>0</v>
      </c>
      <c r="J8" s="178">
        <f>Assumptions!J14</f>
        <v>0</v>
      </c>
      <c r="K8" s="211"/>
      <c r="L8" s="211"/>
    </row>
    <row r="9" spans="1:12" x14ac:dyDescent="0.25">
      <c r="B9" s="4" t="s">
        <v>147</v>
      </c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211"/>
      <c r="L9" s="211"/>
    </row>
    <row r="10" spans="1:12" x14ac:dyDescent="0.25">
      <c r="B10" s="30" t="s">
        <v>48</v>
      </c>
      <c r="C10" s="43"/>
      <c r="D10" s="43"/>
      <c r="E10" s="43"/>
      <c r="F10" s="176">
        <f>Assumptions!F16</f>
        <v>0.22</v>
      </c>
      <c r="G10" s="176">
        <f>Assumptions!G16</f>
        <v>0.22</v>
      </c>
      <c r="H10" s="176">
        <f>Assumptions!H16</f>
        <v>0.22</v>
      </c>
      <c r="I10" s="176">
        <f>Assumptions!I16</f>
        <v>0.22</v>
      </c>
      <c r="J10" s="176">
        <f>Assumptions!J16</f>
        <v>0.22</v>
      </c>
      <c r="K10" s="209"/>
      <c r="L10" s="209"/>
    </row>
    <row r="11" spans="1:12" s="263" customFormat="1" x14ac:dyDescent="0.25">
      <c r="A11" s="266"/>
      <c r="B11" s="263" t="s">
        <v>141</v>
      </c>
      <c r="E11" s="267"/>
      <c r="F11" s="268">
        <f>Assumptions!F17</f>
        <v>7.3322901799648035</v>
      </c>
      <c r="G11" s="268">
        <f>Assumptions!G17</f>
        <v>7.884683380951464</v>
      </c>
      <c r="H11" s="268">
        <f>Assumptions!H17</f>
        <v>8.4370765819381255</v>
      </c>
      <c r="I11" s="268">
        <f>Assumptions!I17</f>
        <v>8.989469782924786</v>
      </c>
      <c r="J11" s="268">
        <f>Assumptions!J17</f>
        <v>9.5418629839114466</v>
      </c>
      <c r="K11" s="269"/>
      <c r="L11" s="269"/>
    </row>
    <row r="12" spans="1:12" x14ac:dyDescent="0.25">
      <c r="B12" s="4" t="s">
        <v>49</v>
      </c>
      <c r="C12" s="30"/>
      <c r="D12" s="30"/>
      <c r="E12" s="39"/>
      <c r="F12" s="178">
        <f>Assumptions!F18</f>
        <v>718.3</v>
      </c>
      <c r="G12" s="178">
        <f>Assumptions!G18</f>
        <v>718.3</v>
      </c>
      <c r="H12" s="178">
        <f>Assumptions!H18</f>
        <v>718.3</v>
      </c>
      <c r="I12" s="178">
        <f>Assumptions!I18</f>
        <v>718.3</v>
      </c>
      <c r="J12" s="178">
        <f>Assumptions!J18</f>
        <v>718.3</v>
      </c>
      <c r="K12" s="211"/>
      <c r="L12" s="211"/>
    </row>
    <row r="13" spans="1:12" x14ac:dyDescent="0.25">
      <c r="B13" s="4" t="s">
        <v>50</v>
      </c>
      <c r="C13" s="30"/>
      <c r="D13" s="30"/>
      <c r="E13" s="39"/>
      <c r="F13" s="178">
        <f>Assumptions!F19</f>
        <v>721.9</v>
      </c>
      <c r="G13" s="178">
        <f>Assumptions!G19</f>
        <v>721.9</v>
      </c>
      <c r="H13" s="178">
        <f>Assumptions!H19</f>
        <v>721.9</v>
      </c>
      <c r="I13" s="178">
        <f>Assumptions!I19</f>
        <v>721.9</v>
      </c>
      <c r="J13" s="178">
        <f>Assumptions!J19</f>
        <v>721.9</v>
      </c>
      <c r="K13" s="211"/>
      <c r="L13" s="211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9" t="s">
        <v>42</v>
      </c>
      <c r="B15" s="180"/>
      <c r="C15" s="151">
        <f>C37</f>
        <v>44926</v>
      </c>
      <c r="D15" s="151">
        <f t="shared" ref="D15:J15" si="1">D37</f>
        <v>45291</v>
      </c>
      <c r="E15" s="151">
        <f t="shared" si="1"/>
        <v>45657</v>
      </c>
      <c r="F15" s="151">
        <f t="shared" si="1"/>
        <v>46022</v>
      </c>
      <c r="G15" s="151">
        <f t="shared" si="1"/>
        <v>46022</v>
      </c>
      <c r="H15" s="151">
        <f t="shared" si="1"/>
        <v>46022</v>
      </c>
      <c r="I15" s="151">
        <f t="shared" si="1"/>
        <v>46022</v>
      </c>
      <c r="J15" s="151">
        <f t="shared" si="1"/>
        <v>46022</v>
      </c>
      <c r="K15" s="207"/>
      <c r="L15" s="207"/>
    </row>
    <row r="16" spans="1:12" x14ac:dyDescent="0.25">
      <c r="B16" s="4" t="s">
        <v>51</v>
      </c>
      <c r="C16" s="97">
        <f>'Quarterly Projections'!G8</f>
        <v>23182.600000000002</v>
      </c>
      <c r="D16" s="123">
        <f>'Quarterly Projections'!L8</f>
        <v>25493.807883338748</v>
      </c>
      <c r="E16" s="22">
        <f>'Quarterly Projections'!Q8</f>
        <v>25921.022172745703</v>
      </c>
      <c r="F16" s="4">
        <f>E16*(1+F4)</f>
        <v>26715.795008376703</v>
      </c>
      <c r="G16" s="4">
        <f t="shared" ref="G16:J16" si="2">F16*(1+G4)</f>
        <v>28323.211161574374</v>
      </c>
      <c r="H16" s="4">
        <f t="shared" si="2"/>
        <v>30014.827483032372</v>
      </c>
      <c r="I16" s="4">
        <f t="shared" si="2"/>
        <v>31809.197094321116</v>
      </c>
      <c r="J16" s="4">
        <f t="shared" si="2"/>
        <v>33712.667627869312</v>
      </c>
    </row>
    <row r="17" spans="1:12" x14ac:dyDescent="0.25">
      <c r="B17" s="4" t="s">
        <v>158</v>
      </c>
      <c r="C17" s="123">
        <f>SUM('Quarterly Projections'!G10,'Quarterly Projections'!G12,'Quarterly Projections'!G15)</f>
        <v>13566.8</v>
      </c>
      <c r="D17" s="123">
        <f>SUM('Quarterly Projections'!L10,'Quarterly Projections'!L12,'Quarterly Projections'!L14)</f>
        <v>10932.099999999999</v>
      </c>
      <c r="E17" s="22">
        <f>SUM('Quarterly Projections'!Q10,'Quarterly Projections'!Q12,'Quarterly Projections'!Q15)</f>
        <v>13869</v>
      </c>
      <c r="F17" s="174">
        <f>F16*F5</f>
        <v>14294.241889918832</v>
      </c>
      <c r="G17" s="174">
        <f t="shared" ref="G17:J17" si="3">G16*G5</f>
        <v>15154.287241530716</v>
      </c>
      <c r="H17" s="174">
        <f t="shared" si="3"/>
        <v>16059.383753772765</v>
      </c>
      <c r="I17" s="174">
        <f t="shared" si="3"/>
        <v>17019.458243625628</v>
      </c>
      <c r="J17" s="174">
        <f t="shared" si="3"/>
        <v>18037.907001311465</v>
      </c>
      <c r="K17" s="208"/>
      <c r="L17" s="208"/>
    </row>
    <row r="18" spans="1:12" x14ac:dyDescent="0.25">
      <c r="B18" s="4" t="s">
        <v>52</v>
      </c>
      <c r="C18" s="123">
        <f>SUM('Quarterly Projections'!G15)</f>
        <v>3836.2</v>
      </c>
      <c r="D18" s="123">
        <f>'Quarterly Projections'!L15</f>
        <v>2917.1</v>
      </c>
      <c r="E18" s="22">
        <f>'Quarterly Projections'!Q15</f>
        <v>2998</v>
      </c>
      <c r="F18" s="174">
        <f>F16*F6</f>
        <v>3089.9226466202799</v>
      </c>
      <c r="G18" s="174">
        <f t="shared" ref="G18:J18" si="4">G16*G6</f>
        <v>3275.8348222733498</v>
      </c>
      <c r="H18" s="174">
        <f t="shared" si="4"/>
        <v>3471.4855068001116</v>
      </c>
      <c r="I18" s="174">
        <f t="shared" si="4"/>
        <v>3679.0205360436685</v>
      </c>
      <c r="J18" s="174">
        <f t="shared" si="4"/>
        <v>3899.1740709446808</v>
      </c>
      <c r="K18" s="208"/>
      <c r="L18" s="208"/>
    </row>
    <row r="19" spans="1:12" s="11" customFormat="1" x14ac:dyDescent="0.25">
      <c r="A19" s="11" t="s">
        <v>126</v>
      </c>
      <c r="B19" s="17" t="s">
        <v>55</v>
      </c>
      <c r="C19" s="18">
        <f>C16-SUM(C17:C18)</f>
        <v>5779.6000000000022</v>
      </c>
      <c r="D19" s="18">
        <f>D16-SUM(D17:D18)</f>
        <v>11644.607883338749</v>
      </c>
      <c r="E19" s="18">
        <f>E16-SUM(E17:E18)</f>
        <v>9054.0221727457028</v>
      </c>
      <c r="F19" s="18">
        <f>F16-SUM(F17:F18)</f>
        <v>9331.6304718375904</v>
      </c>
      <c r="G19" s="18">
        <f t="shared" ref="G19:J19" si="5">G16-SUM(G17:G18)</f>
        <v>9893.0890977703093</v>
      </c>
      <c r="H19" s="18">
        <f t="shared" si="5"/>
        <v>10483.958222459496</v>
      </c>
      <c r="I19" s="18">
        <f t="shared" si="5"/>
        <v>11110.718314651818</v>
      </c>
      <c r="J19" s="18">
        <f t="shared" si="5"/>
        <v>11775.586555613165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4">
        <v>370</v>
      </c>
      <c r="D21" s="124">
        <v>382</v>
      </c>
      <c r="E21" s="25">
        <v>447</v>
      </c>
      <c r="F21" s="4">
        <f>Calcs!F8</f>
        <v>449.46639945864348</v>
      </c>
      <c r="G21" s="4">
        <f>Calcs!G8</f>
        <v>481.46599654994498</v>
      </c>
      <c r="H21" s="4">
        <f>Calcs!H8</f>
        <v>508.74303675587873</v>
      </c>
      <c r="I21" s="4">
        <f>Calcs!I8</f>
        <v>530.68258786642321</v>
      </c>
      <c r="J21" s="4">
        <f>Calcs!J8</f>
        <v>546.63100003132422</v>
      </c>
      <c r="K21" s="4"/>
      <c r="L21" s="4"/>
    </row>
    <row r="22" spans="1:12" s="11" customFormat="1" x14ac:dyDescent="0.25">
      <c r="B22" s="4" t="s">
        <v>54</v>
      </c>
      <c r="C22" s="97"/>
      <c r="D22" s="97"/>
      <c r="E22" s="125"/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8" customFormat="1" x14ac:dyDescent="0.25">
      <c r="A23" s="128" t="s">
        <v>126</v>
      </c>
      <c r="B23" s="129" t="s">
        <v>53</v>
      </c>
      <c r="C23" s="130">
        <f>SUM(C19,C21:C22)</f>
        <v>6149.6000000000022</v>
      </c>
      <c r="D23" s="130">
        <f t="shared" ref="D23:F23" si="7">SUM(D19,D21:D22)</f>
        <v>12026.607883338749</v>
      </c>
      <c r="E23" s="130">
        <f t="shared" si="7"/>
        <v>9501.0221727457028</v>
      </c>
      <c r="F23" s="130">
        <f t="shared" si="7"/>
        <v>9781.0968712962331</v>
      </c>
      <c r="G23" s="130">
        <f t="shared" ref="G23:J23" si="8">SUM(G19,G21:G22)</f>
        <v>10374.555094320254</v>
      </c>
      <c r="H23" s="130">
        <f t="shared" si="8"/>
        <v>10992.701259215375</v>
      </c>
      <c r="I23" s="130">
        <f t="shared" si="8"/>
        <v>11641.400902518242</v>
      </c>
      <c r="J23" s="130">
        <f t="shared" si="8"/>
        <v>12322.217555644489</v>
      </c>
    </row>
    <row r="24" spans="1:12" s="11" customFormat="1" x14ac:dyDescent="0.25">
      <c r="C24" s="13"/>
      <c r="D24" s="4"/>
      <c r="E24" s="36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5">
        <v>0</v>
      </c>
      <c r="D25" s="95">
        <v>0</v>
      </c>
      <c r="E25" s="96">
        <v>0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5">
        <v>0</v>
      </c>
      <c r="D26" s="95">
        <v>0</v>
      </c>
      <c r="E26" s="96">
        <v>0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339</v>
      </c>
      <c r="D28" s="9">
        <v>236</v>
      </c>
      <c r="E28" s="45">
        <v>139</v>
      </c>
      <c r="F28" s="293">
        <f>IF(circ=1,Debt!F33,0)</f>
        <v>0</v>
      </c>
      <c r="G28" s="293">
        <f>IF(circ=1,Debt!G33,0)</f>
        <v>0</v>
      </c>
      <c r="H28" s="293">
        <f>IF(circ=1,Debt!H33,0)</f>
        <v>0</v>
      </c>
      <c r="I28" s="293">
        <f>IF(circ=1,Debt!I33,0)</f>
        <v>0</v>
      </c>
      <c r="J28" s="293">
        <f>IF(circ=1,Debt!J33,0)</f>
        <v>0</v>
      </c>
      <c r="K28" s="184"/>
      <c r="L28" s="184"/>
    </row>
    <row r="29" spans="1:12" x14ac:dyDescent="0.25">
      <c r="B29" s="4" t="s">
        <v>33</v>
      </c>
      <c r="C29" s="9">
        <v>-1207</v>
      </c>
      <c r="D29" s="9">
        <v>-1361</v>
      </c>
      <c r="E29" s="45">
        <v>-1506</v>
      </c>
      <c r="F29" s="293">
        <f>IF(circ=1,-Debt!F22,0)</f>
        <v>0</v>
      </c>
      <c r="G29" s="293">
        <f>IF(circ=1,-Debt!G22,0)</f>
        <v>0</v>
      </c>
      <c r="H29" s="293">
        <f>IF(circ=1,-Debt!H22,0)</f>
        <v>0</v>
      </c>
      <c r="I29" s="293">
        <f>IF(circ=1,-Debt!I22,0)</f>
        <v>0</v>
      </c>
      <c r="J29" s="293">
        <f>IF(circ=1,-Debt!J22,0)</f>
        <v>0</v>
      </c>
      <c r="K29" s="184"/>
      <c r="L29" s="184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1">C19+SUM(C26:C29)</f>
        <v>4911.6000000000022</v>
      </c>
      <c r="D31" s="18">
        <f t="shared" si="11"/>
        <v>10519.607883338749</v>
      </c>
      <c r="E31" s="18">
        <f>E19+SUM(E25:E29)</f>
        <v>7687.0221727457028</v>
      </c>
      <c r="F31" s="18">
        <f>F19+SUM(F25:F29)</f>
        <v>9331.6304718375904</v>
      </c>
      <c r="G31" s="18">
        <f t="shared" ref="G31:J31" si="12">G19+SUM(G25:G29)</f>
        <v>9893.0890977703093</v>
      </c>
      <c r="H31" s="18">
        <f t="shared" si="12"/>
        <v>10483.958222459496</v>
      </c>
      <c r="I31" s="18">
        <f t="shared" si="12"/>
        <v>11110.718314651818</v>
      </c>
      <c r="J31" s="18">
        <f t="shared" si="12"/>
        <v>11775.586555613165</v>
      </c>
    </row>
    <row r="32" spans="1:12" x14ac:dyDescent="0.25">
      <c r="E32" s="37"/>
      <c r="H32" s="4"/>
    </row>
    <row r="33" spans="1:12" x14ac:dyDescent="0.25">
      <c r="B33" s="4" t="s">
        <v>58</v>
      </c>
      <c r="C33" s="132">
        <f>'Quarterly Projections'!G23</f>
        <v>1648</v>
      </c>
      <c r="D33" s="4">
        <f>'Quarterly Projections'!L23</f>
        <v>2053</v>
      </c>
      <c r="E33" s="59">
        <f>'Quarterly Projections'!Q23</f>
        <v>2121</v>
      </c>
      <c r="F33" s="4">
        <f>F31*F10</f>
        <v>2052.95870380427</v>
      </c>
      <c r="G33" s="4">
        <f t="shared" ref="G33:J33" si="13">G31*G10</f>
        <v>2176.479601509468</v>
      </c>
      <c r="H33" s="4">
        <f t="shared" si="13"/>
        <v>2306.4708089410892</v>
      </c>
      <c r="I33" s="4">
        <f t="shared" si="13"/>
        <v>2444.3580292234001</v>
      </c>
      <c r="J33" s="4">
        <f t="shared" si="13"/>
        <v>2590.6290422348961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3263.6000000000022</v>
      </c>
      <c r="D34" s="34">
        <f t="shared" ref="D34:F34" si="14">D31-D33</f>
        <v>8466.6078833387492</v>
      </c>
      <c r="E34" s="18">
        <f t="shared" si="14"/>
        <v>5566.0221727457028</v>
      </c>
      <c r="F34" s="18">
        <f t="shared" si="14"/>
        <v>7278.6717680333204</v>
      </c>
      <c r="G34" s="18">
        <f t="shared" ref="G34:J34" si="15">G31-G33</f>
        <v>7716.6094962608413</v>
      </c>
      <c r="H34" s="18">
        <f t="shared" si="15"/>
        <v>8177.4874135184073</v>
      </c>
      <c r="I34" s="18">
        <f t="shared" si="15"/>
        <v>8666.3602854284181</v>
      </c>
      <c r="J34" s="18">
        <f t="shared" si="15"/>
        <v>9184.9575133782691</v>
      </c>
    </row>
    <row r="35" spans="1:12" s="263" customFormat="1" x14ac:dyDescent="0.25">
      <c r="A35" s="266"/>
      <c r="B35" s="263" t="s">
        <v>180</v>
      </c>
      <c r="C35" s="270">
        <f t="shared" ref="C35:D35" si="16">C36/C38</f>
        <v>5.6591989137813989</v>
      </c>
      <c r="D35" s="273">
        <f t="shared" si="16"/>
        <v>6.2275037779914824</v>
      </c>
      <c r="E35" s="271">
        <f>E36/E38</f>
        <v>6.7798969789781429</v>
      </c>
      <c r="F35" s="263">
        <f>F11</f>
        <v>7.3322901799648035</v>
      </c>
      <c r="G35" s="263">
        <f t="shared" ref="G35:J35" si="17">G11</f>
        <v>7.884683380951464</v>
      </c>
      <c r="H35" s="263">
        <f t="shared" si="17"/>
        <v>8.4370765819381255</v>
      </c>
      <c r="I35" s="263">
        <f t="shared" si="17"/>
        <v>8.989469782924786</v>
      </c>
      <c r="J35" s="263">
        <f t="shared" si="17"/>
        <v>9.5418629839114466</v>
      </c>
    </row>
    <row r="36" spans="1:12" x14ac:dyDescent="0.25">
      <c r="B36" s="4" t="s">
        <v>60</v>
      </c>
      <c r="C36" s="10">
        <v>4168</v>
      </c>
      <c r="D36" s="10">
        <v>4533</v>
      </c>
      <c r="E36" s="22">
        <v>4870</v>
      </c>
      <c r="F36" s="4">
        <f>F35*F38</f>
        <v>5266.7840362687184</v>
      </c>
      <c r="G36" s="4">
        <f t="shared" ref="G36:J36" si="18">G35*G38</f>
        <v>5663.5680725374359</v>
      </c>
      <c r="H36" s="4">
        <f t="shared" si="18"/>
        <v>6060.3521088061552</v>
      </c>
      <c r="I36" s="4">
        <f t="shared" si="18"/>
        <v>6457.1361450748736</v>
      </c>
      <c r="J36" s="4">
        <f t="shared" si="18"/>
        <v>6853.920181343592</v>
      </c>
    </row>
    <row r="37" spans="1:12" x14ac:dyDescent="0.25">
      <c r="A37" s="20" t="s">
        <v>61</v>
      </c>
      <c r="B37" s="19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4"/>
      <c r="L37" s="204"/>
    </row>
    <row r="38" spans="1:12" x14ac:dyDescent="0.25">
      <c r="B38" s="4" t="s">
        <v>49</v>
      </c>
      <c r="C38" s="10">
        <v>736.5</v>
      </c>
      <c r="D38" s="10">
        <v>727.9</v>
      </c>
      <c r="E38" s="22">
        <v>718.3</v>
      </c>
      <c r="F38" s="175">
        <f>F12</f>
        <v>718.3</v>
      </c>
      <c r="G38" s="175">
        <f t="shared" ref="G38:J38" si="19">G12</f>
        <v>718.3</v>
      </c>
      <c r="H38" s="175">
        <f t="shared" si="19"/>
        <v>718.3</v>
      </c>
      <c r="I38" s="175">
        <f t="shared" si="19"/>
        <v>718.3</v>
      </c>
      <c r="J38" s="175">
        <f t="shared" si="19"/>
        <v>718.3</v>
      </c>
      <c r="K38" s="208"/>
      <c r="L38" s="208"/>
    </row>
    <row r="39" spans="1:12" x14ac:dyDescent="0.25">
      <c r="B39" s="4" t="s">
        <v>50</v>
      </c>
      <c r="C39" s="10">
        <v>741.3</v>
      </c>
      <c r="D39" s="10">
        <v>732.3</v>
      </c>
      <c r="E39" s="22">
        <v>721.9</v>
      </c>
      <c r="F39" s="175">
        <f>F13</f>
        <v>721.9</v>
      </c>
      <c r="G39" s="175">
        <f t="shared" ref="G39:J39" si="20">G13</f>
        <v>721.9</v>
      </c>
      <c r="H39" s="175">
        <f t="shared" si="20"/>
        <v>721.9</v>
      </c>
      <c r="I39" s="175">
        <f t="shared" si="20"/>
        <v>721.9</v>
      </c>
      <c r="J39" s="175">
        <f t="shared" si="20"/>
        <v>721.9</v>
      </c>
      <c r="K39" s="208"/>
      <c r="L39" s="208"/>
    </row>
    <row r="40" spans="1:12" x14ac:dyDescent="0.25">
      <c r="B40" s="4" t="s">
        <v>62</v>
      </c>
      <c r="C40" s="182">
        <f t="shared" ref="C40:D40" si="21">C34/C38</f>
        <v>4.4312287847929426</v>
      </c>
      <c r="D40" s="182">
        <f t="shared" si="21"/>
        <v>11.631553624589571</v>
      </c>
      <c r="E40" s="183">
        <f>E34/E38</f>
        <v>7.7488823231876696</v>
      </c>
      <c r="F40" s="174">
        <f>F34/F38</f>
        <v>10.133191936563165</v>
      </c>
      <c r="G40" s="174">
        <f t="shared" ref="G40:J40" si="22">G34/G38</f>
        <v>10.742878318614565</v>
      </c>
      <c r="H40" s="174">
        <f t="shared" si="22"/>
        <v>11.384501480604772</v>
      </c>
      <c r="I40" s="174">
        <f t="shared" si="22"/>
        <v>12.065098545772544</v>
      </c>
      <c r="J40" s="174">
        <f t="shared" si="22"/>
        <v>12.787077145173701</v>
      </c>
      <c r="K40" s="208"/>
      <c r="L40" s="208"/>
    </row>
    <row r="41" spans="1:12" s="11" customFormat="1" x14ac:dyDescent="0.25">
      <c r="A41" s="11" t="s">
        <v>126</v>
      </c>
      <c r="B41" s="17" t="s">
        <v>63</v>
      </c>
      <c r="C41" s="181">
        <f t="shared" ref="C41:D41" si="23">C34/C39</f>
        <v>4.402536085255635</v>
      </c>
      <c r="D41" s="181">
        <f t="shared" si="23"/>
        <v>11.561665824578382</v>
      </c>
      <c r="E41" s="181">
        <f>E34/E39</f>
        <v>7.7102398846733662</v>
      </c>
      <c r="F41" s="181">
        <f>F34/F39</f>
        <v>10.08265932682272</v>
      </c>
      <c r="G41" s="181">
        <f t="shared" ref="G41:J41" si="24">G34/G39</f>
        <v>10.68930530026436</v>
      </c>
      <c r="H41" s="181">
        <f t="shared" si="24"/>
        <v>11.327728790024114</v>
      </c>
      <c r="I41" s="181">
        <f t="shared" si="24"/>
        <v>12.004931826331097</v>
      </c>
      <c r="J41" s="181">
        <f t="shared" si="24"/>
        <v>12.723310033769593</v>
      </c>
      <c r="K41" s="212"/>
      <c r="L41" s="212"/>
    </row>
    <row r="42" spans="1:12" x14ac:dyDescent="0.25">
      <c r="C42" s="14"/>
      <c r="D42" s="14"/>
      <c r="E42" s="38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zoomScaleNormal="100" workbookViewId="0">
      <selection activeCell="G44" sqref="G44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  <c r="K2" s="213"/>
      <c r="L2" s="213"/>
    </row>
    <row r="3" spans="1:12" x14ac:dyDescent="0.25">
      <c r="K3" s="6"/>
      <c r="L3" s="6"/>
    </row>
    <row r="4" spans="1:12" x14ac:dyDescent="0.25">
      <c r="B4" s="4" t="s">
        <v>142</v>
      </c>
      <c r="C4" s="43"/>
      <c r="D4" s="43"/>
      <c r="E4" s="44"/>
      <c r="F4" s="102">
        <f>Assumptions!F44</f>
        <v>1.5000000000000001E-2</v>
      </c>
      <c r="G4" s="102">
        <f>F4</f>
        <v>1.5000000000000001E-2</v>
      </c>
      <c r="H4" s="102">
        <f t="shared" ref="H4:J4" si="1">G4</f>
        <v>1.5000000000000001E-2</v>
      </c>
      <c r="I4" s="102">
        <f t="shared" si="1"/>
        <v>1.5000000000000001E-2</v>
      </c>
      <c r="J4" s="102">
        <f t="shared" si="1"/>
        <v>1.5000000000000001E-2</v>
      </c>
      <c r="K4" s="171"/>
      <c r="L4" s="171"/>
    </row>
    <row r="5" spans="1:12" x14ac:dyDescent="0.25">
      <c r="B5" s="4" t="s">
        <v>154</v>
      </c>
      <c r="C5" s="43"/>
      <c r="D5" s="43"/>
      <c r="E5" s="44"/>
      <c r="F5" s="102">
        <f>Assumptions!F45</f>
        <v>9.1933102950915724E-2</v>
      </c>
      <c r="G5" s="102">
        <f>Assumptions!G45</f>
        <v>9.1933102950915724E-2</v>
      </c>
      <c r="H5" s="102">
        <f>Assumptions!H45</f>
        <v>9.1933102950915724E-2</v>
      </c>
      <c r="I5" s="102">
        <f>Assumptions!I45</f>
        <v>9.1933102950915724E-2</v>
      </c>
      <c r="J5" s="102">
        <f>Assumptions!J45</f>
        <v>9.1933102950915724E-2</v>
      </c>
      <c r="K5" s="171"/>
      <c r="L5" s="171"/>
    </row>
    <row r="6" spans="1:12" x14ac:dyDescent="0.25">
      <c r="B6" s="4" t="s">
        <v>65</v>
      </c>
      <c r="C6" s="43"/>
      <c r="D6" s="43"/>
      <c r="E6" s="44"/>
      <c r="F6" s="102">
        <f>Assumptions!F46</f>
        <v>4.0377821039728895E-3</v>
      </c>
      <c r="G6" s="102">
        <f>Assumptions!G46</f>
        <v>4.0377821039728895E-3</v>
      </c>
      <c r="H6" s="102">
        <f>Assumptions!H46</f>
        <v>4.0377821039728895E-3</v>
      </c>
      <c r="I6" s="102">
        <f>Assumptions!I46</f>
        <v>4.0377821039728895E-3</v>
      </c>
      <c r="J6" s="102">
        <f>Assumptions!J46</f>
        <v>4.0377821039728895E-3</v>
      </c>
      <c r="K6" s="171"/>
      <c r="L6" s="171"/>
    </row>
    <row r="7" spans="1:12" x14ac:dyDescent="0.25">
      <c r="B7" s="4" t="s">
        <v>66</v>
      </c>
      <c r="C7" s="43"/>
      <c r="D7" s="43"/>
      <c r="E7" s="44"/>
      <c r="F7" s="102">
        <f>Assumptions!F47</f>
        <v>4.143355122504553E-2</v>
      </c>
      <c r="G7" s="102">
        <f>Assumptions!G47</f>
        <v>4.143355122504553E-2</v>
      </c>
      <c r="H7" s="102">
        <f>Assumptions!H47</f>
        <v>4.143355122504553E-2</v>
      </c>
      <c r="I7" s="102">
        <f>Assumptions!I47</f>
        <v>4.143355122504553E-2</v>
      </c>
      <c r="J7" s="102">
        <f>Assumptions!J47</f>
        <v>4.143355122504553E-2</v>
      </c>
      <c r="K7" s="171"/>
      <c r="L7" s="171"/>
    </row>
    <row r="8" spans="1:12" x14ac:dyDescent="0.25">
      <c r="A8" s="7"/>
      <c r="C8" s="30"/>
      <c r="D8" s="30"/>
      <c r="E8" s="30"/>
      <c r="F8" s="103"/>
      <c r="G8" s="103"/>
      <c r="H8" s="103"/>
      <c r="I8" s="103"/>
      <c r="J8" s="103"/>
      <c r="K8" s="171"/>
      <c r="L8" s="171"/>
    </row>
    <row r="9" spans="1:12" x14ac:dyDescent="0.25">
      <c r="B9" s="4" t="s">
        <v>67</v>
      </c>
      <c r="C9" s="43"/>
      <c r="D9" s="43"/>
      <c r="E9" s="44"/>
      <c r="F9" s="102">
        <f>Assumptions!F50</f>
        <v>0.23513733213841015</v>
      </c>
      <c r="G9" s="102">
        <f>Assumptions!G50</f>
        <v>0.23513733213841015</v>
      </c>
      <c r="H9" s="102">
        <f>Assumptions!H50</f>
        <v>0.23513733213841015</v>
      </c>
      <c r="I9" s="102">
        <f>Assumptions!I50</f>
        <v>0.23513733213841015</v>
      </c>
      <c r="J9" s="102">
        <f>Assumptions!J50</f>
        <v>0.23513733213841015</v>
      </c>
      <c r="K9" s="171"/>
      <c r="L9" s="171"/>
    </row>
    <row r="10" spans="1:12" x14ac:dyDescent="0.25">
      <c r="B10" s="4" t="s">
        <v>163</v>
      </c>
      <c r="C10" s="43"/>
      <c r="D10" s="43"/>
      <c r="E10" s="150"/>
      <c r="F10" s="101">
        <f>Assumptions!F49</f>
        <v>2710</v>
      </c>
      <c r="G10" s="101">
        <f>Assumptions!G49</f>
        <v>2710</v>
      </c>
      <c r="H10" s="101">
        <f>Assumptions!H49</f>
        <v>2710</v>
      </c>
      <c r="I10" s="101">
        <f>Assumptions!I49</f>
        <v>2710</v>
      </c>
      <c r="J10" s="101">
        <f>Assumptions!J49</f>
        <v>2710</v>
      </c>
      <c r="K10" s="197"/>
      <c r="L10" s="197"/>
    </row>
    <row r="11" spans="1:12" x14ac:dyDescent="0.25">
      <c r="C11" s="30"/>
      <c r="D11" s="30"/>
      <c r="E11" s="30"/>
      <c r="F11" s="103"/>
      <c r="G11" s="103"/>
      <c r="H11" s="103"/>
      <c r="I11" s="103"/>
      <c r="J11" s="103"/>
      <c r="K11" s="171"/>
      <c r="L11" s="171"/>
    </row>
    <row r="12" spans="1:12" x14ac:dyDescent="0.25">
      <c r="B12" s="4" t="s">
        <v>153</v>
      </c>
      <c r="C12" s="43"/>
      <c r="D12" s="43"/>
      <c r="E12" s="44"/>
      <c r="F12" s="102">
        <f>Assumptions!F54</f>
        <v>7.4194246160501839E-2</v>
      </c>
      <c r="G12" s="102">
        <f>Assumptions!G54</f>
        <v>7.4194246160501839E-2</v>
      </c>
      <c r="H12" s="102">
        <f>Assumptions!H54</f>
        <v>7.4194246160501839E-2</v>
      </c>
      <c r="I12" s="102">
        <f>Assumptions!I54</f>
        <v>7.4194246160501839E-2</v>
      </c>
      <c r="J12" s="102">
        <f>Assumptions!J54</f>
        <v>7.4194246160501839E-2</v>
      </c>
      <c r="K12" s="171"/>
      <c r="L12" s="171"/>
    </row>
    <row r="13" spans="1:12" x14ac:dyDescent="0.25">
      <c r="B13" s="4" t="s">
        <v>68</v>
      </c>
      <c r="C13" s="43"/>
      <c r="D13" s="43"/>
      <c r="E13" s="26"/>
      <c r="F13" s="102">
        <f>Assumptions!F55</f>
        <v>0.11384581905503664</v>
      </c>
      <c r="G13" s="102">
        <f>Assumptions!G55</f>
        <v>0.11384581905503664</v>
      </c>
      <c r="H13" s="102">
        <f>Assumptions!H55</f>
        <v>0.11384581905503664</v>
      </c>
      <c r="I13" s="102">
        <f>Assumptions!I55</f>
        <v>0.11384581905503664</v>
      </c>
      <c r="J13" s="102">
        <f>Assumptions!J55</f>
        <v>0.11384581905503664</v>
      </c>
      <c r="K13" s="171"/>
      <c r="L13" s="171"/>
    </row>
    <row r="14" spans="1:12" x14ac:dyDescent="0.25">
      <c r="B14" s="4" t="s">
        <v>69</v>
      </c>
      <c r="C14" s="43"/>
      <c r="D14" s="43"/>
      <c r="E14" s="44"/>
      <c r="F14" s="254">
        <f>Assumptions!F56</f>
        <v>0.64407182281390607</v>
      </c>
      <c r="G14" s="254">
        <f>Assumptions!G56</f>
        <v>0.64407182281390607</v>
      </c>
      <c r="H14" s="254">
        <f>Assumptions!H56</f>
        <v>0.64407182281390607</v>
      </c>
      <c r="I14" s="254">
        <f>Assumptions!I56</f>
        <v>0.64407182281390607</v>
      </c>
      <c r="J14" s="254">
        <f>Assumptions!J56</f>
        <v>0.64407182281390607</v>
      </c>
      <c r="K14" s="171"/>
      <c r="L14" s="171"/>
    </row>
    <row r="15" spans="1:12" x14ac:dyDescent="0.25">
      <c r="C15" s="43"/>
      <c r="D15" s="43"/>
      <c r="E15" s="43"/>
      <c r="F15" s="103"/>
      <c r="G15" s="103"/>
      <c r="H15" s="103"/>
      <c r="I15" s="103"/>
      <c r="J15" s="103"/>
      <c r="K15" s="171"/>
      <c r="L15" s="171"/>
    </row>
    <row r="16" spans="1:12" ht="15" customHeight="1" x14ac:dyDescent="0.25">
      <c r="A16" s="179" t="s">
        <v>64</v>
      </c>
      <c r="B16" s="180"/>
      <c r="C16" s="251">
        <f>C2</f>
        <v>2022</v>
      </c>
      <c r="D16" s="251">
        <f t="shared" ref="D16:J16" si="2">D2</f>
        <v>2023</v>
      </c>
      <c r="E16" s="251">
        <f t="shared" si="2"/>
        <v>2024</v>
      </c>
      <c r="F16" s="251">
        <f t="shared" si="2"/>
        <v>2025</v>
      </c>
      <c r="G16" s="251">
        <f t="shared" si="2"/>
        <v>2026</v>
      </c>
      <c r="H16" s="251">
        <f t="shared" si="2"/>
        <v>2027</v>
      </c>
      <c r="I16" s="251">
        <f t="shared" si="2"/>
        <v>2028</v>
      </c>
      <c r="J16" s="251">
        <f t="shared" si="2"/>
        <v>2029</v>
      </c>
      <c r="K16" s="207"/>
      <c r="L16" s="207"/>
    </row>
    <row r="17" spans="1:12" x14ac:dyDescent="0.25">
      <c r="B17" s="4" t="s">
        <v>159</v>
      </c>
      <c r="C17" s="186">
        <f>1.5%*IncState!C16</f>
        <v>347.73900000000003</v>
      </c>
      <c r="D17" s="97">
        <f>1.5%*IncState!D16</f>
        <v>382.40711825008123</v>
      </c>
      <c r="E17" s="187">
        <f>1.5%*IncState!E16</f>
        <v>388.81533259118555</v>
      </c>
      <c r="F17" s="4">
        <f>F4*IncState!F16</f>
        <v>400.7369251256506</v>
      </c>
      <c r="G17" s="4">
        <f>G4*IncState!G16</f>
        <v>424.84816742361562</v>
      </c>
      <c r="H17" s="4">
        <f>H4*IncState!H16</f>
        <v>450.2224122454856</v>
      </c>
      <c r="I17" s="4">
        <f>I4*IncState!I16</f>
        <v>477.13795641481676</v>
      </c>
      <c r="J17" s="4">
        <f>J4*IncState!J16</f>
        <v>505.69001441803971</v>
      </c>
    </row>
    <row r="18" spans="1:12" x14ac:dyDescent="0.25">
      <c r="B18" s="4" t="s">
        <v>160</v>
      </c>
      <c r="C18" s="186">
        <f>2583.8-C17</f>
        <v>2236.0610000000001</v>
      </c>
      <c r="D18" s="186">
        <f>4579-D17</f>
        <v>4196.5928817499189</v>
      </c>
      <c r="E18" s="187">
        <f>1085-E17</f>
        <v>696.18466740881445</v>
      </c>
      <c r="F18" s="4">
        <f>MAX(CashFlow!F23,0)</f>
        <v>1206.55383848817</v>
      </c>
      <c r="G18" s="4">
        <f>MAX(CashFlow!G23,0)</f>
        <v>1632.6171656670674</v>
      </c>
      <c r="H18" s="4">
        <f>MAX(CashFlow!H23,0)</f>
        <v>2619.1505762456809</v>
      </c>
      <c r="I18" s="4">
        <f>MAX(CashFlow!I23,0)</f>
        <v>4258.6166605340231</v>
      </c>
      <c r="J18" s="4">
        <f>MAX(CashFlow!J23,0)</f>
        <v>6645.0173431811136</v>
      </c>
    </row>
    <row r="19" spans="1:12" x14ac:dyDescent="0.25">
      <c r="B19" s="4" t="s">
        <v>70</v>
      </c>
      <c r="C19" s="188">
        <v>2115</v>
      </c>
      <c r="D19" s="188">
        <v>2488</v>
      </c>
      <c r="E19" s="189">
        <v>2383</v>
      </c>
      <c r="F19" s="4">
        <f>F5*IncState!F16</f>
        <v>2456.065932920656</v>
      </c>
      <c r="G19" s="4">
        <f>G5*IncState!G16</f>
        <v>2603.8406876175422</v>
      </c>
      <c r="H19" s="4">
        <f>H5*IncState!H16</f>
        <v>2759.3562250515897</v>
      </c>
      <c r="I19" s="4">
        <f>I5*IncState!I16</f>
        <v>2924.3181912581927</v>
      </c>
      <c r="J19" s="4">
        <f>J5*IncState!J16</f>
        <v>3099.3101437829132</v>
      </c>
    </row>
    <row r="20" spans="1:12" x14ac:dyDescent="0.25">
      <c r="B20" s="4" t="s">
        <v>71</v>
      </c>
      <c r="C20" s="188">
        <v>52</v>
      </c>
      <c r="D20" s="188">
        <v>53</v>
      </c>
      <c r="E20" s="189">
        <v>56</v>
      </c>
      <c r="F20" s="4">
        <f>F6*IncState!F17</f>
        <v>57.717034092973876</v>
      </c>
      <c r="G20" s="4">
        <f>G6*IncState!G17</f>
        <v>61.189709822317411</v>
      </c>
      <c r="H20" s="4">
        <f>H6*IncState!H17</f>
        <v>64.844292321816638</v>
      </c>
      <c r="I20" s="4">
        <f>I6*IncState!I17</f>
        <v>68.720863915425426</v>
      </c>
      <c r="J20" s="4">
        <f>J6*IncState!J17</f>
        <v>72.833138083022718</v>
      </c>
    </row>
    <row r="21" spans="1:12" x14ac:dyDescent="0.25">
      <c r="B21" s="4" t="s">
        <v>72</v>
      </c>
      <c r="C21" s="188">
        <v>673.4</v>
      </c>
      <c r="D21" s="188">
        <v>866</v>
      </c>
      <c r="E21" s="189">
        <v>1074</v>
      </c>
      <c r="F21" s="4">
        <f>F7*IncState!F16</f>
        <v>1106.9302609973918</v>
      </c>
      <c r="G21" s="4">
        <f>G7*IncState!G16</f>
        <v>1173.5312205208731</v>
      </c>
      <c r="H21" s="4">
        <f>H7*IncState!H16</f>
        <v>1243.6208920291263</v>
      </c>
      <c r="I21" s="4">
        <f>I7*IncState!I16</f>
        <v>1317.9679972351234</v>
      </c>
      <c r="J21" s="4">
        <f>J7*IncState!J16</f>
        <v>1396.8355410922572</v>
      </c>
    </row>
    <row r="22" spans="1:12" s="11" customFormat="1" x14ac:dyDescent="0.25">
      <c r="B22" s="11" t="s">
        <v>73</v>
      </c>
      <c r="C22" s="11">
        <f>SUM(C17:C21)</f>
        <v>5424.2</v>
      </c>
      <c r="D22" s="11">
        <f>SUM(D17:D21)</f>
        <v>7986</v>
      </c>
      <c r="E22" s="24">
        <f t="shared" ref="E22" si="3">SUM(E17:E21)</f>
        <v>4598</v>
      </c>
      <c r="F22" s="11">
        <f>SUM(F17:F21)</f>
        <v>5228.0039916248425</v>
      </c>
      <c r="G22" s="11">
        <f t="shared" ref="G22:J22" si="4">SUM(G17:G21)</f>
        <v>5896.0269510514154</v>
      </c>
      <c r="H22" s="11">
        <f t="shared" si="4"/>
        <v>7137.1943978936988</v>
      </c>
      <c r="I22" s="11">
        <f t="shared" si="4"/>
        <v>9046.7616693575819</v>
      </c>
      <c r="J22" s="11">
        <f t="shared" si="4"/>
        <v>11719.686180557346</v>
      </c>
    </row>
    <row r="23" spans="1:12" x14ac:dyDescent="0.25">
      <c r="A23" s="7"/>
      <c r="E23" s="27"/>
      <c r="I23" s="4"/>
      <c r="J23" s="4"/>
    </row>
    <row r="24" spans="1:12" x14ac:dyDescent="0.25">
      <c r="B24" s="4" t="s">
        <v>74</v>
      </c>
      <c r="C24" s="188">
        <f>12565.7+23773.6</f>
        <v>36339.300000000003</v>
      </c>
      <c r="D24" s="188">
        <f>13514+24908</f>
        <v>38422</v>
      </c>
      <c r="E24" s="189">
        <f>13339+25295</f>
        <v>38634</v>
      </c>
      <c r="F24" s="4">
        <f>Calcs!F9</f>
        <v>41384.533600541356</v>
      </c>
      <c r="G24" s="4">
        <f>Calcs!G9</f>
        <v>43729.138609025438</v>
      </c>
      <c r="H24" s="4">
        <f>Calcs!H9</f>
        <v>45614.95836913582</v>
      </c>
      <c r="I24" s="4">
        <f>Calcs!I9</f>
        <v>46985.808239828948</v>
      </c>
      <c r="J24" s="4">
        <f>Calcs!J9</f>
        <v>47780.244537080471</v>
      </c>
    </row>
    <row r="25" spans="1:12" x14ac:dyDescent="0.25">
      <c r="B25" s="4" t="s">
        <v>161</v>
      </c>
      <c r="C25" s="188">
        <v>2900.4</v>
      </c>
      <c r="D25" s="188">
        <v>3040</v>
      </c>
      <c r="E25" s="189">
        <v>3145</v>
      </c>
      <c r="F25" s="131">
        <f>E25-IncState!F22</f>
        <v>3145</v>
      </c>
      <c r="G25" s="131">
        <f>F25-IncState!G22</f>
        <v>3145</v>
      </c>
      <c r="H25" s="131">
        <f>G25-IncState!H22</f>
        <v>3145</v>
      </c>
      <c r="I25" s="131">
        <f>H25-IncState!I22</f>
        <v>3145</v>
      </c>
      <c r="J25" s="131">
        <f>I25-IncState!J22</f>
        <v>3145</v>
      </c>
      <c r="K25" s="131"/>
      <c r="L25" s="131"/>
    </row>
    <row r="26" spans="1:12" x14ac:dyDescent="0.25">
      <c r="B26" s="4" t="s">
        <v>162</v>
      </c>
      <c r="C26" s="188">
        <v>1064.5</v>
      </c>
      <c r="D26" s="188">
        <v>1080</v>
      </c>
      <c r="E26" s="189">
        <v>2710</v>
      </c>
      <c r="F26" s="4">
        <f>F10</f>
        <v>2710</v>
      </c>
      <c r="G26" s="4">
        <f t="shared" ref="G26:J26" si="5">G10</f>
        <v>2710</v>
      </c>
      <c r="H26" s="4">
        <f t="shared" si="5"/>
        <v>2710</v>
      </c>
      <c r="I26" s="4">
        <f t="shared" si="5"/>
        <v>2710</v>
      </c>
      <c r="J26" s="4">
        <f t="shared" si="5"/>
        <v>2710</v>
      </c>
    </row>
    <row r="27" spans="1:12" x14ac:dyDescent="0.25">
      <c r="B27" s="4" t="s">
        <v>164</v>
      </c>
      <c r="C27" s="188">
        <v>4707.2</v>
      </c>
      <c r="D27" s="188">
        <v>5618</v>
      </c>
      <c r="E27" s="189">
        <v>6095</v>
      </c>
      <c r="F27" s="4">
        <f>F9*IncState!F16</f>
        <v>6281.8807642263528</v>
      </c>
      <c r="G27" s="4">
        <f>G9*IncState!G16</f>
        <v>6659.8443101254388</v>
      </c>
      <c r="H27" s="4">
        <f>H9*IncState!H16</f>
        <v>7057.6064589548641</v>
      </c>
      <c r="I27" s="4">
        <f>I9*IncState!I16</f>
        <v>7479.5297422235353</v>
      </c>
      <c r="J27" s="4">
        <f>J9*IncState!J16</f>
        <v>7927.106725286134</v>
      </c>
    </row>
    <row r="28" spans="1:12" s="11" customFormat="1" x14ac:dyDescent="0.25">
      <c r="B28" s="11" t="s">
        <v>75</v>
      </c>
      <c r="C28" s="11">
        <f>SUM(C24:C27)</f>
        <v>45011.4</v>
      </c>
      <c r="D28" s="11">
        <f>SUM(D24:D27)</f>
        <v>48160</v>
      </c>
      <c r="E28" s="24">
        <f>SUM(E24:E27)</f>
        <v>50584</v>
      </c>
      <c r="F28" s="11">
        <f>SUM(F24:F27)</f>
        <v>53521.414364767712</v>
      </c>
      <c r="G28" s="11">
        <f t="shared" ref="G28:J28" si="6">SUM(G24:G27)</f>
        <v>56243.982919150876</v>
      </c>
      <c r="H28" s="11">
        <f t="shared" si="6"/>
        <v>58527.564828090683</v>
      </c>
      <c r="I28" s="11">
        <f t="shared" si="6"/>
        <v>60320.337982052486</v>
      </c>
      <c r="J28" s="11">
        <f t="shared" si="6"/>
        <v>61562.351262366603</v>
      </c>
    </row>
    <row r="29" spans="1:12" x14ac:dyDescent="0.25">
      <c r="E29" s="27"/>
      <c r="I29" s="4"/>
      <c r="J29" s="4"/>
    </row>
    <row r="30" spans="1:12" s="11" customFormat="1" x14ac:dyDescent="0.25">
      <c r="A30" s="11" t="s">
        <v>126</v>
      </c>
      <c r="B30" s="17" t="s">
        <v>76</v>
      </c>
      <c r="C30" s="18">
        <f>SUM(C28,C22)</f>
        <v>50435.6</v>
      </c>
      <c r="D30" s="18">
        <f>SUM(D28,D22)</f>
        <v>56146</v>
      </c>
      <c r="E30" s="18">
        <f>SUM(E28,E22)</f>
        <v>55182</v>
      </c>
      <c r="F30" s="18">
        <f>SUM(F28,F22)</f>
        <v>58749.418356392554</v>
      </c>
      <c r="G30" s="18">
        <f t="shared" ref="G30:J30" si="7">SUM(G28,G22)</f>
        <v>62140.009870202295</v>
      </c>
      <c r="H30" s="18">
        <f t="shared" si="7"/>
        <v>65664.75922598438</v>
      </c>
      <c r="I30" s="18">
        <f t="shared" si="7"/>
        <v>69367.09965141007</v>
      </c>
      <c r="J30" s="18">
        <f t="shared" si="7"/>
        <v>73282.037442923945</v>
      </c>
    </row>
    <row r="31" spans="1:12" x14ac:dyDescent="0.25">
      <c r="A31" s="11"/>
      <c r="E31" s="27"/>
      <c r="I31" s="4"/>
      <c r="J31" s="4"/>
      <c r="K31" s="6"/>
      <c r="L31" s="6"/>
    </row>
    <row r="32" spans="1:12" x14ac:dyDescent="0.25">
      <c r="B32" s="4" t="s">
        <v>77</v>
      </c>
      <c r="C32" s="9">
        <v>0</v>
      </c>
      <c r="D32" s="9">
        <v>2192</v>
      </c>
      <c r="E32" s="45">
        <v>0</v>
      </c>
      <c r="F32" s="4">
        <f>MIN(CashFlow!F23,0)</f>
        <v>0</v>
      </c>
      <c r="G32" s="4">
        <f>MIN(CashFlow!G23,0)</f>
        <v>0</v>
      </c>
      <c r="H32" s="4">
        <f>MIN(CashFlow!H23,0)</f>
        <v>0</v>
      </c>
      <c r="I32" s="4">
        <f>MIN(CashFlow!I23,0)</f>
        <v>0</v>
      </c>
      <c r="J32" s="4">
        <f>MIN(CashFlow!J23,0)</f>
        <v>0</v>
      </c>
    </row>
    <row r="33" spans="1:12" x14ac:dyDescent="0.25">
      <c r="B33" s="4" t="s">
        <v>152</v>
      </c>
      <c r="C33" s="188">
        <v>980.2</v>
      </c>
      <c r="D33" s="9">
        <v>1103</v>
      </c>
      <c r="E33" s="45">
        <v>1029</v>
      </c>
      <c r="F33" s="4">
        <f>F12*IncState!F16</f>
        <v>1982.1582712250074</v>
      </c>
      <c r="G33" s="4">
        <f>G12*IncState!G16</f>
        <v>2101.4193009777223</v>
      </c>
      <c r="H33" s="4">
        <f>H12*IncState!H16</f>
        <v>2226.9274987410995</v>
      </c>
      <c r="I33" s="4">
        <f>I12*IncState!I16</f>
        <v>2360.0593993839807</v>
      </c>
      <c r="J33" s="4">
        <f>J12*IncState!J16</f>
        <v>2501.2859607093174</v>
      </c>
    </row>
    <row r="34" spans="1:12" x14ac:dyDescent="0.25">
      <c r="B34" s="4" t="s">
        <v>78</v>
      </c>
      <c r="C34" s="188">
        <f>661.1+274.9+255.1+393.4+1237.4</f>
        <v>2821.9</v>
      </c>
      <c r="D34" s="9">
        <f>688+705+268+469+1434</f>
        <v>3564</v>
      </c>
      <c r="E34" s="45">
        <f>636+361+224+482+119+1129</f>
        <v>2951</v>
      </c>
      <c r="F34" s="4">
        <f>F13*IncState!F16</f>
        <v>3041.4815644351052</v>
      </c>
      <c r="G34" s="4">
        <f>G13*IncState!G16</f>
        <v>3224.4791729581902</v>
      </c>
      <c r="H34" s="4">
        <f>H13*IncState!H16</f>
        <v>3417.0626186014442</v>
      </c>
      <c r="I34" s="4">
        <f>I13*IncState!I16</f>
        <v>3621.344096686079</v>
      </c>
      <c r="J34" s="4">
        <f>J13*IncState!J16</f>
        <v>3838.046258625001</v>
      </c>
    </row>
    <row r="35" spans="1:12" s="11" customFormat="1" x14ac:dyDescent="0.25">
      <c r="B35" s="11" t="s">
        <v>79</v>
      </c>
      <c r="C35" s="11">
        <f t="shared" ref="C35:E35" si="8">SUM(C32:C34)</f>
        <v>3802.1000000000004</v>
      </c>
      <c r="D35" s="11">
        <f t="shared" si="8"/>
        <v>6859</v>
      </c>
      <c r="E35" s="24">
        <f t="shared" si="8"/>
        <v>3980</v>
      </c>
      <c r="F35" s="11">
        <f>SUM(F32:F34)</f>
        <v>5023.639835660113</v>
      </c>
      <c r="G35" s="11">
        <f t="shared" ref="G35:J35" si="9">SUM(G32:G34)</f>
        <v>5325.898473935913</v>
      </c>
      <c r="H35" s="11">
        <f t="shared" si="9"/>
        <v>5643.9901173425442</v>
      </c>
      <c r="I35" s="11">
        <f t="shared" si="9"/>
        <v>5981.4034960700592</v>
      </c>
      <c r="J35" s="11">
        <f t="shared" si="9"/>
        <v>6339.3322193343183</v>
      </c>
    </row>
    <row r="36" spans="1:12" x14ac:dyDescent="0.25">
      <c r="B36" s="11"/>
      <c r="E36" s="27"/>
      <c r="I36" s="4"/>
      <c r="J36" s="4"/>
    </row>
    <row r="37" spans="1:12" x14ac:dyDescent="0.25">
      <c r="B37" s="4" t="s">
        <v>80</v>
      </c>
      <c r="C37" s="188">
        <v>35903.5</v>
      </c>
      <c r="D37" s="9">
        <v>37153</v>
      </c>
      <c r="E37" s="45">
        <v>38424</v>
      </c>
      <c r="F37" s="4">
        <f>Debt!F20</f>
        <v>38424</v>
      </c>
      <c r="G37" s="4">
        <f>Debt!G20</f>
        <v>38424</v>
      </c>
      <c r="H37" s="4">
        <f>Debt!H20</f>
        <v>38424</v>
      </c>
      <c r="I37" s="4">
        <f>Debt!I20</f>
        <v>38424</v>
      </c>
      <c r="J37" s="4">
        <f>Debt!J20</f>
        <v>38424</v>
      </c>
    </row>
    <row r="38" spans="1:12" x14ac:dyDescent="0.25">
      <c r="B38" s="4" t="s">
        <v>81</v>
      </c>
      <c r="C38" s="188">
        <f>12134.4+791.9+757.8+1051.8+1997.5</f>
        <v>16733.399999999998</v>
      </c>
      <c r="D38" s="9">
        <f>13058+363+790+950+1681</f>
        <v>16842</v>
      </c>
      <c r="E38" s="45">
        <f>12888+344+778+771+1914</f>
        <v>16695</v>
      </c>
      <c r="F38" s="4">
        <f>F14*IncState!F16</f>
        <v>17206.890788967838</v>
      </c>
      <c r="G38" s="4">
        <f>G14*IncState!G16</f>
        <v>18242.182240778377</v>
      </c>
      <c r="H38" s="4">
        <f>H14*IncState!H16</f>
        <v>19331.704648441584</v>
      </c>
      <c r="I38" s="4">
        <f>I14*IncState!I16</f>
        <v>20487.407554786205</v>
      </c>
      <c r="J38" s="4">
        <f>J14*IncState!J16</f>
        <v>21713.379291001151</v>
      </c>
    </row>
    <row r="39" spans="1:12" x14ac:dyDescent="0.25">
      <c r="B39" s="11" t="s">
        <v>82</v>
      </c>
      <c r="C39" s="11">
        <f t="shared" ref="C39:E39" si="10">SUM(C37:C38)</f>
        <v>52636.899999999994</v>
      </c>
      <c r="D39" s="11">
        <f t="shared" si="10"/>
        <v>53995</v>
      </c>
      <c r="E39" s="24">
        <f t="shared" si="10"/>
        <v>55119</v>
      </c>
      <c r="F39" s="11">
        <f>SUM(F37:F38)</f>
        <v>55630.890788967838</v>
      </c>
      <c r="G39" s="11">
        <f t="shared" ref="G39:J39" si="11">SUM(G37:G38)</f>
        <v>56666.182240778377</v>
      </c>
      <c r="H39" s="11">
        <f t="shared" si="11"/>
        <v>57755.704648441584</v>
      </c>
      <c r="I39" s="11">
        <f t="shared" si="11"/>
        <v>58911.407554786201</v>
      </c>
      <c r="J39" s="11">
        <f t="shared" si="11"/>
        <v>60137.379291001154</v>
      </c>
      <c r="K39" s="11"/>
      <c r="L39" s="11"/>
    </row>
    <row r="40" spans="1:12" x14ac:dyDescent="0.25">
      <c r="E40" s="27"/>
      <c r="I40" s="4"/>
      <c r="J40" s="4"/>
    </row>
    <row r="41" spans="1:12" x14ac:dyDescent="0.25">
      <c r="B41" s="4" t="s">
        <v>17</v>
      </c>
      <c r="C41" s="190">
        <v>-6003.4</v>
      </c>
      <c r="D41" s="190">
        <v>-4708</v>
      </c>
      <c r="E41" s="218">
        <v>-3917</v>
      </c>
      <c r="F41" s="4">
        <f>Calcs!F17</f>
        <v>-1905.112268235398</v>
      </c>
      <c r="G41" s="4">
        <f>Calcs!G17</f>
        <v>147.92915548800738</v>
      </c>
      <c r="H41" s="4">
        <f>Calcs!H17</f>
        <v>2265.0644602002594</v>
      </c>
      <c r="I41" s="4">
        <f>Calcs!I17</f>
        <v>4474.2886005538039</v>
      </c>
      <c r="J41" s="4">
        <f>Calcs!J17</f>
        <v>6805.325932588481</v>
      </c>
    </row>
    <row r="42" spans="1:12" s="11" customFormat="1" x14ac:dyDescent="0.25">
      <c r="A42" s="11" t="s">
        <v>126</v>
      </c>
      <c r="B42" s="17" t="s">
        <v>83</v>
      </c>
      <c r="C42" s="18">
        <f>SUM(C41,C39,C35)</f>
        <v>50435.599999999991</v>
      </c>
      <c r="D42" s="18">
        <f>SUM(D41,D39,D35)</f>
        <v>56146</v>
      </c>
      <c r="E42" s="18">
        <f t="shared" ref="E42:F42" si="12">SUM(E41,E39,E35)</f>
        <v>55182</v>
      </c>
      <c r="F42" s="18">
        <f t="shared" si="12"/>
        <v>58749.418356392554</v>
      </c>
      <c r="G42" s="18">
        <f t="shared" ref="G42:J42" si="13">SUM(G41,G39,G35)</f>
        <v>62140.009870202295</v>
      </c>
      <c r="H42" s="18">
        <f t="shared" si="13"/>
        <v>65664.75922598438</v>
      </c>
      <c r="I42" s="18">
        <f t="shared" si="13"/>
        <v>69367.09965141007</v>
      </c>
      <c r="J42" s="18">
        <f t="shared" si="13"/>
        <v>73282.03744292396</v>
      </c>
    </row>
    <row r="43" spans="1:12" x14ac:dyDescent="0.25">
      <c r="E43" s="27"/>
      <c r="I43" s="4"/>
      <c r="J43" s="4"/>
      <c r="K43" s="6"/>
      <c r="L43" s="6"/>
    </row>
    <row r="44" spans="1:12" x14ac:dyDescent="0.25">
      <c r="A44" s="4" t="s">
        <v>126</v>
      </c>
      <c r="B44" s="11" t="s">
        <v>84</v>
      </c>
      <c r="C44" s="46">
        <f>C42-C30</f>
        <v>0</v>
      </c>
      <c r="D44" s="46">
        <f t="shared" ref="D44:F44" si="14">D42-D30</f>
        <v>0</v>
      </c>
      <c r="E44" s="152">
        <f t="shared" si="14"/>
        <v>0</v>
      </c>
      <c r="F44" s="46">
        <f t="shared" si="14"/>
        <v>0</v>
      </c>
      <c r="G44" s="46">
        <f t="shared" ref="G44:J44" si="15">G42-G30</f>
        <v>0</v>
      </c>
      <c r="H44" s="46">
        <f t="shared" si="15"/>
        <v>0</v>
      </c>
      <c r="I44" s="46">
        <f t="shared" si="15"/>
        <v>0</v>
      </c>
      <c r="J44" s="46">
        <f t="shared" si="15"/>
        <v>0</v>
      </c>
      <c r="K44" s="46"/>
      <c r="L44" s="46"/>
    </row>
    <row r="45" spans="1:12" x14ac:dyDescent="0.25">
      <c r="I45" s="4"/>
      <c r="J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topLeftCell="C1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9" t="s">
        <v>85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B3" s="4" t="s">
        <v>157</v>
      </c>
      <c r="F3" s="4">
        <f>IncState!F34</f>
        <v>7278.6717680333204</v>
      </c>
      <c r="G3" s="4">
        <f>IncState!G34</f>
        <v>7716.6094962608413</v>
      </c>
      <c r="H3" s="4">
        <f>IncState!H34</f>
        <v>8177.4874135184073</v>
      </c>
      <c r="I3" s="4">
        <f>IncState!I34</f>
        <v>8666.3602854284181</v>
      </c>
      <c r="J3" s="4">
        <f>IncState!J34</f>
        <v>9184.9575133782691</v>
      </c>
    </row>
    <row r="4" spans="1:12" x14ac:dyDescent="0.25">
      <c r="B4" s="4" t="s">
        <v>15</v>
      </c>
      <c r="F4" s="4">
        <f>IncState!F21</f>
        <v>449.46639945864348</v>
      </c>
      <c r="G4" s="4">
        <f>IncState!G21</f>
        <v>481.46599654994498</v>
      </c>
      <c r="H4" s="4">
        <f>IncState!H21</f>
        <v>508.74303675587873</v>
      </c>
      <c r="I4" s="4">
        <f>IncState!I21</f>
        <v>530.68258786642321</v>
      </c>
      <c r="J4" s="4">
        <f>IncState!J21</f>
        <v>546.63100003132422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924.00501511462608</v>
      </c>
      <c r="G6" s="4">
        <f>Calcs!G26</f>
        <v>60.299006028123586</v>
      </c>
      <c r="H6" s="4">
        <f>Calcs!H26</f>
        <v>63.457607142961933</v>
      </c>
      <c r="I6" s="4">
        <f>Calcs!I26</f>
        <v>67.312191551974138</v>
      </c>
      <c r="J6" s="4">
        <f>Calcs!J26</f>
        <v>71.404894711585257</v>
      </c>
    </row>
    <row r="7" spans="1:12" x14ac:dyDescent="0.25">
      <c r="B7" s="4" t="s">
        <v>228</v>
      </c>
      <c r="F7" s="4">
        <f>BalSheet!E27-BalSheet!F27</f>
        <v>-186.88076422635277</v>
      </c>
      <c r="G7" s="4">
        <f>BalSheet!F27-BalSheet!G27</f>
        <v>-377.96354589908606</v>
      </c>
      <c r="H7" s="4">
        <f>BalSheet!G27-BalSheet!H27</f>
        <v>-397.76214882942531</v>
      </c>
      <c r="I7" s="4">
        <f>BalSheet!H27-BalSheet!I27</f>
        <v>-421.92328326867118</v>
      </c>
      <c r="J7" s="4">
        <f>BalSheet!I27-BalSheet!J27</f>
        <v>-447.57698306259863</v>
      </c>
    </row>
    <row r="8" spans="1:12" x14ac:dyDescent="0.25">
      <c r="B8" s="4" t="s">
        <v>229</v>
      </c>
      <c r="F8" s="4">
        <f>BalSheet!F38-BalSheet!E38</f>
        <v>511.89078896783758</v>
      </c>
      <c r="G8" s="4">
        <f>BalSheet!G38-BalSheet!F38</f>
        <v>1035.291451810539</v>
      </c>
      <c r="H8" s="4">
        <f>BalSheet!H38-BalSheet!G38</f>
        <v>1089.5224076632076</v>
      </c>
      <c r="I8" s="4">
        <f>BalSheet!I38-BalSheet!H38</f>
        <v>1155.7029063446207</v>
      </c>
      <c r="J8" s="4">
        <f>BalSheet!J38-BalSheet!I38</f>
        <v>1225.9717362149458</v>
      </c>
    </row>
    <row r="9" spans="1:12" s="11" customFormat="1" x14ac:dyDescent="0.25">
      <c r="B9" s="11" t="s">
        <v>230</v>
      </c>
      <c r="F9" s="11">
        <f>SUM(F3:F8)</f>
        <v>8977.1532073480739</v>
      </c>
      <c r="G9" s="11">
        <f t="shared" ref="G9:J9" si="1">SUM(G3:G8)</f>
        <v>8915.7024047503619</v>
      </c>
      <c r="H9" s="11">
        <f t="shared" si="1"/>
        <v>9441.4483162510296</v>
      </c>
      <c r="I9" s="11">
        <f t="shared" si="1"/>
        <v>9998.134687922764</v>
      </c>
      <c r="J9" s="11">
        <f t="shared" si="1"/>
        <v>10581.388161273528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-3200</v>
      </c>
      <c r="G11" s="4">
        <f>-Calcs!G7</f>
        <v>-2826.0710050340285</v>
      </c>
      <c r="H11" s="4">
        <f>-Calcs!H7</f>
        <v>-2394.5627968662611</v>
      </c>
      <c r="I11" s="4">
        <f>-Calcs!I7</f>
        <v>-1901.5324585595486</v>
      </c>
      <c r="J11" s="4">
        <f>-Calcs!J7</f>
        <v>-1341.0672972828452</v>
      </c>
    </row>
    <row r="12" spans="1:12" s="11" customFormat="1" x14ac:dyDescent="0.25">
      <c r="B12" s="11" t="s">
        <v>231</v>
      </c>
      <c r="F12" s="11">
        <f>F11</f>
        <v>-3200</v>
      </c>
      <c r="G12" s="11">
        <f t="shared" ref="G12:J12" si="2">G11</f>
        <v>-2826.0710050340285</v>
      </c>
      <c r="H12" s="11">
        <f t="shared" si="2"/>
        <v>-2394.5627968662611</v>
      </c>
      <c r="I12" s="11">
        <f t="shared" si="2"/>
        <v>-1901.5324585595486</v>
      </c>
      <c r="J12" s="11">
        <f t="shared" si="2"/>
        <v>-1341.0672972828452</v>
      </c>
    </row>
    <row r="13" spans="1:12" x14ac:dyDescent="0.25">
      <c r="I13" s="4"/>
      <c r="J13" s="4"/>
    </row>
    <row r="14" spans="1:12" x14ac:dyDescent="0.25">
      <c r="B14" s="4" t="s">
        <v>232</v>
      </c>
      <c r="F14" s="4">
        <f>-IncState!F36</f>
        <v>-5266.7840362687184</v>
      </c>
      <c r="G14" s="4">
        <f>-IncState!G36</f>
        <v>-5663.5680725374359</v>
      </c>
      <c r="H14" s="4">
        <f>-IncState!H36</f>
        <v>-6060.3521088061552</v>
      </c>
      <c r="I14" s="4">
        <f>-IncState!I36</f>
        <v>-6457.1361450748736</v>
      </c>
      <c r="J14" s="4">
        <f>-IncState!J36</f>
        <v>-6853.920181343592</v>
      </c>
    </row>
    <row r="15" spans="1:12" x14ac:dyDescent="0.25">
      <c r="B15" s="4" t="s">
        <v>145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x14ac:dyDescent="0.25">
      <c r="B16" s="4" t="s">
        <v>233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</row>
    <row r="17" spans="2:10" s="11" customFormat="1" x14ac:dyDescent="0.25">
      <c r="B17" s="11" t="s">
        <v>234</v>
      </c>
      <c r="F17" s="11">
        <f>SUM(F14:F16)</f>
        <v>-5266.7840362687184</v>
      </c>
      <c r="G17" s="11">
        <f t="shared" ref="G17:J17" si="3">SUM(G14:G16)</f>
        <v>-5663.5680725374359</v>
      </c>
      <c r="H17" s="11">
        <f t="shared" si="3"/>
        <v>-6060.3521088061552</v>
      </c>
      <c r="I17" s="11">
        <f t="shared" si="3"/>
        <v>-6457.1361450748736</v>
      </c>
      <c r="J17" s="11">
        <f t="shared" si="3"/>
        <v>-6853.920181343592</v>
      </c>
    </row>
    <row r="18" spans="2:10" x14ac:dyDescent="0.25">
      <c r="I18" s="4"/>
      <c r="J18" s="4"/>
    </row>
    <row r="19" spans="2:10" x14ac:dyDescent="0.25">
      <c r="B19" s="4" t="s">
        <v>235</v>
      </c>
      <c r="F19" s="4">
        <f>SUM(F17,F12,F9)</f>
        <v>510.36917107935551</v>
      </c>
      <c r="G19" s="4">
        <f t="shared" ref="G19:J19" si="4">SUM(G17,G12,G9)</f>
        <v>426.06332717889745</v>
      </c>
      <c r="H19" s="4">
        <f t="shared" si="4"/>
        <v>986.53341057861326</v>
      </c>
      <c r="I19" s="4">
        <f t="shared" si="4"/>
        <v>1639.4660842883422</v>
      </c>
      <c r="J19" s="4">
        <f t="shared" si="4"/>
        <v>2386.4006826470904</v>
      </c>
    </row>
    <row r="20" spans="2:10" x14ac:dyDescent="0.25">
      <c r="I20" s="4"/>
      <c r="J20" s="4"/>
    </row>
    <row r="21" spans="2:10" x14ac:dyDescent="0.25">
      <c r="B21" s="4" t="s">
        <v>236</v>
      </c>
      <c r="F21" s="4">
        <f>BalSheet!E18</f>
        <v>696.18466740881445</v>
      </c>
      <c r="G21" s="4">
        <f>BalSheet!F18</f>
        <v>1206.55383848817</v>
      </c>
      <c r="H21" s="4">
        <f>BalSheet!G18</f>
        <v>1632.6171656670674</v>
      </c>
      <c r="I21" s="4">
        <f>BalSheet!H18</f>
        <v>2619.1505762456809</v>
      </c>
      <c r="J21" s="4">
        <f>BalSheet!I18</f>
        <v>4258.6166605340231</v>
      </c>
    </row>
    <row r="22" spans="2:10" x14ac:dyDescent="0.25">
      <c r="B22" s="4" t="str">
        <f>B19</f>
        <v>Net Changes in Cash</v>
      </c>
      <c r="F22" s="4">
        <f>F19</f>
        <v>510.36917107935551</v>
      </c>
      <c r="G22" s="4">
        <f t="shared" ref="G22:J22" si="5">G19</f>
        <v>426.06332717889745</v>
      </c>
      <c r="H22" s="4">
        <f t="shared" si="5"/>
        <v>986.53341057861326</v>
      </c>
      <c r="I22" s="4">
        <f t="shared" si="5"/>
        <v>1639.4660842883422</v>
      </c>
      <c r="J22" s="4">
        <f t="shared" si="5"/>
        <v>2386.4006826470904</v>
      </c>
    </row>
    <row r="23" spans="2:10" x14ac:dyDescent="0.25">
      <c r="B23" s="4" t="s">
        <v>237</v>
      </c>
      <c r="F23" s="4">
        <f>SUM(F21:F22)</f>
        <v>1206.55383848817</v>
      </c>
      <c r="G23" s="4">
        <f t="shared" ref="G23:J23" si="6">SUM(G21:G22)</f>
        <v>1632.6171656670674</v>
      </c>
      <c r="H23" s="4">
        <f t="shared" si="6"/>
        <v>2619.1505762456809</v>
      </c>
      <c r="I23" s="4">
        <f t="shared" si="6"/>
        <v>4258.6166605340231</v>
      </c>
      <c r="J23" s="4">
        <f t="shared" si="6"/>
        <v>6645.0173431811136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9" t="s">
        <v>88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A3" s="11" t="s">
        <v>126</v>
      </c>
      <c r="B3" s="4" t="s">
        <v>89</v>
      </c>
      <c r="D3" s="237"/>
      <c r="E3" s="23"/>
      <c r="F3" s="238">
        <f>IncState!F16</f>
        <v>26715.795008376703</v>
      </c>
      <c r="G3" s="238">
        <f>IncState!G16</f>
        <v>28323.211161574374</v>
      </c>
      <c r="H3" s="238">
        <f>IncState!H16</f>
        <v>30014.827483032372</v>
      </c>
      <c r="I3" s="238">
        <f>IncState!I16</f>
        <v>31809.197094321116</v>
      </c>
      <c r="J3" s="238">
        <f>IncState!J16</f>
        <v>33712.667627869312</v>
      </c>
      <c r="K3" s="215"/>
      <c r="L3" s="215"/>
    </row>
    <row r="4" spans="1:12" x14ac:dyDescent="0.25">
      <c r="B4" s="4" t="s">
        <v>55</v>
      </c>
      <c r="E4" s="27"/>
      <c r="F4" s="4">
        <f>IncState!F19</f>
        <v>9331.6304718375904</v>
      </c>
      <c r="G4" s="4">
        <f>IncState!G19</f>
        <v>9893.0890977703093</v>
      </c>
      <c r="H4" s="4">
        <f>IncState!H19</f>
        <v>10483.958222459496</v>
      </c>
      <c r="I4" s="4">
        <f>IncState!I19</f>
        <v>11110.718314651818</v>
      </c>
      <c r="J4" s="4">
        <f>IncState!J19</f>
        <v>11775.586555613165</v>
      </c>
    </row>
    <row r="5" spans="1:12" x14ac:dyDescent="0.25">
      <c r="B5" s="30" t="s">
        <v>94</v>
      </c>
      <c r="C5" s="30"/>
      <c r="D5" s="30"/>
      <c r="E5" s="39"/>
      <c r="F5" s="43">
        <f>Assumptions!F16</f>
        <v>0.22</v>
      </c>
      <c r="G5" s="43">
        <f>Assumptions!G16</f>
        <v>0.22</v>
      </c>
      <c r="H5" s="43">
        <f>Assumptions!H16</f>
        <v>0.22</v>
      </c>
      <c r="I5" s="43">
        <f>Assumptions!I16</f>
        <v>0.22</v>
      </c>
      <c r="J5" s="43">
        <f>Assumptions!J16</f>
        <v>0.22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2"/>
      <c r="L6" s="172"/>
    </row>
    <row r="7" spans="1:12" x14ac:dyDescent="0.25">
      <c r="A7" s="24" t="s">
        <v>126</v>
      </c>
      <c r="B7" s="21" t="s">
        <v>90</v>
      </c>
      <c r="C7" s="118"/>
      <c r="D7" s="118"/>
      <c r="E7" s="118"/>
      <c r="F7" s="133">
        <f t="shared" ref="F7" si="1">F4*(1-F5)</f>
        <v>7278.6717680333204</v>
      </c>
      <c r="G7" s="133">
        <f t="shared" ref="G7:J7" si="2">G4*(1-G5)</f>
        <v>7716.6094962608413</v>
      </c>
      <c r="H7" s="133">
        <f t="shared" si="2"/>
        <v>8177.4874135184073</v>
      </c>
      <c r="I7" s="133">
        <f t="shared" si="2"/>
        <v>8666.3602854284181</v>
      </c>
      <c r="J7" s="133">
        <f t="shared" si="2"/>
        <v>9184.9575133782691</v>
      </c>
      <c r="K7" s="215"/>
      <c r="L7" s="215"/>
    </row>
    <row r="8" spans="1:12" x14ac:dyDescent="0.25">
      <c r="B8" s="4" t="s">
        <v>15</v>
      </c>
      <c r="C8" s="118"/>
      <c r="D8" s="118"/>
      <c r="E8" s="119"/>
      <c r="F8" s="134">
        <f>CashFlow!F4</f>
        <v>449.46639945864348</v>
      </c>
      <c r="G8" s="134">
        <f>CashFlow!G4</f>
        <v>481.46599654994498</v>
      </c>
      <c r="H8" s="134">
        <f>CashFlow!H4</f>
        <v>508.74303675587873</v>
      </c>
      <c r="I8" s="134">
        <f>CashFlow!I4</f>
        <v>530.68258786642321</v>
      </c>
      <c r="J8" s="134">
        <f>CashFlow!J4</f>
        <v>546.63100003132422</v>
      </c>
      <c r="K8" s="214"/>
      <c r="L8" s="214"/>
    </row>
    <row r="9" spans="1:12" x14ac:dyDescent="0.25">
      <c r="B9" s="4" t="s">
        <v>54</v>
      </c>
      <c r="C9" s="5"/>
      <c r="D9" s="5"/>
      <c r="E9" s="23"/>
      <c r="F9" s="135">
        <f>CashFlow!F5</f>
        <v>0</v>
      </c>
      <c r="G9" s="135">
        <f>CashFlow!G5</f>
        <v>0</v>
      </c>
      <c r="H9" s="135">
        <f>CashFlow!H5</f>
        <v>0</v>
      </c>
      <c r="I9" s="135">
        <f>CashFlow!I5</f>
        <v>0</v>
      </c>
      <c r="J9" s="135">
        <f>CashFlow!J5</f>
        <v>0</v>
      </c>
      <c r="K9" s="214"/>
      <c r="L9" s="214"/>
    </row>
    <row r="10" spans="1:12" x14ac:dyDescent="0.25">
      <c r="B10" s="4" t="s">
        <v>91</v>
      </c>
      <c r="C10" s="5"/>
      <c r="D10" s="5"/>
      <c r="E10" s="23"/>
      <c r="F10" s="135">
        <f>CashFlow!F6</f>
        <v>924.00501511462608</v>
      </c>
      <c r="G10" s="135">
        <f>CashFlow!G6</f>
        <v>60.299006028123586</v>
      </c>
      <c r="H10" s="135">
        <f>CashFlow!H6</f>
        <v>63.457607142961933</v>
      </c>
      <c r="I10" s="135">
        <f>CashFlow!I6</f>
        <v>67.312191551974138</v>
      </c>
      <c r="J10" s="135">
        <f>CashFlow!J6</f>
        <v>71.404894711585257</v>
      </c>
      <c r="K10" s="214"/>
      <c r="L10" s="214"/>
    </row>
    <row r="11" spans="1:12" x14ac:dyDescent="0.25">
      <c r="B11" s="4" t="s">
        <v>166</v>
      </c>
      <c r="C11" s="5"/>
      <c r="D11" s="5"/>
      <c r="E11" s="23"/>
      <c r="F11" s="135">
        <f>CashFlow!F7</f>
        <v>-186.88076422635277</v>
      </c>
      <c r="G11" s="135">
        <f>CashFlow!G7</f>
        <v>-377.96354589908606</v>
      </c>
      <c r="H11" s="135">
        <f>CashFlow!H7</f>
        <v>-397.76214882942531</v>
      </c>
      <c r="I11" s="135">
        <f>CashFlow!I7</f>
        <v>-421.92328326867118</v>
      </c>
      <c r="J11" s="135">
        <f>CashFlow!J7</f>
        <v>-447.57698306259863</v>
      </c>
      <c r="K11" s="214"/>
      <c r="L11" s="214"/>
    </row>
    <row r="12" spans="1:12" x14ac:dyDescent="0.25">
      <c r="B12" s="4" t="s">
        <v>167</v>
      </c>
      <c r="E12" s="27"/>
      <c r="F12" s="135">
        <f>CashFlow!F8</f>
        <v>511.89078896783758</v>
      </c>
      <c r="G12" s="135">
        <f>CashFlow!G8</f>
        <v>1035.291451810539</v>
      </c>
      <c r="H12" s="135">
        <f>CashFlow!H8</f>
        <v>1089.5224076632076</v>
      </c>
      <c r="I12" s="135">
        <f>CashFlow!I8</f>
        <v>1155.7029063446207</v>
      </c>
      <c r="J12" s="135">
        <f>CashFlow!J8</f>
        <v>1225.9717362149458</v>
      </c>
      <c r="K12" s="214"/>
      <c r="L12" s="214"/>
    </row>
    <row r="13" spans="1:12" x14ac:dyDescent="0.25">
      <c r="B13" s="4" t="s">
        <v>92</v>
      </c>
      <c r="E13" s="27"/>
      <c r="F13" s="131">
        <f>CashFlow!F12</f>
        <v>-3200</v>
      </c>
      <c r="G13" s="131">
        <f>CashFlow!G12</f>
        <v>-2826.0710050340285</v>
      </c>
      <c r="H13" s="131">
        <f>CashFlow!H12</f>
        <v>-2394.5627968662611</v>
      </c>
      <c r="I13" s="131">
        <f>CashFlow!I12</f>
        <v>-1901.5324585595486</v>
      </c>
      <c r="J13" s="131">
        <f>CashFlow!J12</f>
        <v>-1341.0672972828452</v>
      </c>
      <c r="K13" s="131"/>
      <c r="L13" s="131"/>
    </row>
    <row r="14" spans="1:12" x14ac:dyDescent="0.25">
      <c r="E14" s="63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4" t="s">
        <v>126</v>
      </c>
      <c r="B15" s="34" t="s">
        <v>93</v>
      </c>
      <c r="C15" s="34"/>
      <c r="D15" s="34"/>
      <c r="E15" s="34"/>
      <c r="F15" s="34">
        <f>SUM(F7:F13)</f>
        <v>5777.1532073480739</v>
      </c>
      <c r="G15" s="34">
        <f t="shared" ref="G15:J15" si="3">SUM(G7:G13)</f>
        <v>6089.6313997163334</v>
      </c>
      <c r="H15" s="34">
        <f t="shared" si="3"/>
        <v>7046.8855193847685</v>
      </c>
      <c r="I15" s="34">
        <f t="shared" si="3"/>
        <v>8096.6022293632159</v>
      </c>
      <c r="J15" s="34">
        <f t="shared" si="3"/>
        <v>9240.3208639906825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3"/>
      <c r="J16" s="83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G13" sqref="G13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2" t="str">
        <f>CoName</f>
        <v>McDonald's Corp.</v>
      </c>
    </row>
    <row r="2" spans="1:13" x14ac:dyDescent="0.25">
      <c r="G2" s="146"/>
    </row>
    <row r="3" spans="1:13" x14ac:dyDescent="0.25">
      <c r="A3" s="27" t="s">
        <v>126</v>
      </c>
      <c r="B3" s="162" t="s">
        <v>102</v>
      </c>
      <c r="C3" s="163"/>
      <c r="D3" s="163"/>
      <c r="E3" s="164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7"/>
      <c r="B4" s="255" t="s">
        <v>168</v>
      </c>
      <c r="C4" s="67"/>
      <c r="D4" s="72"/>
      <c r="E4" s="256">
        <f>Assumptions!F16</f>
        <v>0.22</v>
      </c>
      <c r="G4" s="138" t="s">
        <v>238</v>
      </c>
      <c r="H4" s="139">
        <v>0.67</v>
      </c>
      <c r="I4" s="80">
        <f>48+11506</f>
        <v>11554</v>
      </c>
      <c r="J4" s="81">
        <v>40220</v>
      </c>
      <c r="K4" s="141">
        <f>I4/J4</f>
        <v>0.28727001491795129</v>
      </c>
      <c r="L4" s="153">
        <f>E4</f>
        <v>0.22</v>
      </c>
      <c r="M4" s="142">
        <f>H4/((1+K4*(1-L4)))</f>
        <v>0.54735404447340474</v>
      </c>
    </row>
    <row r="5" spans="1:13" x14ac:dyDescent="0.25">
      <c r="A5" s="27"/>
      <c r="B5" s="67" t="s">
        <v>95</v>
      </c>
      <c r="C5" s="67"/>
      <c r="D5" s="72"/>
      <c r="E5" s="137">
        <v>4.1500000000000002E-2</v>
      </c>
      <c r="G5" s="138" t="s">
        <v>239</v>
      </c>
      <c r="H5" s="139">
        <v>0.61</v>
      </c>
      <c r="I5" s="80">
        <f>116+13415</f>
        <v>13531</v>
      </c>
      <c r="J5" s="81">
        <v>33400</v>
      </c>
      <c r="K5" s="141">
        <f t="shared" ref="K5:K6" si="0">I5/J5</f>
        <v>0.40511976047904191</v>
      </c>
      <c r="L5" s="153">
        <f>L4</f>
        <v>0.22</v>
      </c>
      <c r="M5" s="142">
        <f t="shared" ref="M5:M6" si="1">H5/((1+K5*(1-L5)))</f>
        <v>0.46352815591145136</v>
      </c>
    </row>
    <row r="6" spans="1:13" x14ac:dyDescent="0.25">
      <c r="A6" s="27"/>
      <c r="B6" s="67" t="s">
        <v>96</v>
      </c>
      <c r="C6" s="67"/>
      <c r="D6" s="72"/>
      <c r="E6" s="137">
        <v>0.05</v>
      </c>
      <c r="G6" s="138" t="s">
        <v>240</v>
      </c>
      <c r="H6" s="140">
        <v>0.98</v>
      </c>
      <c r="I6" s="82">
        <f>1498.9+14575.9</f>
        <v>16074.8</v>
      </c>
      <c r="J6" s="81">
        <v>96940</v>
      </c>
      <c r="K6" s="141">
        <f t="shared" si="0"/>
        <v>0.16582215803589848</v>
      </c>
      <c r="L6" s="153">
        <f t="shared" ref="L6" si="2">L5</f>
        <v>0.22</v>
      </c>
      <c r="M6" s="142">
        <f t="shared" si="1"/>
        <v>0.8677624864329333</v>
      </c>
    </row>
    <row r="7" spans="1:13" x14ac:dyDescent="0.25">
      <c r="A7" s="27"/>
      <c r="B7" s="67" t="s">
        <v>97</v>
      </c>
      <c r="C7" s="67"/>
      <c r="D7" s="72"/>
      <c r="E7" s="220">
        <f>M10*0.66</f>
        <v>0.47338940883706371</v>
      </c>
      <c r="J7" s="66"/>
      <c r="L7" s="66"/>
    </row>
    <row r="8" spans="1:13" x14ac:dyDescent="0.25">
      <c r="A8" s="27"/>
      <c r="B8" s="67" t="s">
        <v>98</v>
      </c>
      <c r="C8" s="67"/>
      <c r="D8" s="72"/>
      <c r="E8" s="137">
        <f>E5+E6*E7</f>
        <v>6.5169470441853186E-2</v>
      </c>
      <c r="G8" s="4" t="s">
        <v>111</v>
      </c>
      <c r="L8" s="27"/>
      <c r="M8" s="219">
        <f>AVERAGE(M4:M6)</f>
        <v>0.6262148956059298</v>
      </c>
    </row>
    <row r="9" spans="1:13" x14ac:dyDescent="0.25">
      <c r="A9" s="27"/>
      <c r="B9" s="68" t="s">
        <v>99</v>
      </c>
      <c r="C9" s="68"/>
      <c r="D9" s="73"/>
      <c r="E9" s="143">
        <f>1-E10</f>
        <v>0.81360993279837113</v>
      </c>
      <c r="M9" s="66"/>
    </row>
    <row r="10" spans="1:13" x14ac:dyDescent="0.25">
      <c r="A10" s="27"/>
      <c r="B10" s="69" t="s">
        <v>100</v>
      </c>
      <c r="C10" s="69"/>
      <c r="D10" s="74"/>
      <c r="E10" s="144">
        <f>MAIN!F8/MAIN!F6</f>
        <v>0.18639006720162887</v>
      </c>
      <c r="G10" s="4" t="s">
        <v>112</v>
      </c>
      <c r="L10" s="27"/>
      <c r="M10" s="292">
        <f>M8*(1+E10*(1-E4))</f>
        <v>0.71725668005615706</v>
      </c>
    </row>
    <row r="11" spans="1:13" x14ac:dyDescent="0.25">
      <c r="A11" s="27"/>
      <c r="B11" s="161" t="s">
        <v>181</v>
      </c>
      <c r="C11" s="70"/>
      <c r="D11" s="75"/>
      <c r="E11" s="145">
        <f>Assumptions!F24</f>
        <v>0.05</v>
      </c>
      <c r="M11" s="66"/>
    </row>
    <row r="12" spans="1:13" x14ac:dyDescent="0.25">
      <c r="A12" s="27"/>
      <c r="B12" s="71" t="s">
        <v>101</v>
      </c>
      <c r="C12" s="71"/>
      <c r="D12" s="76"/>
      <c r="E12" s="145">
        <f>E11*(1-E4)</f>
        <v>3.9000000000000007E-2</v>
      </c>
    </row>
    <row r="13" spans="1:13" s="11" customFormat="1" x14ac:dyDescent="0.25">
      <c r="A13" s="24" t="s">
        <v>126</v>
      </c>
      <c r="B13" s="162" t="s">
        <v>102</v>
      </c>
      <c r="C13" s="163"/>
      <c r="D13" s="164"/>
      <c r="E13" s="158">
        <f>WACC!E8*WACC!E9+WACC!E12*WACC!E10</f>
        <v>6.0291741087565132E-2</v>
      </c>
      <c r="F13" s="4"/>
    </row>
    <row r="14" spans="1:13" s="11" customFormat="1" x14ac:dyDescent="0.25">
      <c r="A14" s="24"/>
      <c r="B14" s="77" t="s">
        <v>103</v>
      </c>
      <c r="C14" s="77"/>
      <c r="D14" s="113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I32" sqref="I32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52" t="str">
        <f>CoName</f>
        <v>McDonald's Corp.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114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59"/>
      <c r="J2" s="159"/>
      <c r="K2" s="159"/>
      <c r="L2" s="159"/>
      <c r="M2" s="159"/>
      <c r="N2" s="159"/>
    </row>
    <row r="3" spans="1:14" x14ac:dyDescent="0.25">
      <c r="B3" s="4" t="s">
        <v>185</v>
      </c>
      <c r="D3" s="8">
        <f>1/(1+$K$3)^D2</f>
        <v>0.97115222768034293</v>
      </c>
      <c r="E3" s="8">
        <f t="shared" ref="E3:H3" si="1">1/(1+$K$3)^E2</f>
        <v>0.91592925800234015</v>
      </c>
      <c r="F3" s="8">
        <f t="shared" si="1"/>
        <v>0.86384645141425964</v>
      </c>
      <c r="G3" s="8">
        <f t="shared" si="1"/>
        <v>0.8147252477211534</v>
      </c>
      <c r="H3" s="8">
        <f t="shared" si="1"/>
        <v>0.76839724025905487</v>
      </c>
      <c r="I3" s="162" t="s">
        <v>102</v>
      </c>
      <c r="J3" s="163"/>
      <c r="K3" s="158">
        <f>WACC!E13</f>
        <v>6.0291741087565132E-2</v>
      </c>
    </row>
    <row r="4" spans="1:14" x14ac:dyDescent="0.25">
      <c r="B4" s="4" t="s">
        <v>186</v>
      </c>
      <c r="D4" s="4">
        <f>D3*'Free Cash Flow'!F15</f>
        <v>5610.4952069667197</v>
      </c>
      <c r="E4" s="4">
        <f>E3*'Free Cash Flow'!G15</f>
        <v>5577.6715694499335</v>
      </c>
      <c r="F4" s="4">
        <f>F3*'Free Cash Flow'!H15</f>
        <v>6087.4270494430639</v>
      </c>
      <c r="G4" s="4">
        <f>G3*'Free Cash Flow'!I15</f>
        <v>6596.5062570175887</v>
      </c>
      <c r="H4" s="4">
        <f>H3*'Free Cash Flow'!J15</f>
        <v>7100.2370509986058</v>
      </c>
      <c r="I4" s="77" t="s">
        <v>241</v>
      </c>
      <c r="J4" s="77"/>
      <c r="K4" s="147">
        <v>2.75E-2</v>
      </c>
    </row>
    <row r="5" spans="1:14" x14ac:dyDescent="0.25">
      <c r="G5" s="146"/>
      <c r="H5" s="4">
        <f>(H4*(1+K4))/(K3-K4)</f>
        <v>222479.60394721379</v>
      </c>
    </row>
    <row r="6" spans="1:14" x14ac:dyDescent="0.25">
      <c r="A6" s="77" t="s">
        <v>115</v>
      </c>
      <c r="B6" s="19"/>
      <c r="C6" s="42"/>
      <c r="D6" s="85"/>
      <c r="E6" s="77" t="s">
        <v>173</v>
      </c>
      <c r="F6" s="19"/>
      <c r="G6" s="42"/>
      <c r="H6" s="85" t="s">
        <v>169</v>
      </c>
    </row>
    <row r="7" spans="1:14" x14ac:dyDescent="0.25">
      <c r="B7" s="4" t="s">
        <v>116</v>
      </c>
      <c r="C7" s="4">
        <f>SUM(D4:H4)</f>
        <v>30972.33713387591</v>
      </c>
      <c r="E7" s="4" t="s">
        <v>116</v>
      </c>
      <c r="G7" s="4">
        <f>C7</f>
        <v>30972.33713387591</v>
      </c>
    </row>
    <row r="8" spans="1:14" x14ac:dyDescent="0.25">
      <c r="B8" s="4" t="s">
        <v>117</v>
      </c>
      <c r="C8" s="4">
        <f>H5*H3</f>
        <v>170952.7136869666</v>
      </c>
      <c r="E8" s="4" t="s">
        <v>174</v>
      </c>
      <c r="G8" s="4">
        <f>H3*G10*IncState!J23</f>
        <v>189367.15927257802</v>
      </c>
    </row>
    <row r="9" spans="1:14" x14ac:dyDescent="0.25">
      <c r="B9" s="4" t="s">
        <v>118</v>
      </c>
      <c r="C9" s="4">
        <f>SUM(C7:C8)</f>
        <v>201925.0508208425</v>
      </c>
      <c r="E9" s="4" t="s">
        <v>118</v>
      </c>
      <c r="G9" s="4">
        <f>SUM(G7:G8)</f>
        <v>220339.49640645392</v>
      </c>
    </row>
    <row r="10" spans="1:14" x14ac:dyDescent="0.25">
      <c r="C10" s="84"/>
      <c r="E10" s="4" t="s">
        <v>119</v>
      </c>
      <c r="G10" s="84">
        <v>20</v>
      </c>
    </row>
    <row r="11" spans="1:14" x14ac:dyDescent="0.25">
      <c r="I11" s="159"/>
    </row>
    <row r="12" spans="1:14" x14ac:dyDescent="0.25">
      <c r="B12" s="27" t="s">
        <v>120</v>
      </c>
      <c r="C12" s="37">
        <f>MAIN!F7</f>
        <v>2413</v>
      </c>
      <c r="E12" s="27" t="s">
        <v>120</v>
      </c>
      <c r="F12" s="156"/>
      <c r="G12" s="37">
        <f>C12</f>
        <v>2413</v>
      </c>
      <c r="I12" s="159"/>
    </row>
    <row r="13" spans="1:14" x14ac:dyDescent="0.25">
      <c r="B13" s="27" t="s">
        <v>121</v>
      </c>
      <c r="C13" s="37">
        <f>MAIN!F8</f>
        <v>41283</v>
      </c>
      <c r="E13" s="27" t="s">
        <v>121</v>
      </c>
      <c r="F13" s="156"/>
      <c r="G13" s="37">
        <f t="shared" ref="G13:G14" si="2">C13</f>
        <v>41283</v>
      </c>
      <c r="K13" s="169" t="s">
        <v>245</v>
      </c>
    </row>
    <row r="14" spans="1:14" x14ac:dyDescent="0.25">
      <c r="B14" s="27" t="s">
        <v>122</v>
      </c>
      <c r="C14" s="79">
        <v>0</v>
      </c>
      <c r="E14" s="4" t="s">
        <v>122</v>
      </c>
      <c r="F14" s="27"/>
      <c r="G14" s="37">
        <f t="shared" si="2"/>
        <v>0</v>
      </c>
      <c r="I14" s="4" t="s">
        <v>246</v>
      </c>
      <c r="K14" s="4">
        <f>IncState!J36</f>
        <v>6853.920181343592</v>
      </c>
    </row>
    <row r="15" spans="1:14" x14ac:dyDescent="0.25">
      <c r="B15" s="4" t="s">
        <v>123</v>
      </c>
      <c r="C15" s="66">
        <f>C9+C12-SUM(C13:C14)</f>
        <v>163055.0508208425</v>
      </c>
      <c r="E15" s="4" t="s">
        <v>123</v>
      </c>
      <c r="G15" s="66">
        <f>G9+G12-SUM(G13:G14)</f>
        <v>181469.49640645392</v>
      </c>
      <c r="I15" s="4" t="s">
        <v>123</v>
      </c>
      <c r="K15" s="4">
        <f>K14/(WACC!E8-K4)</f>
        <v>181948.9390466304</v>
      </c>
    </row>
    <row r="17" spans="1:17" x14ac:dyDescent="0.25">
      <c r="B17" s="4" t="s">
        <v>124</v>
      </c>
      <c r="C17" s="4">
        <f>MAIN!F5</f>
        <v>712.15435000000002</v>
      </c>
      <c r="E17" s="4" t="s">
        <v>124</v>
      </c>
      <c r="G17" s="4">
        <f>C17</f>
        <v>712.15435000000002</v>
      </c>
      <c r="I17" s="4" t="s">
        <v>124</v>
      </c>
      <c r="K17" s="4">
        <f>G17</f>
        <v>712.15435000000002</v>
      </c>
    </row>
    <row r="18" spans="1:17" x14ac:dyDescent="0.25">
      <c r="A18" s="4" t="s">
        <v>126</v>
      </c>
      <c r="B18" s="148" t="s">
        <v>125</v>
      </c>
      <c r="C18" s="157">
        <f>C15/C17</f>
        <v>228.9602679824149</v>
      </c>
      <c r="E18" s="148" t="s">
        <v>125</v>
      </c>
      <c r="F18" s="156"/>
      <c r="G18" s="157">
        <f>G15/G17</f>
        <v>254.81764789677115</v>
      </c>
      <c r="I18" s="148" t="s">
        <v>125</v>
      </c>
      <c r="J18" s="156"/>
      <c r="K18" s="157">
        <f>K15/K17</f>
        <v>255.4908764464198</v>
      </c>
    </row>
    <row r="19" spans="1:17" x14ac:dyDescent="0.25">
      <c r="C19" s="21"/>
    </row>
    <row r="20" spans="1:17" x14ac:dyDescent="0.25">
      <c r="A20" s="114" t="s">
        <v>148</v>
      </c>
      <c r="B20" s="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216"/>
    </row>
    <row r="21" spans="1:17" x14ac:dyDescent="0.25">
      <c r="B21" s="115"/>
      <c r="C21" s="115"/>
      <c r="D21" s="115"/>
      <c r="E21" s="115"/>
      <c r="F21" s="115"/>
      <c r="G21" s="115"/>
      <c r="H21" s="115"/>
      <c r="I21" s="115"/>
    </row>
    <row r="22" spans="1:17" x14ac:dyDescent="0.25">
      <c r="B22" s="115"/>
      <c r="C22" s="115" t="s">
        <v>149</v>
      </c>
      <c r="D22" s="115"/>
      <c r="E22" s="116">
        <v>5.0000000000000001E-3</v>
      </c>
      <c r="F22" s="115"/>
      <c r="G22" s="115"/>
      <c r="J22" s="115" t="s">
        <v>149</v>
      </c>
      <c r="K22" s="115"/>
      <c r="L22" s="116">
        <v>5.0000000000000001E-3</v>
      </c>
    </row>
    <row r="23" spans="1:17" x14ac:dyDescent="0.25">
      <c r="B23" s="115"/>
      <c r="C23" s="115" t="s">
        <v>242</v>
      </c>
      <c r="D23" s="115"/>
      <c r="E23" s="149">
        <v>2.5000000000000001E-3</v>
      </c>
      <c r="F23" s="115"/>
      <c r="G23" s="115"/>
      <c r="J23" s="115" t="s">
        <v>172</v>
      </c>
      <c r="K23" s="115"/>
      <c r="L23" s="155">
        <v>2</v>
      </c>
    </row>
    <row r="24" spans="1:17" x14ac:dyDescent="0.25">
      <c r="B24" s="115"/>
      <c r="C24" s="115"/>
      <c r="D24" s="115"/>
      <c r="E24" s="167"/>
      <c r="F24" s="115"/>
      <c r="G24" s="115"/>
      <c r="J24" s="115"/>
      <c r="K24" s="115"/>
      <c r="L24" s="166"/>
    </row>
    <row r="25" spans="1:17" x14ac:dyDescent="0.25">
      <c r="B25" s="115"/>
      <c r="C25" s="115"/>
      <c r="D25" s="115"/>
      <c r="E25" s="115"/>
      <c r="F25" s="115"/>
      <c r="H25" s="115"/>
      <c r="I25" s="169"/>
      <c r="P25" s="169"/>
    </row>
    <row r="26" spans="1:17" x14ac:dyDescent="0.25">
      <c r="B26" s="159"/>
      <c r="C26" s="165"/>
      <c r="D26" s="115"/>
      <c r="E26" s="239" t="s">
        <v>241</v>
      </c>
      <c r="F26" s="115"/>
      <c r="H26" s="115"/>
      <c r="J26" s="239" t="s">
        <v>243</v>
      </c>
      <c r="K26" s="115"/>
    </row>
    <row r="27" spans="1:17" x14ac:dyDescent="0.25">
      <c r="B27" s="159"/>
      <c r="C27" s="299">
        <f>C18</f>
        <v>228.9602679824149</v>
      </c>
      <c r="D27" s="47">
        <f>E27-E23</f>
        <v>2.5000000000000001E-2</v>
      </c>
      <c r="E27" s="240">
        <f>K4</f>
        <v>2.75E-2</v>
      </c>
      <c r="F27" s="240">
        <f>E27+E23</f>
        <v>0.03</v>
      </c>
      <c r="H27" s="301">
        <f>G18</f>
        <v>254.81764789677115</v>
      </c>
      <c r="I27" s="294">
        <f>J27-L23</f>
        <v>18</v>
      </c>
      <c r="J27" s="84">
        <v>20</v>
      </c>
      <c r="K27" s="84">
        <f>J27+L23</f>
        <v>22</v>
      </c>
      <c r="N27" s="240"/>
      <c r="P27" s="169"/>
    </row>
    <row r="28" spans="1:17" x14ac:dyDescent="0.25">
      <c r="B28" s="159"/>
      <c r="C28" s="47">
        <f>C29+$E$22</f>
        <v>7.0291741087565141E-2</v>
      </c>
      <c r="D28" s="295">
        <f t="dataTable" ref="D28:F32" dt2D="1" dtr="1" r1="K4" r2="K3" ca="1"/>
        <v>147.18398168511618</v>
      </c>
      <c r="E28" s="297">
        <v>147.18398168511618</v>
      </c>
      <c r="F28" s="295">
        <v>156.903764537207</v>
      </c>
      <c r="G28" s="169"/>
      <c r="H28" s="47">
        <f>C28</f>
        <v>7.0291741087565141E-2</v>
      </c>
      <c r="I28" s="295">
        <f t="dataTable" ref="I28:K32" dt2D="1" dtr="1" r1="G10" r2="K3"/>
        <v>217.27173019189098</v>
      </c>
      <c r="J28" s="296">
        <v>242.76261747450405</v>
      </c>
      <c r="K28" s="295">
        <v>268.25350475711718</v>
      </c>
      <c r="N28" s="241"/>
      <c r="O28" s="47"/>
      <c r="P28" s="47"/>
      <c r="Q28" s="47"/>
    </row>
    <row r="29" spans="1:17" x14ac:dyDescent="0.25">
      <c r="C29" s="47">
        <f>C30+$E$22</f>
        <v>6.5291741087565136E-2</v>
      </c>
      <c r="D29" s="295">
        <v>175.18806476144493</v>
      </c>
      <c r="E29" s="300">
        <v>175.18806476144493</v>
      </c>
      <c r="F29" s="295">
        <v>188.03180500547995</v>
      </c>
      <c r="G29" s="242"/>
      <c r="H29" s="47">
        <f t="shared" ref="H29:H32" si="3">C29</f>
        <v>6.5291741087565136E-2</v>
      </c>
      <c r="I29" s="295">
        <v>222.67999310980852</v>
      </c>
      <c r="J29" s="296">
        <v>248.71371230712273</v>
      </c>
      <c r="K29" s="295">
        <v>274.74743150443697</v>
      </c>
      <c r="N29" s="244"/>
      <c r="O29" s="165"/>
      <c r="P29" s="165"/>
      <c r="Q29" s="165"/>
    </row>
    <row r="30" spans="1:17" x14ac:dyDescent="0.25">
      <c r="C30" s="47">
        <v>6.0291741087565132E-2</v>
      </c>
      <c r="D30" s="296">
        <v>211.41288560305776</v>
      </c>
      <c r="E30" s="296">
        <v>211.41288560305776</v>
      </c>
      <c r="F30" s="296">
        <v>228.9602679824149</v>
      </c>
      <c r="G30" s="243"/>
      <c r="H30" s="47">
        <f t="shared" si="3"/>
        <v>6.0291741087565132E-2</v>
      </c>
      <c r="I30" s="296">
        <v>228.22690120364516</v>
      </c>
      <c r="J30" s="296">
        <v>254.81764789677115</v>
      </c>
      <c r="K30" s="297">
        <v>281.40839458989723</v>
      </c>
      <c r="M30" s="47"/>
      <c r="N30" s="165"/>
      <c r="O30" s="84"/>
      <c r="P30" s="84"/>
      <c r="Q30" s="84"/>
    </row>
    <row r="31" spans="1:17" x14ac:dyDescent="0.25">
      <c r="C31" s="47">
        <f>C30-$E$22</f>
        <v>5.5291741087565134E-2</v>
      </c>
      <c r="D31" s="295">
        <v>259.95030492165711</v>
      </c>
      <c r="E31" s="296">
        <v>259.95030492165711</v>
      </c>
      <c r="F31" s="295">
        <v>285.00174081899047</v>
      </c>
      <c r="G31" s="243"/>
      <c r="H31" s="47">
        <f t="shared" si="3"/>
        <v>5.5291741087565134E-2</v>
      </c>
      <c r="I31" s="295">
        <v>233.91671703490661</v>
      </c>
      <c r="J31" s="296">
        <v>261.0791276222534</v>
      </c>
      <c r="K31" s="298">
        <v>288.24153820960021</v>
      </c>
      <c r="M31" s="47"/>
      <c r="N31" s="165"/>
      <c r="O31" s="84"/>
      <c r="P31" s="84"/>
      <c r="Q31" s="84"/>
    </row>
    <row r="32" spans="1:17" x14ac:dyDescent="0.25">
      <c r="C32" s="47">
        <f>C31-$E$22</f>
        <v>5.0291741087565137E-2</v>
      </c>
      <c r="D32" s="295">
        <v>328.12951368671418</v>
      </c>
      <c r="E32" s="296">
        <v>328.12951368671418</v>
      </c>
      <c r="F32" s="295">
        <v>366.13244491740841</v>
      </c>
      <c r="G32" s="243"/>
      <c r="H32" s="47">
        <f t="shared" si="3"/>
        <v>5.0291741087565137E-2</v>
      </c>
      <c r="I32" s="295">
        <v>239.75385569925609</v>
      </c>
      <c r="J32" s="296">
        <v>267.50302326696624</v>
      </c>
      <c r="K32" s="298">
        <v>295.25219083467641</v>
      </c>
      <c r="L32" s="146"/>
      <c r="M32" s="47"/>
      <c r="N32" s="165"/>
      <c r="O32" s="84"/>
      <c r="P32" s="84"/>
      <c r="Q32" s="84"/>
    </row>
    <row r="33" spans="2:17" x14ac:dyDescent="0.25">
      <c r="D33" s="47"/>
      <c r="E33" s="222"/>
      <c r="F33" s="226"/>
      <c r="G33" s="243"/>
      <c r="H33" s="227"/>
      <c r="I33" s="227"/>
      <c r="J33" s="227"/>
      <c r="K33" s="240"/>
      <c r="M33" s="47"/>
      <c r="N33" s="165"/>
      <c r="O33" s="84"/>
      <c r="P33" s="84"/>
      <c r="Q33" s="84"/>
    </row>
    <row r="34" spans="2:17" x14ac:dyDescent="0.25">
      <c r="D34" s="47"/>
      <c r="E34" s="222"/>
      <c r="F34" s="226"/>
      <c r="G34" s="243"/>
      <c r="H34" s="227"/>
      <c r="I34" s="227"/>
      <c r="J34" s="227"/>
      <c r="K34" s="240"/>
      <c r="M34" s="47"/>
      <c r="N34" s="165"/>
      <c r="O34" s="84"/>
      <c r="P34" s="84"/>
      <c r="Q34" s="84"/>
    </row>
    <row r="35" spans="2:17" x14ac:dyDescent="0.25">
      <c r="B35" s="245"/>
      <c r="C35" s="245"/>
      <c r="D35" s="245"/>
      <c r="E35" s="246"/>
      <c r="F35" s="247"/>
      <c r="G35" s="246"/>
    </row>
    <row r="36" spans="2:17" x14ac:dyDescent="0.25">
      <c r="B36" s="115"/>
      <c r="C36" s="115"/>
      <c r="D36" s="115"/>
      <c r="E36" s="115"/>
      <c r="F36" s="239"/>
      <c r="G36" s="239"/>
      <c r="H36" s="239"/>
      <c r="I36" s="169"/>
      <c r="J36" s="169"/>
      <c r="P36" s="169"/>
    </row>
    <row r="37" spans="2:17" x14ac:dyDescent="0.25">
      <c r="F37" s="228"/>
      <c r="G37" s="228"/>
      <c r="H37" s="226"/>
      <c r="I37" s="226"/>
      <c r="J37" s="226"/>
      <c r="M37" s="169"/>
      <c r="O37" s="84"/>
      <c r="P37" s="84"/>
      <c r="Q37" s="84"/>
    </row>
    <row r="38" spans="2:17" x14ac:dyDescent="0.25">
      <c r="E38" s="47"/>
      <c r="F38" s="225"/>
      <c r="G38" s="248"/>
      <c r="H38" s="243"/>
      <c r="I38" s="243"/>
      <c r="J38" s="243"/>
      <c r="L38" s="84"/>
      <c r="M38" s="84"/>
      <c r="N38" s="249"/>
      <c r="O38" s="168"/>
      <c r="P38" s="168"/>
      <c r="Q38" s="168"/>
    </row>
    <row r="39" spans="2:17" x14ac:dyDescent="0.25">
      <c r="E39" s="47"/>
      <c r="F39" s="226"/>
      <c r="G39" s="243"/>
      <c r="H39" s="225"/>
      <c r="I39" s="225"/>
      <c r="J39" s="225"/>
      <c r="K39" s="47"/>
      <c r="M39" s="47"/>
      <c r="N39" s="165"/>
      <c r="O39" s="250"/>
      <c r="P39" s="250"/>
      <c r="Q39" s="250"/>
    </row>
    <row r="40" spans="2:17" x14ac:dyDescent="0.25">
      <c r="D40" s="8"/>
      <c r="E40" s="47"/>
      <c r="F40" s="226"/>
      <c r="G40" s="243"/>
      <c r="H40" s="225"/>
      <c r="I40" s="225"/>
      <c r="J40" s="225"/>
      <c r="K40" s="8"/>
      <c r="L40" s="47"/>
      <c r="M40" s="47"/>
      <c r="N40" s="165"/>
      <c r="O40" s="250"/>
      <c r="P40" s="250"/>
      <c r="Q40" s="250"/>
    </row>
    <row r="41" spans="2:17" x14ac:dyDescent="0.25">
      <c r="D41" s="8"/>
      <c r="E41" s="146"/>
      <c r="F41" s="226"/>
      <c r="G41" s="243"/>
      <c r="H41" s="225"/>
      <c r="I41" s="225"/>
      <c r="J41" s="225"/>
      <c r="K41" s="8"/>
      <c r="L41" s="146"/>
      <c r="M41" s="47"/>
      <c r="N41" s="165"/>
      <c r="O41" s="250"/>
      <c r="P41" s="250"/>
      <c r="Q41" s="250"/>
    </row>
    <row r="42" spans="2:17" x14ac:dyDescent="0.25">
      <c r="D42" s="8"/>
      <c r="E42" s="47"/>
      <c r="F42" s="226"/>
      <c r="G42" s="243"/>
      <c r="H42" s="225"/>
      <c r="I42" s="225"/>
      <c r="J42" s="225"/>
      <c r="K42" s="8"/>
      <c r="L42" s="47"/>
      <c r="M42" s="47"/>
      <c r="N42" s="165"/>
      <c r="O42" s="250"/>
      <c r="P42" s="250"/>
      <c r="Q42" s="250"/>
    </row>
    <row r="43" spans="2:17" x14ac:dyDescent="0.25">
      <c r="D43" s="8"/>
      <c r="E43" s="8"/>
      <c r="F43" s="226"/>
      <c r="G43" s="243"/>
      <c r="H43" s="225"/>
      <c r="I43" s="225"/>
      <c r="J43" s="225"/>
      <c r="K43" s="8"/>
      <c r="L43" s="47"/>
      <c r="M43" s="47"/>
      <c r="N43" s="165"/>
      <c r="O43" s="250"/>
      <c r="P43" s="250"/>
      <c r="Q43" s="250"/>
    </row>
    <row r="44" spans="2:17" x14ac:dyDescent="0.25">
      <c r="D44" s="8"/>
      <c r="E44" s="8"/>
      <c r="F44" s="84"/>
      <c r="G44" s="84"/>
      <c r="H44" s="84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488C-2918-4817-A6BC-984228E8F23F}">
  <dimension ref="A1:I11"/>
  <sheetViews>
    <sheetView showGridLines="0" topLeftCell="B1" workbookViewId="0">
      <selection activeCell="I10" sqref="I10"/>
    </sheetView>
  </sheetViews>
  <sheetFormatPr defaultRowHeight="15" x14ac:dyDescent="0.25"/>
  <cols>
    <col min="1" max="1" width="2" style="4" bestFit="1" customWidth="1"/>
    <col min="2" max="2" width="11.7109375" style="4" customWidth="1"/>
    <col min="3" max="3" width="12.7109375" style="4" customWidth="1"/>
    <col min="4" max="5" width="9.85546875" style="4" bestFit="1" customWidth="1"/>
    <col min="6" max="6" width="10.85546875" style="4" bestFit="1" customWidth="1"/>
    <col min="7" max="7" width="11.7109375" style="4" customWidth="1"/>
    <col min="8" max="8" width="9.140625" style="4"/>
    <col min="9" max="9" width="10.7109375" style="4" bestFit="1" customWidth="1"/>
    <col min="10" max="16384" width="9.140625" style="4"/>
  </cols>
  <sheetData>
    <row r="1" spans="1:9" s="302" customFormat="1" ht="18.75" x14ac:dyDescent="0.3">
      <c r="B1" s="303" t="str">
        <f>CoName</f>
        <v>McDonald's Corp.</v>
      </c>
    </row>
    <row r="2" spans="1:9" s="302" customFormat="1" ht="18.75" x14ac:dyDescent="0.3">
      <c r="B2" s="303"/>
    </row>
    <row r="3" spans="1:9" s="159" customFormat="1" x14ac:dyDescent="0.25">
      <c r="A3" s="304"/>
      <c r="B3" s="304" t="s">
        <v>247</v>
      </c>
      <c r="C3" s="304" t="s">
        <v>118</v>
      </c>
      <c r="D3" s="304" t="s">
        <v>248</v>
      </c>
      <c r="E3" s="304" t="s">
        <v>249</v>
      </c>
      <c r="F3" s="304" t="s">
        <v>250</v>
      </c>
      <c r="G3" s="304" t="s">
        <v>251</v>
      </c>
      <c r="H3" s="304" t="s">
        <v>252</v>
      </c>
      <c r="I3" s="304" t="s">
        <v>253</v>
      </c>
    </row>
    <row r="4" spans="1:9" x14ac:dyDescent="0.25">
      <c r="B4" s="4" t="s">
        <v>238</v>
      </c>
      <c r="C4" s="305">
        <f>40220-1045+WACC!I4</f>
        <v>50729</v>
      </c>
      <c r="D4" s="84">
        <v>28.26</v>
      </c>
      <c r="E4" s="84">
        <v>23.84</v>
      </c>
      <c r="F4" s="84">
        <v>18.34</v>
      </c>
      <c r="G4" s="84">
        <f>C4/2403</f>
        <v>21.110694964627548</v>
      </c>
      <c r="H4" s="84">
        <v>6.41</v>
      </c>
    </row>
    <row r="5" spans="1:9" x14ac:dyDescent="0.25">
      <c r="B5" s="4" t="s">
        <v>239</v>
      </c>
      <c r="C5" s="305">
        <f>WACC!J5-1206+WACC!I5</f>
        <v>45725</v>
      </c>
      <c r="D5" s="84">
        <v>26.08</v>
      </c>
      <c r="E5" s="84">
        <v>13.72</v>
      </c>
      <c r="F5" s="84">
        <f>C5/2950</f>
        <v>15.5</v>
      </c>
      <c r="G5" s="84">
        <f>C5/3170</f>
        <v>14.42429022082019</v>
      </c>
      <c r="H5" s="84">
        <v>4.37</v>
      </c>
    </row>
    <row r="6" spans="1:9" x14ac:dyDescent="0.25">
      <c r="B6" s="4" t="s">
        <v>240</v>
      </c>
      <c r="C6" s="305">
        <f>WACC!J6+WACC!I6-247.2</f>
        <v>112767.6</v>
      </c>
      <c r="D6" s="84">
        <f>96940/1856.7</f>
        <v>52.210911832821672</v>
      </c>
      <c r="E6" s="84">
        <v>22.88</v>
      </c>
      <c r="F6" s="84">
        <v>21.99</v>
      </c>
      <c r="G6" s="84">
        <f>C6/2936.6</f>
        <v>38.400735544507256</v>
      </c>
      <c r="H6" s="84">
        <f>C6/37184.4</f>
        <v>3.032658856940007</v>
      </c>
    </row>
    <row r="7" spans="1:9" x14ac:dyDescent="0.25">
      <c r="A7" s="27" t="s">
        <v>126</v>
      </c>
      <c r="B7" s="66" t="s">
        <v>244</v>
      </c>
      <c r="C7" s="66"/>
      <c r="D7" s="306">
        <f>AVERAGE(D4:D6)</f>
        <v>35.516970610940554</v>
      </c>
      <c r="E7" s="306">
        <f t="shared" ref="E7:H7" si="0">AVERAGE(E4:E6)</f>
        <v>20.146666666666665</v>
      </c>
      <c r="F7" s="306">
        <f t="shared" si="0"/>
        <v>18.61</v>
      </c>
      <c r="G7" s="306">
        <f t="shared" si="0"/>
        <v>24.64524024331833</v>
      </c>
      <c r="H7" s="307">
        <f t="shared" si="0"/>
        <v>4.6042196189800029</v>
      </c>
    </row>
    <row r="8" spans="1:9" x14ac:dyDescent="0.25">
      <c r="B8" s="66"/>
      <c r="C8" s="66"/>
      <c r="D8" s="66"/>
      <c r="E8" s="66"/>
      <c r="F8" s="66"/>
      <c r="G8" s="66"/>
      <c r="H8" s="66"/>
    </row>
    <row r="9" spans="1:9" x14ac:dyDescent="0.25">
      <c r="B9" s="4" t="s">
        <v>254</v>
      </c>
      <c r="D9" s="309">
        <f>(D7*IncState!E34)/MAIN!F5</f>
        <v>277.59185340825707</v>
      </c>
      <c r="E9" s="309">
        <f>(E7*IncState!F34)/MAIN!F5</f>
        <v>205.91178567770402</v>
      </c>
      <c r="F9" s="309">
        <f>(F7*IncState!F23-MAIN!F8+MAIN!F7)/721.2</f>
        <v>198.49724455743606</v>
      </c>
      <c r="G9" s="309">
        <f>(G7*IncState!F19-MAIN!F8+MAIN!F7)/721.2</f>
        <v>264.98928846409785</v>
      </c>
      <c r="H9" s="309">
        <f>(H7*IncState!F16-MAIN!F8+MAIN!F7)/MAIN!F5</f>
        <v>118.14206781748372</v>
      </c>
      <c r="I9" s="309">
        <f>AVERAGE(D9:H9)</f>
        <v>213.02644798499574</v>
      </c>
    </row>
    <row r="10" spans="1:9" x14ac:dyDescent="0.25">
      <c r="A10" s="27"/>
      <c r="B10" s="66" t="s">
        <v>255</v>
      </c>
      <c r="C10" s="66">
        <f>MAIN!F9</f>
        <v>260357.12439350001</v>
      </c>
      <c r="D10" s="306">
        <f>MAIN!F6/IncState!E34</f>
        <v>39.792713273407792</v>
      </c>
      <c r="E10" s="306">
        <f>MAIN!F6/IncState!F34</f>
        <v>30.42960741357146</v>
      </c>
      <c r="F10" s="306">
        <f>C10/IncState!F23</f>
        <v>26.618397488480898</v>
      </c>
      <c r="G10" s="306">
        <f>C10/IncState!F19</f>
        <v>27.900496615167651</v>
      </c>
      <c r="H10" s="307">
        <f>C10/IncState!F16</f>
        <v>9.7454380194138093</v>
      </c>
      <c r="I10" s="8">
        <f>(SUM(D10:H10)-SUM(D7:H7))/SUM(D7:H7)</f>
        <v>0.29909804213344388</v>
      </c>
    </row>
    <row r="11" spans="1:9" x14ac:dyDescent="0.25">
      <c r="B11" s="66"/>
      <c r="C11" s="66"/>
      <c r="D11" s="308">
        <f>(D10-D7)/D7</f>
        <v>0.12038590535506283</v>
      </c>
      <c r="E11" s="308">
        <f t="shared" ref="E11:H11" si="1">(E10-E7)/E7</f>
        <v>0.51040407413491706</v>
      </c>
      <c r="F11" s="308">
        <f t="shared" si="1"/>
        <v>0.43032764580767863</v>
      </c>
      <c r="G11" s="308">
        <f t="shared" si="1"/>
        <v>0.13208458670764495</v>
      </c>
      <c r="H11" s="308">
        <f t="shared" si="1"/>
        <v>1.1166318781233047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www.w3.org/XML/1998/namespace"/>
    <ds:schemaRef ds:uri="http://schemas.microsoft.com/office/2006/documentManagement/types"/>
    <ds:schemaRef ds:uri="88a26cf8-717e-46a4-ac0d-03f11284dc6b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2025-12-07T01:03:53Z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