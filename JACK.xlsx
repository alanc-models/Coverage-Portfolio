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369" documentId="8_{DD5F1ABE-4628-4804-B5A5-936278E65ED8}" xr6:coauthVersionLast="47" xr6:coauthVersionMax="47" xr10:uidLastSave="{4938B8F6-6196-4885-8F7D-181A26FB53A8}"/>
  <bookViews>
    <workbookView xWindow="-105" yWindow="0" windowWidth="19410" windowHeight="21705" tabRatio="808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I5" i="3"/>
  <c r="E10" i="11"/>
  <c r="E9" i="11" s="1"/>
  <c r="C17" i="12"/>
  <c r="G17" i="12" s="1"/>
  <c r="C13" i="12"/>
  <c r="G13" i="12" s="1"/>
  <c r="C12" i="12"/>
  <c r="G12" i="12" s="1"/>
  <c r="G3" i="10"/>
  <c r="G4" i="10"/>
  <c r="G5" i="10"/>
  <c r="H5" i="10"/>
  <c r="I5" i="10"/>
  <c r="J5" i="10"/>
  <c r="G7" i="10"/>
  <c r="G8" i="10"/>
  <c r="H8" i="10"/>
  <c r="G9" i="10"/>
  <c r="H9" i="10"/>
  <c r="I9" i="10"/>
  <c r="J9" i="10"/>
  <c r="G10" i="10"/>
  <c r="G11" i="10"/>
  <c r="G12" i="10"/>
  <c r="G13" i="10"/>
  <c r="G15" i="10"/>
  <c r="F35" i="8"/>
  <c r="G16" i="6"/>
  <c r="H16" i="6"/>
  <c r="I16" i="6"/>
  <c r="J16" i="6"/>
  <c r="G24" i="6"/>
  <c r="H24" i="6"/>
  <c r="I24" i="6"/>
  <c r="J24" i="6"/>
  <c r="G30" i="6"/>
  <c r="H30" i="6"/>
  <c r="I30" i="6"/>
  <c r="J30" i="6"/>
  <c r="G10" i="5"/>
  <c r="H10" i="5"/>
  <c r="I10" i="5"/>
  <c r="J10" i="5"/>
  <c r="G11" i="5"/>
  <c r="G15" i="9" s="1"/>
  <c r="H11" i="5"/>
  <c r="I11" i="5"/>
  <c r="I15" i="9" s="1"/>
  <c r="J11" i="5"/>
  <c r="J15" i="9" s="1"/>
  <c r="G15" i="5"/>
  <c r="I15" i="5"/>
  <c r="J15" i="5"/>
  <c r="G17" i="5"/>
  <c r="H17" i="5"/>
  <c r="I17" i="5"/>
  <c r="J17" i="5"/>
  <c r="F20" i="9"/>
  <c r="B21" i="9"/>
  <c r="E24" i="5"/>
  <c r="E23" i="5"/>
  <c r="E22" i="5"/>
  <c r="E21" i="5"/>
  <c r="E20" i="5"/>
  <c r="E19" i="5"/>
  <c r="E18" i="5"/>
  <c r="E16" i="5"/>
  <c r="F13" i="5" s="1"/>
  <c r="F17" i="6"/>
  <c r="E20" i="6"/>
  <c r="E9" i="5"/>
  <c r="F6" i="5" s="1"/>
  <c r="C31" i="13"/>
  <c r="D31" i="13"/>
  <c r="E31" i="13"/>
  <c r="G27" i="13"/>
  <c r="H27" i="13" s="1"/>
  <c r="I27" i="13" s="1"/>
  <c r="J27" i="13" s="1"/>
  <c r="E22" i="13"/>
  <c r="C36" i="8"/>
  <c r="C35" i="8"/>
  <c r="C31" i="8"/>
  <c r="C24" i="8"/>
  <c r="C23" i="8"/>
  <c r="C20" i="8"/>
  <c r="D32" i="8"/>
  <c r="E32" i="8"/>
  <c r="D36" i="8"/>
  <c r="E36" i="8"/>
  <c r="D35" i="8"/>
  <c r="E35" i="8"/>
  <c r="D31" i="8"/>
  <c r="E31" i="8"/>
  <c r="D24" i="8"/>
  <c r="E24" i="8"/>
  <c r="D23" i="8"/>
  <c r="E23" i="8"/>
  <c r="D20" i="8"/>
  <c r="E20" i="8"/>
  <c r="D16" i="8"/>
  <c r="D17" i="8" s="1"/>
  <c r="C16" i="8"/>
  <c r="C17" i="8" s="1"/>
  <c r="E16" i="8"/>
  <c r="E17" i="8" s="1"/>
  <c r="C17" i="7"/>
  <c r="C16" i="7"/>
  <c r="D17" i="7"/>
  <c r="D16" i="7"/>
  <c r="E16" i="7"/>
  <c r="E17" i="7"/>
  <c r="F8" i="3"/>
  <c r="F7" i="3"/>
  <c r="E2" i="6"/>
  <c r="F2" i="6"/>
  <c r="G2" i="6"/>
  <c r="H2" i="6"/>
  <c r="I2" i="6"/>
  <c r="J2" i="6"/>
  <c r="D2" i="6"/>
  <c r="H15" i="9" l="1"/>
  <c r="H15" i="5"/>
  <c r="E14" i="13"/>
  <c r="D39" i="13"/>
  <c r="D14" i="13"/>
  <c r="E46" i="13"/>
  <c r="F46" i="13" s="1"/>
  <c r="F11" i="8" s="1"/>
  <c r="E12" i="13"/>
  <c r="D10" i="13"/>
  <c r="E10" i="13"/>
  <c r="D32" i="13"/>
  <c r="E32" i="13"/>
  <c r="F32" i="13" s="1"/>
  <c r="G32" i="13" s="1"/>
  <c r="H32" i="13" s="1"/>
  <c r="I32" i="13" s="1"/>
  <c r="J32" i="13" s="1"/>
  <c r="E48" i="13"/>
  <c r="D48" i="13"/>
  <c r="C48" i="13"/>
  <c r="E47" i="13"/>
  <c r="D47" i="13"/>
  <c r="C47" i="13"/>
  <c r="C46" i="13"/>
  <c r="E42" i="13"/>
  <c r="D42" i="13"/>
  <c r="C42" i="13"/>
  <c r="E40" i="13"/>
  <c r="F40" i="13" s="1"/>
  <c r="D40" i="13"/>
  <c r="C40" i="13"/>
  <c r="C39" i="13"/>
  <c r="E38" i="13"/>
  <c r="D38" i="13"/>
  <c r="C38" i="13"/>
  <c r="E37" i="13"/>
  <c r="D37" i="13"/>
  <c r="C37" i="13"/>
  <c r="E15" i="13"/>
  <c r="D15" i="13"/>
  <c r="C15" i="13"/>
  <c r="C14" i="13"/>
  <c r="E13" i="13"/>
  <c r="F13" i="13" s="1"/>
  <c r="F7" i="7" s="1"/>
  <c r="F21" i="7" s="1"/>
  <c r="F5" i="9" s="1"/>
  <c r="F9" i="10" s="1"/>
  <c r="D13" i="13"/>
  <c r="C13" i="13"/>
  <c r="D12" i="13"/>
  <c r="C12" i="13"/>
  <c r="C11" i="13"/>
  <c r="F6" i="3"/>
  <c r="G8" i="13"/>
  <c r="H8" i="13"/>
  <c r="I8" i="13"/>
  <c r="J8" i="13"/>
  <c r="F8" i="13"/>
  <c r="G7" i="13"/>
  <c r="H7" i="13"/>
  <c r="I7" i="13"/>
  <c r="J7" i="13"/>
  <c r="F7" i="13"/>
  <c r="D2" i="8"/>
  <c r="E2" i="8" s="1"/>
  <c r="E15" i="8" s="1"/>
  <c r="D2" i="7"/>
  <c r="E2" i="7" s="1"/>
  <c r="F2" i="7" s="1"/>
  <c r="G2" i="7" s="1"/>
  <c r="H2" i="7" s="1"/>
  <c r="I2" i="7" s="1"/>
  <c r="J2" i="7" s="1"/>
  <c r="D11" i="6"/>
  <c r="D16" i="6" s="1"/>
  <c r="D24" i="6" s="1"/>
  <c r="C20" i="13"/>
  <c r="C29" i="13" s="1"/>
  <c r="C35" i="13" s="1"/>
  <c r="C44" i="13" s="1"/>
  <c r="D2" i="13"/>
  <c r="E2" i="13" s="1"/>
  <c r="G8" i="7"/>
  <c r="G24" i="7" s="1"/>
  <c r="H8" i="7"/>
  <c r="H24" i="7" s="1"/>
  <c r="I8" i="7"/>
  <c r="I24" i="7" s="1"/>
  <c r="J8" i="7"/>
  <c r="J24" i="7" s="1"/>
  <c r="G9" i="7"/>
  <c r="G25" i="7" s="1"/>
  <c r="H9" i="7"/>
  <c r="H25" i="7" s="1"/>
  <c r="I9" i="7"/>
  <c r="I25" i="7" s="1"/>
  <c r="J9" i="7"/>
  <c r="J25" i="7" s="1"/>
  <c r="A1" i="10"/>
  <c r="C21" i="8"/>
  <c r="D21" i="8"/>
  <c r="E21" i="8"/>
  <c r="D26" i="8"/>
  <c r="C26" i="8"/>
  <c r="E26" i="8"/>
  <c r="E33" i="8"/>
  <c r="C33" i="8"/>
  <c r="D33" i="8"/>
  <c r="C37" i="8"/>
  <c r="C40" i="8" s="1"/>
  <c r="D37" i="8"/>
  <c r="D40" i="8" s="1"/>
  <c r="E37" i="8"/>
  <c r="C10" i="5"/>
  <c r="C17" i="5" s="1"/>
  <c r="D2" i="5"/>
  <c r="E2" i="5" s="1"/>
  <c r="G10" i="13"/>
  <c r="G4" i="7" s="1"/>
  <c r="H10" i="13"/>
  <c r="H4" i="7" s="1"/>
  <c r="I10" i="13"/>
  <c r="I4" i="7" s="1"/>
  <c r="J10" i="13"/>
  <c r="J4" i="7" s="1"/>
  <c r="F31" i="13"/>
  <c r="C11" i="6"/>
  <c r="C30" i="6" s="1"/>
  <c r="F23" i="13"/>
  <c r="F22" i="13"/>
  <c r="F4" i="6" s="1"/>
  <c r="F13" i="6" s="1"/>
  <c r="F24" i="13"/>
  <c r="F6" i="6" s="1"/>
  <c r="F32" i="6" s="1"/>
  <c r="D2" i="10"/>
  <c r="E2" i="10" s="1"/>
  <c r="F2" i="10" s="1"/>
  <c r="G2" i="10" s="1"/>
  <c r="H2" i="10" s="1"/>
  <c r="I2" i="10" s="1"/>
  <c r="J2" i="10" s="1"/>
  <c r="D2" i="9"/>
  <c r="E2" i="9" s="1"/>
  <c r="F2" i="9" s="1"/>
  <c r="G2" i="9" s="1"/>
  <c r="H2" i="9" s="1"/>
  <c r="I2" i="9" s="1"/>
  <c r="J2" i="9" s="1"/>
  <c r="D15" i="8"/>
  <c r="C15" i="8"/>
  <c r="F9" i="7"/>
  <c r="F25" i="7" s="1"/>
  <c r="J14" i="7"/>
  <c r="I14" i="7"/>
  <c r="H14" i="7"/>
  <c r="G14" i="7"/>
  <c r="F14" i="7"/>
  <c r="E14" i="7"/>
  <c r="D14" i="7"/>
  <c r="C14" i="7"/>
  <c r="A1" i="3"/>
  <c r="A1" i="13"/>
  <c r="A1" i="5"/>
  <c r="A1" i="6"/>
  <c r="A1" i="7"/>
  <c r="A1" i="8"/>
  <c r="A1" i="9"/>
  <c r="A1" i="11"/>
  <c r="A1" i="12"/>
  <c r="C18" i="7"/>
  <c r="C30" i="7" s="1"/>
  <c r="C16" i="13" s="1"/>
  <c r="F8" i="6"/>
  <c r="F11" i="5"/>
  <c r="B19" i="5"/>
  <c r="B20" i="5"/>
  <c r="F9" i="6"/>
  <c r="F19" i="6" s="1"/>
  <c r="G9" i="6"/>
  <c r="G19" i="6" s="1"/>
  <c r="H9" i="6"/>
  <c r="H19" i="6" s="1"/>
  <c r="I9" i="6"/>
  <c r="I19" i="6" s="1"/>
  <c r="J9" i="6"/>
  <c r="J19" i="6" s="1"/>
  <c r="J8" i="6"/>
  <c r="I8" i="6"/>
  <c r="H8" i="6"/>
  <c r="G8" i="6"/>
  <c r="E2" i="12"/>
  <c r="F2" i="12" s="1"/>
  <c r="G2" i="12" s="1"/>
  <c r="H2" i="12" s="1"/>
  <c r="F8" i="7"/>
  <c r="F24" i="7" s="1"/>
  <c r="F3" i="5" l="1"/>
  <c r="G31" i="13"/>
  <c r="H31" i="13" s="1"/>
  <c r="I31" i="13" s="1"/>
  <c r="J31" i="13" s="1"/>
  <c r="F14" i="9"/>
  <c r="F16" i="9" s="1"/>
  <c r="F18" i="6"/>
  <c r="F20" i="6" s="1"/>
  <c r="F15" i="9"/>
  <c r="F15" i="5"/>
  <c r="J14" i="9"/>
  <c r="J16" i="9" s="1"/>
  <c r="J18" i="6"/>
  <c r="I14" i="9"/>
  <c r="I16" i="9" s="1"/>
  <c r="I18" i="6"/>
  <c r="H18" i="6"/>
  <c r="H14" i="9"/>
  <c r="H16" i="9" s="1"/>
  <c r="G14" i="9"/>
  <c r="G16" i="9" s="1"/>
  <c r="G18" i="6"/>
  <c r="F24" i="8"/>
  <c r="G23" i="13"/>
  <c r="E11" i="11"/>
  <c r="C22" i="7"/>
  <c r="C33" i="7"/>
  <c r="D11" i="13"/>
  <c r="D46" i="13"/>
  <c r="D18" i="7"/>
  <c r="D22" i="7" s="1"/>
  <c r="E39" i="13"/>
  <c r="F39" i="13" s="1"/>
  <c r="F6" i="8" s="1"/>
  <c r="E11" i="13"/>
  <c r="F9" i="3"/>
  <c r="D20" i="13"/>
  <c r="D29" i="13" s="1"/>
  <c r="D35" i="13" s="1"/>
  <c r="D44" i="13" s="1"/>
  <c r="F2" i="13"/>
  <c r="E20" i="13"/>
  <c r="E29" i="13" s="1"/>
  <c r="E35" i="13" s="1"/>
  <c r="E44" i="13" s="1"/>
  <c r="F2" i="8"/>
  <c r="F11" i="6"/>
  <c r="F30" i="6" s="1"/>
  <c r="E11" i="6"/>
  <c r="E16" i="6" s="1"/>
  <c r="E24" i="6" s="1"/>
  <c r="E30" i="6"/>
  <c r="F5" i="6"/>
  <c r="F21" i="6" s="1"/>
  <c r="G24" i="13"/>
  <c r="G6" i="6" s="1"/>
  <c r="G32" i="6" s="1"/>
  <c r="G46" i="13"/>
  <c r="G13" i="13"/>
  <c r="G22" i="13"/>
  <c r="G4" i="6" s="1"/>
  <c r="G13" i="6" s="1"/>
  <c r="D10" i="5"/>
  <c r="D17" i="5" s="1"/>
  <c r="E10" i="5"/>
  <c r="E17" i="5" s="1"/>
  <c r="F2" i="5"/>
  <c r="D30" i="6"/>
  <c r="D28" i="8"/>
  <c r="D42" i="8" s="1"/>
  <c r="C16" i="6"/>
  <c r="C24" i="6" s="1"/>
  <c r="E40" i="8"/>
  <c r="E28" i="8"/>
  <c r="C28" i="8"/>
  <c r="C42" i="8" s="1"/>
  <c r="F4" i="5"/>
  <c r="F7" i="8"/>
  <c r="G40" i="13"/>
  <c r="F37" i="13"/>
  <c r="F47" i="13"/>
  <c r="F38" i="13"/>
  <c r="E18" i="7"/>
  <c r="E22" i="7" s="1"/>
  <c r="F42" i="13"/>
  <c r="F48" i="13"/>
  <c r="G17" i="6" l="1"/>
  <c r="G20" i="6" s="1"/>
  <c r="F22" i="6"/>
  <c r="F26" i="6"/>
  <c r="G5" i="6"/>
  <c r="G21" i="6" s="1"/>
  <c r="H23" i="13"/>
  <c r="G4" i="5"/>
  <c r="H4" i="5" s="1"/>
  <c r="I4" i="5" s="1"/>
  <c r="J4" i="5" s="1"/>
  <c r="F8" i="5"/>
  <c r="C36" i="7"/>
  <c r="C18" i="13" s="1"/>
  <c r="C35" i="7"/>
  <c r="C17" i="13" s="1"/>
  <c r="D30" i="7"/>
  <c r="G39" i="13"/>
  <c r="H39" i="13" s="1"/>
  <c r="H6" i="8" s="1"/>
  <c r="G2" i="13"/>
  <c r="F20" i="13"/>
  <c r="F29" i="13" s="1"/>
  <c r="F35" i="13" s="1"/>
  <c r="F44" i="13" s="1"/>
  <c r="F15" i="8"/>
  <c r="G2" i="8"/>
  <c r="G11" i="6"/>
  <c r="F16" i="6"/>
  <c r="F24" i="6" s="1"/>
  <c r="E42" i="8"/>
  <c r="H24" i="13"/>
  <c r="I24" i="13" s="1"/>
  <c r="H22" i="13"/>
  <c r="H13" i="13"/>
  <c r="G7" i="7"/>
  <c r="G21" i="7" s="1"/>
  <c r="G11" i="8"/>
  <c r="H46" i="13"/>
  <c r="G2" i="5"/>
  <c r="F10" i="5"/>
  <c r="F17" i="5" s="1"/>
  <c r="G3" i="5"/>
  <c r="H4" i="6"/>
  <c r="H13" i="6" s="1"/>
  <c r="I22" i="13"/>
  <c r="F5" i="8"/>
  <c r="G38" i="13"/>
  <c r="G37" i="13"/>
  <c r="H37" i="13" s="1"/>
  <c r="I37" i="13" s="1"/>
  <c r="J37" i="13" s="1"/>
  <c r="F4" i="8"/>
  <c r="F12" i="13"/>
  <c r="G12" i="13" s="1"/>
  <c r="F13" i="8"/>
  <c r="G48" i="13"/>
  <c r="G42" i="13"/>
  <c r="F9" i="8"/>
  <c r="F11" i="13"/>
  <c r="G11" i="13" s="1"/>
  <c r="E30" i="7"/>
  <c r="F12" i="8"/>
  <c r="G47" i="13"/>
  <c r="G7" i="8"/>
  <c r="H40" i="13"/>
  <c r="G35" i="8" l="1"/>
  <c r="G26" i="6"/>
  <c r="H17" i="6"/>
  <c r="H20" i="6" s="1"/>
  <c r="G22" i="6"/>
  <c r="H5" i="6"/>
  <c r="H21" i="6" s="1"/>
  <c r="I23" i="13"/>
  <c r="G24" i="8"/>
  <c r="G5" i="9"/>
  <c r="F20" i="7"/>
  <c r="I39" i="13"/>
  <c r="G6" i="8"/>
  <c r="D33" i="7"/>
  <c r="D16" i="13"/>
  <c r="E33" i="7"/>
  <c r="E16" i="13"/>
  <c r="H2" i="13"/>
  <c r="G20" i="13"/>
  <c r="G29" i="13" s="1"/>
  <c r="G35" i="13" s="1"/>
  <c r="G44" i="13" s="1"/>
  <c r="G15" i="8"/>
  <c r="H2" i="8"/>
  <c r="H11" i="6"/>
  <c r="H6" i="6"/>
  <c r="H32" i="6" s="1"/>
  <c r="J23" i="13"/>
  <c r="I5" i="6"/>
  <c r="I21" i="6" s="1"/>
  <c r="H11" i="8"/>
  <c r="I46" i="13"/>
  <c r="G5" i="7"/>
  <c r="H11" i="13"/>
  <c r="I13" i="13"/>
  <c r="H7" i="7"/>
  <c r="H21" i="7" s="1"/>
  <c r="H12" i="13"/>
  <c r="G6" i="7"/>
  <c r="H2" i="5"/>
  <c r="I4" i="6"/>
  <c r="I13" i="6" s="1"/>
  <c r="J22" i="13"/>
  <c r="H3" i="5"/>
  <c r="J24" i="13"/>
  <c r="I6" i="6"/>
  <c r="I32" i="6" s="1"/>
  <c r="H47" i="13"/>
  <c r="G12" i="8"/>
  <c r="F5" i="7"/>
  <c r="H42" i="13"/>
  <c r="G9" i="8"/>
  <c r="H48" i="13"/>
  <c r="G13" i="8"/>
  <c r="I40" i="13"/>
  <c r="H7" i="8"/>
  <c r="F6" i="7"/>
  <c r="G4" i="8"/>
  <c r="H38" i="13"/>
  <c r="G5" i="8"/>
  <c r="H22" i="6" l="1"/>
  <c r="H26" i="6"/>
  <c r="I17" i="6"/>
  <c r="I20" i="6" s="1"/>
  <c r="H35" i="8"/>
  <c r="H24" i="8"/>
  <c r="H5" i="9"/>
  <c r="F4" i="9"/>
  <c r="F8" i="10" s="1"/>
  <c r="E36" i="7"/>
  <c r="E18" i="13" s="1"/>
  <c r="E35" i="7"/>
  <c r="E17" i="13" s="1"/>
  <c r="F17" i="13" s="1"/>
  <c r="D36" i="7"/>
  <c r="D18" i="13" s="1"/>
  <c r="D35" i="7"/>
  <c r="D17" i="13" s="1"/>
  <c r="J39" i="13"/>
  <c r="J6" i="8" s="1"/>
  <c r="I6" i="8"/>
  <c r="G16" i="13"/>
  <c r="F5" i="10"/>
  <c r="E4" i="11"/>
  <c r="L4" i="11" s="1"/>
  <c r="L5" i="11" s="1"/>
  <c r="L6" i="11" s="1"/>
  <c r="L7" i="11" s="1"/>
  <c r="I2" i="13"/>
  <c r="H20" i="13"/>
  <c r="H29" i="13" s="1"/>
  <c r="H35" i="13" s="1"/>
  <c r="H44" i="13" s="1"/>
  <c r="I2" i="8"/>
  <c r="H15" i="8"/>
  <c r="J11" i="6"/>
  <c r="I11" i="6"/>
  <c r="J5" i="6"/>
  <c r="J21" i="6" s="1"/>
  <c r="I12" i="13"/>
  <c r="H6" i="7"/>
  <c r="J13" i="13"/>
  <c r="I7" i="7"/>
  <c r="I21" i="7" s="1"/>
  <c r="I11" i="13"/>
  <c r="H5" i="7"/>
  <c r="J46" i="13"/>
  <c r="I11" i="8"/>
  <c r="I2" i="5"/>
  <c r="I3" i="5"/>
  <c r="J4" i="6"/>
  <c r="J13" i="6" s="1"/>
  <c r="J6" i="6"/>
  <c r="J32" i="6" s="1"/>
  <c r="J40" i="13"/>
  <c r="I7" i="8"/>
  <c r="H13" i="8"/>
  <c r="I48" i="13"/>
  <c r="I42" i="13"/>
  <c r="H9" i="8"/>
  <c r="I38" i="13"/>
  <c r="H5" i="8"/>
  <c r="H4" i="8"/>
  <c r="I47" i="13"/>
  <c r="H12" i="8"/>
  <c r="I22" i="6" l="1"/>
  <c r="I26" i="6"/>
  <c r="J17" i="6"/>
  <c r="J20" i="6" s="1"/>
  <c r="I35" i="8"/>
  <c r="I24" i="8"/>
  <c r="I5" i="9"/>
  <c r="G10" i="7"/>
  <c r="H16" i="13"/>
  <c r="J2" i="13"/>
  <c r="J20" i="13" s="1"/>
  <c r="J29" i="13" s="1"/>
  <c r="J35" i="13" s="1"/>
  <c r="J44" i="13" s="1"/>
  <c r="I20" i="13"/>
  <c r="I29" i="13" s="1"/>
  <c r="I35" i="13" s="1"/>
  <c r="I44" i="13" s="1"/>
  <c r="G17" i="13"/>
  <c r="I15" i="8"/>
  <c r="J2" i="8"/>
  <c r="J15" i="8" s="1"/>
  <c r="J11" i="8"/>
  <c r="J11" i="13"/>
  <c r="I5" i="7"/>
  <c r="J7" i="7"/>
  <c r="J21" i="7" s="1"/>
  <c r="I6" i="7"/>
  <c r="J12" i="13"/>
  <c r="J2" i="5"/>
  <c r="J3" i="5"/>
  <c r="I4" i="8"/>
  <c r="F18" i="13"/>
  <c r="I5" i="8"/>
  <c r="J38" i="13"/>
  <c r="J42" i="13"/>
  <c r="I9" i="8"/>
  <c r="I13" i="8"/>
  <c r="J48" i="13"/>
  <c r="J7" i="8"/>
  <c r="J47" i="13"/>
  <c r="I12" i="8"/>
  <c r="F10" i="7"/>
  <c r="E12" i="11"/>
  <c r="F11" i="7"/>
  <c r="F35" i="7" s="1"/>
  <c r="J22" i="6" l="1"/>
  <c r="J26" i="6"/>
  <c r="J35" i="8"/>
  <c r="J24" i="8"/>
  <c r="J5" i="9"/>
  <c r="H10" i="7"/>
  <c r="I16" i="13"/>
  <c r="G11" i="7"/>
  <c r="G35" i="7" s="1"/>
  <c r="G18" i="13"/>
  <c r="G12" i="7" s="1"/>
  <c r="G36" i="7" s="1"/>
  <c r="H17" i="13"/>
  <c r="J6" i="7"/>
  <c r="J5" i="7"/>
  <c r="J9" i="8"/>
  <c r="M4" i="11"/>
  <c r="J13" i="8"/>
  <c r="J12" i="8"/>
  <c r="J5" i="8"/>
  <c r="F12" i="7"/>
  <c r="F36" i="7" s="1"/>
  <c r="J4" i="8"/>
  <c r="I17" i="13" l="1"/>
  <c r="H18" i="13"/>
  <c r="H11" i="7"/>
  <c r="H35" i="7" s="1"/>
  <c r="J16" i="13"/>
  <c r="J10" i="7" s="1"/>
  <c r="I10" i="7"/>
  <c r="M5" i="11"/>
  <c r="J17" i="13" l="1"/>
  <c r="J11" i="7" s="1"/>
  <c r="J35" i="7" s="1"/>
  <c r="I11" i="7"/>
  <c r="I35" i="7" s="1"/>
  <c r="I18" i="13"/>
  <c r="H12" i="7"/>
  <c r="H36" i="7" s="1"/>
  <c r="M6" i="11"/>
  <c r="M7" i="11"/>
  <c r="J18" i="13" l="1"/>
  <c r="I12" i="7"/>
  <c r="I36" i="7" s="1"/>
  <c r="J12" i="7"/>
  <c r="J36" i="7" s="1"/>
  <c r="M9" i="11"/>
  <c r="M11" i="11" s="1"/>
  <c r="E8" i="11" s="1"/>
  <c r="E13" i="11" s="1"/>
  <c r="K17" i="12" s="1"/>
  <c r="D3" i="12" l="1"/>
  <c r="D4" i="12" s="1"/>
  <c r="E3" i="12"/>
  <c r="E4" i="12" s="1"/>
  <c r="H3" i="12"/>
  <c r="G8" i="12" s="1"/>
  <c r="G3" i="12"/>
  <c r="F3" i="12"/>
  <c r="F10" i="13" l="1"/>
  <c r="F4" i="7" l="1"/>
  <c r="F15" i="7" s="1"/>
  <c r="F18" i="8" l="1"/>
  <c r="F19" i="5" s="1"/>
  <c r="F32" i="8"/>
  <c r="F23" i="5" s="1"/>
  <c r="F25" i="8"/>
  <c r="F36" i="8"/>
  <c r="F16" i="8"/>
  <c r="F20" i="8"/>
  <c r="F21" i="5" s="1"/>
  <c r="F7" i="5"/>
  <c r="F3" i="10"/>
  <c r="F17" i="7"/>
  <c r="G15" i="7"/>
  <c r="F16" i="7"/>
  <c r="F18" i="7"/>
  <c r="F7" i="9" l="1"/>
  <c r="F11" i="10" s="1"/>
  <c r="F37" i="8"/>
  <c r="F8" i="9"/>
  <c r="F12" i="10" s="1"/>
  <c r="F18" i="5"/>
  <c r="F24" i="5" s="1"/>
  <c r="F9" i="5"/>
  <c r="F11" i="9"/>
  <c r="G18" i="8"/>
  <c r="G19" i="5" s="1"/>
  <c r="G16" i="8"/>
  <c r="G36" i="8"/>
  <c r="G25" i="8"/>
  <c r="G7" i="9" s="1"/>
  <c r="G32" i="8"/>
  <c r="G23" i="5" s="1"/>
  <c r="G20" i="8"/>
  <c r="G21" i="5" s="1"/>
  <c r="G16" i="7"/>
  <c r="G18" i="7" s="1"/>
  <c r="H15" i="7"/>
  <c r="H3" i="10" s="1"/>
  <c r="G17" i="7"/>
  <c r="G7" i="5"/>
  <c r="F19" i="8"/>
  <c r="F20" i="5" s="1"/>
  <c r="F31" i="8"/>
  <c r="F22" i="5" s="1"/>
  <c r="F22" i="7"/>
  <c r="F4" i="10"/>
  <c r="F7" i="10" s="1"/>
  <c r="F25" i="5" l="1"/>
  <c r="F6" i="9" s="1"/>
  <c r="F10" i="10" s="1"/>
  <c r="G6" i="5"/>
  <c r="G8" i="5" s="1"/>
  <c r="G20" i="7" s="1"/>
  <c r="G4" i="9" s="1"/>
  <c r="F23" i="8"/>
  <c r="F26" i="8" s="1"/>
  <c r="F13" i="10"/>
  <c r="F12" i="9"/>
  <c r="G18" i="5"/>
  <c r="G8" i="9"/>
  <c r="G37" i="8"/>
  <c r="G19" i="8"/>
  <c r="G20" i="5" s="1"/>
  <c r="G31" i="8"/>
  <c r="G22" i="5" s="1"/>
  <c r="H25" i="8"/>
  <c r="H32" i="8"/>
  <c r="H23" i="5" s="1"/>
  <c r="H36" i="8"/>
  <c r="H16" i="8"/>
  <c r="H18" i="8"/>
  <c r="H19" i="5" s="1"/>
  <c r="H20" i="8"/>
  <c r="H21" i="5" s="1"/>
  <c r="H16" i="7"/>
  <c r="H18" i="7" s="1"/>
  <c r="H4" i="10" s="1"/>
  <c r="H7" i="10" s="1"/>
  <c r="H17" i="7"/>
  <c r="I15" i="7"/>
  <c r="I3" i="10" s="1"/>
  <c r="H7" i="5"/>
  <c r="H11" i="9" s="1"/>
  <c r="G22" i="7"/>
  <c r="G11" i="9"/>
  <c r="G12" i="9" s="1"/>
  <c r="G9" i="5"/>
  <c r="H12" i="9" l="1"/>
  <c r="H13" i="10"/>
  <c r="H7" i="9"/>
  <c r="H11" i="10" s="1"/>
  <c r="H8" i="9"/>
  <c r="H12" i="10" s="1"/>
  <c r="H37" i="8"/>
  <c r="H18" i="5"/>
  <c r="H31" i="8"/>
  <c r="H22" i="5" s="1"/>
  <c r="H19" i="8"/>
  <c r="H20" i="5" s="1"/>
  <c r="I32" i="8"/>
  <c r="I23" i="5" s="1"/>
  <c r="I36" i="8"/>
  <c r="I25" i="8"/>
  <c r="I7" i="9" s="1"/>
  <c r="I11" i="10" s="1"/>
  <c r="I18" i="8"/>
  <c r="I19" i="5" s="1"/>
  <c r="I16" i="8"/>
  <c r="I7" i="5"/>
  <c r="I11" i="9" s="1"/>
  <c r="I20" i="8"/>
  <c r="I21" i="5" s="1"/>
  <c r="I17" i="7"/>
  <c r="J15" i="7"/>
  <c r="J3" i="10" s="1"/>
  <c r="I16" i="7"/>
  <c r="G23" i="8"/>
  <c r="G26" i="8" s="1"/>
  <c r="H6" i="5"/>
  <c r="F15" i="10"/>
  <c r="G24" i="5"/>
  <c r="I12" i="9" l="1"/>
  <c r="I13" i="10"/>
  <c r="I8" i="9"/>
  <c r="I12" i="10" s="1"/>
  <c r="I37" i="8"/>
  <c r="I18" i="5"/>
  <c r="J16" i="8"/>
  <c r="J18" i="8"/>
  <c r="J19" i="5" s="1"/>
  <c r="J32" i="8"/>
  <c r="J23" i="5" s="1"/>
  <c r="J36" i="8"/>
  <c r="J25" i="8"/>
  <c r="J7" i="9" s="1"/>
  <c r="J11" i="10" s="1"/>
  <c r="J20" i="8"/>
  <c r="J21" i="5" s="1"/>
  <c r="J7" i="5"/>
  <c r="J11" i="9" s="1"/>
  <c r="J17" i="7"/>
  <c r="J16" i="7"/>
  <c r="I19" i="8"/>
  <c r="I20" i="5" s="1"/>
  <c r="I31" i="8"/>
  <c r="I22" i="5" s="1"/>
  <c r="H8" i="5"/>
  <c r="G25" i="5"/>
  <c r="G6" i="9" s="1"/>
  <c r="H24" i="5"/>
  <c r="H25" i="5" s="1"/>
  <c r="H6" i="9" s="1"/>
  <c r="H10" i="10" s="1"/>
  <c r="H15" i="10" s="1"/>
  <c r="F4" i="12" s="1"/>
  <c r="I18" i="7"/>
  <c r="I4" i="10" s="1"/>
  <c r="I7" i="10" s="1"/>
  <c r="J12" i="9" l="1"/>
  <c r="J13" i="10"/>
  <c r="J18" i="5"/>
  <c r="J8" i="9"/>
  <c r="J12" i="10" s="1"/>
  <c r="J37" i="8"/>
  <c r="J31" i="8"/>
  <c r="J22" i="5" s="1"/>
  <c r="J19" i="8"/>
  <c r="J20" i="5" s="1"/>
  <c r="J18" i="7"/>
  <c r="J4" i="10" s="1"/>
  <c r="J7" i="10" s="1"/>
  <c r="I24" i="5"/>
  <c r="H20" i="7"/>
  <c r="H9" i="5"/>
  <c r="I25" i="5" l="1"/>
  <c r="I6" i="9" s="1"/>
  <c r="I10" i="10" s="1"/>
  <c r="H22" i="7"/>
  <c r="H4" i="9"/>
  <c r="I6" i="5"/>
  <c r="H23" i="8"/>
  <c r="H26" i="8" s="1"/>
  <c r="J24" i="5"/>
  <c r="J25" i="5" s="1"/>
  <c r="J6" i="9" s="1"/>
  <c r="J10" i="10" s="1"/>
  <c r="I8" i="5" l="1"/>
  <c r="I20" i="7" l="1"/>
  <c r="I22" i="7" s="1"/>
  <c r="I9" i="5"/>
  <c r="I4" i="9"/>
  <c r="I8" i="10" s="1"/>
  <c r="I15" i="10" s="1"/>
  <c r="G4" i="12" s="1"/>
  <c r="I23" i="8" l="1"/>
  <c r="I26" i="8" s="1"/>
  <c r="J6" i="5"/>
  <c r="J8" i="5"/>
  <c r="J20" i="7" l="1"/>
  <c r="J9" i="5"/>
  <c r="J23" i="8" s="1"/>
  <c r="J26" i="8" s="1"/>
  <c r="J22" i="7" l="1"/>
  <c r="J4" i="9"/>
  <c r="J8" i="10" s="1"/>
  <c r="J15" i="10" s="1"/>
  <c r="H4" i="12" s="1"/>
  <c r="C7" i="12" l="1"/>
  <c r="G7" i="12" s="1"/>
  <c r="G9" i="12" s="1"/>
  <c r="G15" i="12" s="1"/>
  <c r="G18" i="12" s="1"/>
  <c r="I4" i="12"/>
  <c r="C8" i="12" s="1"/>
  <c r="C9" i="12" l="1"/>
  <c r="C15" i="12" s="1"/>
  <c r="C18" i="12" s="1"/>
  <c r="F17" i="8"/>
  <c r="G17" i="8"/>
  <c r="H17" i="8"/>
  <c r="I17" i="8"/>
  <c r="J17" i="8"/>
  <c r="F21" i="8"/>
  <c r="G21" i="8"/>
  <c r="H21" i="8"/>
  <c r="I21" i="8"/>
  <c r="J21" i="8"/>
  <c r="F28" i="8"/>
  <c r="G28" i="8"/>
  <c r="H28" i="8"/>
  <c r="I28" i="8"/>
  <c r="J28" i="8"/>
  <c r="F30" i="8"/>
  <c r="G30" i="8"/>
  <c r="H30" i="8"/>
  <c r="I30" i="8"/>
  <c r="J30" i="8"/>
  <c r="F33" i="8"/>
  <c r="G33" i="8"/>
  <c r="H33" i="8"/>
  <c r="I33" i="8"/>
  <c r="J33" i="8"/>
  <c r="F39" i="8"/>
  <c r="G39" i="8"/>
  <c r="H39" i="8"/>
  <c r="I39" i="8"/>
  <c r="J39" i="8"/>
  <c r="F40" i="8"/>
  <c r="G40" i="8"/>
  <c r="H40" i="8"/>
  <c r="I40" i="8"/>
  <c r="J40" i="8"/>
  <c r="F42" i="8"/>
  <c r="G42" i="8"/>
  <c r="H42" i="8"/>
  <c r="I42" i="8"/>
  <c r="J42" i="8"/>
  <c r="G13" i="5"/>
  <c r="H13" i="5"/>
  <c r="I13" i="5"/>
  <c r="J13" i="5"/>
  <c r="F14" i="5"/>
  <c r="G14" i="5"/>
  <c r="H14" i="5"/>
  <c r="I14" i="5"/>
  <c r="J14" i="5"/>
  <c r="F16" i="5"/>
  <c r="G16" i="5"/>
  <c r="H16" i="5"/>
  <c r="I16" i="5"/>
  <c r="J16" i="5"/>
  <c r="F3" i="9"/>
  <c r="G3" i="9"/>
  <c r="H3" i="9"/>
  <c r="I3" i="9"/>
  <c r="J3" i="9"/>
  <c r="F9" i="9"/>
  <c r="G9" i="9"/>
  <c r="H9" i="9"/>
  <c r="I9" i="9"/>
  <c r="J9" i="9"/>
  <c r="F18" i="9"/>
  <c r="G18" i="9"/>
  <c r="H18" i="9"/>
  <c r="I18" i="9"/>
  <c r="J18" i="9"/>
  <c r="G20" i="9"/>
  <c r="H20" i="9"/>
  <c r="I20" i="9"/>
  <c r="J20" i="9"/>
  <c r="F21" i="9"/>
  <c r="G21" i="9"/>
  <c r="H21" i="9"/>
  <c r="I21" i="9"/>
  <c r="J21" i="9"/>
  <c r="F22" i="9"/>
  <c r="G22" i="9"/>
  <c r="H22" i="9"/>
  <c r="I22" i="9"/>
  <c r="J22" i="9"/>
  <c r="F12" i="6"/>
  <c r="G12" i="6"/>
  <c r="H12" i="6"/>
  <c r="I12" i="6"/>
  <c r="J12" i="6"/>
  <c r="F14" i="6"/>
  <c r="G14" i="6"/>
  <c r="H14" i="6"/>
  <c r="I14" i="6"/>
  <c r="J14" i="6"/>
  <c r="F25" i="6"/>
  <c r="G25" i="6"/>
  <c r="H25" i="6"/>
  <c r="I25" i="6"/>
  <c r="J25" i="6"/>
  <c r="F27" i="6"/>
  <c r="G27" i="6"/>
  <c r="H27" i="6"/>
  <c r="I27" i="6"/>
  <c r="J27" i="6"/>
  <c r="F28" i="6"/>
  <c r="G28" i="6"/>
  <c r="H28" i="6"/>
  <c r="I28" i="6"/>
  <c r="J28" i="6"/>
  <c r="F31" i="6"/>
  <c r="G31" i="6"/>
  <c r="H31" i="6"/>
  <c r="I31" i="6"/>
  <c r="J31" i="6"/>
  <c r="F33" i="6"/>
  <c r="G33" i="6"/>
  <c r="H33" i="6"/>
  <c r="I33" i="6"/>
  <c r="J33" i="6"/>
  <c r="F27" i="7"/>
  <c r="G27" i="7"/>
  <c r="H27" i="7"/>
  <c r="I27" i="7"/>
  <c r="J27" i="7"/>
  <c r="F28" i="7"/>
  <c r="G28" i="7"/>
  <c r="H28" i="7"/>
  <c r="I28" i="7"/>
  <c r="J28" i="7"/>
  <c r="F30" i="7"/>
  <c r="G30" i="7"/>
  <c r="H30" i="7"/>
  <c r="I30" i="7"/>
  <c r="J30" i="7"/>
  <c r="F32" i="7"/>
  <c r="G32" i="7"/>
  <c r="H32" i="7"/>
  <c r="I32" i="7"/>
  <c r="J32" i="7"/>
  <c r="F33" i="7"/>
  <c r="G33" i="7"/>
  <c r="H33" i="7"/>
  <c r="I33" i="7"/>
  <c r="J33" i="7"/>
  <c r="F37" i="7"/>
  <c r="G37" i="7"/>
  <c r="H37" i="7"/>
  <c r="I37" i="7"/>
  <c r="J37" i="7"/>
  <c r="F38" i="7"/>
  <c r="G38" i="7"/>
  <c r="H38" i="7"/>
  <c r="I38" i="7"/>
  <c r="J3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<sst xmlns="http://schemas.openxmlformats.org/spreadsheetml/2006/main" count="325" uniqueCount="191">
  <si>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</si>
  <si>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</si>
  <si>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</si>
  <si>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</si>
  <si>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</si>
  <si>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</si>
  <si>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</si>
  <si>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</si>
  <si>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</si>
  <si>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</si>
  <si>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</si>
  <si>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</si>
  <si>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</si>
  <si>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</si>
  <si>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</si>
  <si>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</si>
  <si>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</si>
  <si>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</si>
  <si>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</si>
  <si>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</si>
  <si>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</si>
  <si>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</si>
  <si>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</si>
  <si>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</si>
  <si>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</si>
  <si>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</si>
  <si>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</si>
  <si>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</si>
  <si>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</si>
  <si>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</si>
  <si>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</si>
  <si>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</si>
  <si>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</si>
  <si>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</si>
  <si>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</si>
  <si>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</si>
  <si>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</si>
  <si>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</si>
  <si>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</si>
  <si>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</si>
  <si>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</si>
  <si>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</si>
  <si>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</si>
  <si>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</si>
  <si>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</si>
  <si>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</si>
  <si>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</si>
  <si>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</si>
  <si>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</si>
  <si>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</si>
  <si>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</si>
  <si>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</si>
  <si>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</si>
  <si>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</si>
  <si>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</si>
  <si>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</si>
  <si>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</si>
  <si>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</si>
  <si>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</si>
  <si>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</si>
  <si>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</si>
  <si>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</si>
  <si>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</si>
  <si>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</si>
  <si>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</si>
  <si>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</si>
  <si>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</si>
  <si>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</si>
  <si>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</si>
  <si>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</si>
  <si>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</si>
  <si>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</si>
  <si>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</si>
  <si>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</si>
  <si>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</si>
  <si>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</si>
  <si>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</si>
  <si>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</si>
  <si>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</si>
  <si>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</si>
  <si>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</si>
  <si>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</si>
  <si>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</si>
  <si>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</si>
  <si>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</si>
  <si>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</si>
  <si>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</si>
  <si>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</si>
  <si>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</si>
  <si>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</si>
  <si>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</si>
  <si>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</si>
  <si>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</si>
  <si>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</si>
  <si>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</si>
  <si>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</si>
  <si>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</si>
  <si>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</si>
  <si>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</si>
  <si>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</si>
  <si>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</si>
  <si>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</si>
  <si>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</si>
  <si>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</si>
  <si>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</si>
  <si>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</si>
  <si>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</si>
  <si>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</si>
  <si>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</si>
  <si>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</si>
  <si>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</si>
  <si>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</si>
  <si>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</si>
  <si>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</si>
  <si>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</si>
  <si>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</si>
  <si>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</si>
  <si>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</si>
  <si>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</si>
  <si>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</si>
  <si>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</si>
  <si>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</si>
  <si>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</si>
  <si>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</si>
  <si>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</si>
  <si>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</si>
  <si>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</si>
  <si>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</si>
  <si>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</si>
  <si>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</si>
  <si>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</si>
  <si>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</si>
  <si>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</si>
  <si>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</si>
  <si>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</si>
  <si>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</si>
  <si>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</si>
  <si>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</si>
  <si>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</si>
  <si>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</si>
  <si>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</si>
  <si>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</si>
  <si>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</si>
  <si>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</si>
  <si>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</si>
  <si>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</si>
  <si>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</si>
  <si>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</si>
  <si>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</si>
  <si>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</si>
  <si>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</si>
  <si>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</si>
  <si>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</si>
  <si>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</si>
  <si>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</si>
  <si>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</si>
  <si>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</si>
  <si>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</si>
  <si>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</si>
  <si>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</si>
  <si>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</si>
  <si>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</si>
  <si>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</si>
  <si>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</si>
  <si>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</si>
  <si>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</si>
  <si>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</si>
  <si>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</si>
  <si>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</si>
  <si>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</si>
  <si>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</si>
  <si>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Diluted s/o</t>
  </si>
  <si>
    <t>Cash</t>
  </si>
  <si>
    <t>Implied Price</t>
  </si>
  <si>
    <t>Difference</t>
  </si>
  <si>
    <t>Cost of debt</t>
  </si>
  <si>
    <t>Perpetuity</t>
  </si>
  <si>
    <t>Model Details</t>
  </si>
  <si>
    <t>Operating Case One</t>
  </si>
  <si>
    <t>Discount Factor</t>
  </si>
  <si>
    <t>PV FCF</t>
  </si>
  <si>
    <t>Jack In the Box Inc.</t>
  </si>
  <si>
    <t>(inc) / dec in LT assets</t>
  </si>
  <si>
    <t>inc / (dec) in LT liabilities</t>
  </si>
  <si>
    <t>CFFO</t>
  </si>
  <si>
    <t>CFFI</t>
  </si>
  <si>
    <t>Debt issuance / (repayments)</t>
  </si>
  <si>
    <t>CFFF</t>
  </si>
  <si>
    <t>Net changes in cash</t>
  </si>
  <si>
    <t>Beginning cash</t>
  </si>
  <si>
    <t>Ending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</si>
</sst>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</numFmts>
  <fonts count="7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256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4" applyNumberFormat="1" applyFont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6" fillId="0" borderId="0" xfId="3" applyNumberFormat="1" applyFont="1" applyFill="1" applyBorder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7" fontId="56" fillId="0" borderId="0" xfId="3" applyNumberFormat="1" applyFont="1" applyFill="1" applyBorder="1"/>
    <xf numFmtId="173" fontId="56" fillId="0" borderId="0" xfId="0" applyNumberFormat="1" applyFont="1"/>
    <xf numFmtId="167" fontId="57" fillId="0" borderId="0" xfId="0" applyFont="1"/>
    <xf numFmtId="173" fontId="56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6" fontId="1" fillId="0" borderId="0" xfId="57" applyFont="1" applyFill="1" applyBorder="1"/>
    <xf numFmtId="169" fontId="67" fillId="0" borderId="0" xfId="3" applyNumberFormat="1" applyFont="1" applyFill="1" applyBorder="1"/>
    <xf numFmtId="177" fontId="67" fillId="0" borderId="0" xfId="3" applyNumberFormat="1" applyFont="1" applyFill="1" applyBorder="1"/>
    <xf numFmtId="167" fontId="67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81" fontId="37" fillId="33" borderId="1" xfId="3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0" fontId="68" fillId="33" borderId="14" xfId="3" applyNumberFormat="1" applyFont="1" applyBorder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9" fontId="30" fillId="0" borderId="0" xfId="0" applyNumberFormat="1" applyFont="1"/>
    <xf numFmtId="3" fontId="39" fillId="0" borderId="0" xfId="0" applyNumberFormat="1" applyFont="1"/>
    <xf numFmtId="3" fontId="39" fillId="0" borderId="0" xfId="59" applyNumberFormat="1" applyFont="1" applyProtection="1"/>
    <xf numFmtId="3" fontId="37" fillId="0" borderId="15" xfId="3" applyNumberFormat="1" applyFont="1" applyFill="1" applyBorder="1" applyProtection="1"/>
    <xf numFmtId="3" fontId="39" fillId="0" borderId="0" xfId="0" applyNumberFormat="1" applyFont="1" applyAlignment="1">
      <alignment horizontal="center"/>
    </xf>
    <xf numFmtId="3" fontId="45" fillId="0" borderId="0" xfId="0" applyNumberFormat="1" applyFont="1"/>
    <xf numFmtId="3" fontId="39" fillId="0" borderId="0" xfId="59" applyNumberFormat="1" applyFont="1" applyAlignment="1" applyProtection="1">
      <alignment horizontal="centerContinuous"/>
    </xf>
    <xf numFmtId="3" fontId="39" fillId="0" borderId="0" xfId="59" applyNumberFormat="1" applyFont="1" applyAlignment="1" applyProtection="1">
      <alignment horizontal="center"/>
    </xf>
    <xf numFmtId="3" fontId="39" fillId="0" borderId="0" xfId="59" applyNumberFormat="1" applyFont="1" applyAlignment="1" applyProtection="1">
      <alignment horizontal="right"/>
    </xf>
    <xf numFmtId="3" fontId="39" fillId="0" borderId="0" xfId="4" applyNumberFormat="1" applyFont="1" applyFill="1" applyBorder="1" applyAlignment="1" applyProtection="1">
      <alignment horizontal="right"/>
    </xf>
    <xf numFmtId="3" fontId="39" fillId="0" borderId="0" xfId="0" applyNumberFormat="1" applyFont="1" applyAlignment="1">
      <alignment horizontal="right"/>
    </xf>
    <xf numFmtId="3" fontId="45" fillId="0" borderId="0" xfId="59" applyNumberFormat="1" applyFont="1" applyProtection="1"/>
    <xf numFmtId="166" fontId="37" fillId="0" borderId="0" xfId="0" applyNumberFormat="1" applyFont="1" applyBorder="1"/>
    <xf numFmtId="166" fontId="39" fillId="0" borderId="0" xfId="57" applyFont="1" applyFill="1"/>
    <xf numFmtId="167" fontId="39" fillId="0" borderId="18" xfId="0" applyFont="1" applyBorder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4546A"/>
      <color rgb="FFEA4335"/>
      <color rgb="FF5F6368"/>
      <color rgb="FF34A853"/>
      <color rgb="FF4472C4"/>
      <color rgb="FFFBBC05"/>
      <color rgb="FF0000FF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zoomScaleNormal="100" workbookViewId="0">
      <selection activeCell="I7" sqref="I7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0" width="15.710937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9" customFormat="1" ht="19.5" x14ac:dyDescent="0.3">
      <c r="A1" s="230" t="str">
        <f>CoName</f>
        <v>Jack In the Box Inc.</v>
      </c>
      <c r="B1" s="2"/>
      <c r="C1" s="2"/>
      <c r="D1" s="154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15" customFormat="1" x14ac:dyDescent="0.25">
      <c r="A2" s="65" t="s">
        <v>177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4" spans="1:15" x14ac:dyDescent="0.25">
      <c r="B4" s="4" t="s">
        <v>3</v>
      </c>
      <c r="C4" s="51" t="s">
        <v>181</v>
      </c>
      <c r="E4" s="4" t="s">
        <v>166</v>
      </c>
      <c r="F4" s="218">
        <v>21</v>
      </c>
      <c r="H4" s="166" t="s">
        <v>178</v>
      </c>
      <c r="I4" s="165" t="s">
        <v>176</v>
      </c>
    </row>
    <row r="5" spans="1:15" x14ac:dyDescent="0.25">
      <c r="B5" s="4" t="s">
        <v>4</v>
      </c>
      <c r="C5" s="52">
        <v>247.43</v>
      </c>
      <c r="E5" s="4" t="s">
        <v>171</v>
      </c>
      <c r="F5" s="160">
        <v>18882</v>
      </c>
      <c r="H5" s="255" t="s">
        <v>173</v>
      </c>
      <c r="I5" s="219">
        <f>'DCF Model'!C18</f>
        <v>19.379611023707522</v>
      </c>
    </row>
    <row r="6" spans="1:15" x14ac:dyDescent="0.25">
      <c r="B6" s="4" t="s">
        <v>5</v>
      </c>
      <c r="C6" s="51" t="s">
        <v>9</v>
      </c>
      <c r="E6" s="4" t="s">
        <v>102</v>
      </c>
      <c r="F6" s="160">
        <f>F5*F4</f>
        <v>396522</v>
      </c>
      <c r="H6" s="255" t="s">
        <v>174</v>
      </c>
      <c r="I6" s="220">
        <f>I5/$F$4-1</f>
        <v>-7.7161379823451393E-2</v>
      </c>
    </row>
    <row r="7" spans="1:15" x14ac:dyDescent="0.25">
      <c r="B7" s="4" t="s">
        <v>6</v>
      </c>
      <c r="C7" s="51" t="s">
        <v>8</v>
      </c>
      <c r="E7" s="4" t="s">
        <v>172</v>
      </c>
      <c r="F7" s="51">
        <f>38014+30097</f>
        <v>68111</v>
      </c>
    </row>
    <row r="8" spans="1:15" x14ac:dyDescent="0.25">
      <c r="B8" s="4" t="s">
        <v>2</v>
      </c>
      <c r="C8" s="51" t="s">
        <v>85</v>
      </c>
      <c r="E8" s="4" t="s">
        <v>143</v>
      </c>
      <c r="F8" s="51">
        <f>1680812+1260670</f>
        <v>2941482</v>
      </c>
    </row>
    <row r="9" spans="1:15" x14ac:dyDescent="0.25">
      <c r="B9" s="4" t="s">
        <v>7</v>
      </c>
      <c r="C9" s="51">
        <v>1</v>
      </c>
      <c r="E9" s="4" t="s">
        <v>116</v>
      </c>
      <c r="F9" s="51">
        <f>F6-F7+F8</f>
        <v>3269893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M2"/>
  <sheetViews>
    <sheetView showGridLines="0" workbookViewId="0">
      <selection activeCell="H52" sqref="H52"/>
    </sheetView>
  </sheetViews>
  <sheetFormatPr defaultColWidth="11.7109375" defaultRowHeight="15" x14ac:dyDescent="0.25"/>
  <cols>
    <col min="1" max="2" width="11.7109375" style="4" customWidth="1"/>
    <col min="3" max="16384" width="11.7109375" style="4"/>
  </cols>
  <sheetData>
    <row r="1" spans="1:13" ht="19.5" x14ac:dyDescent="0.3">
      <c r="A1" s="23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x14ac:dyDescent="0.25">
      <c r="A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1"/>
  <sheetViews>
    <sheetView showGridLines="0" zoomScaleNormal="100" workbookViewId="0">
      <selection activeCell="H6" sqref="H6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30" t="str">
        <f>CoName</f>
        <v>Jack In the Box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20" x14ac:dyDescent="0.25">
      <c r="A2" s="64" t="s">
        <v>124</v>
      </c>
      <c r="B2" s="238" t="s">
        <v>125</v>
      </c>
      <c r="C2" s="238">
        <v>2022</v>
      </c>
      <c r="D2" s="238">
        <f>C2+1</f>
        <v>2023</v>
      </c>
      <c r="E2" s="238">
        <f t="shared" ref="E2:J2" si="0">D2+1</f>
        <v>2024</v>
      </c>
      <c r="F2" s="238">
        <f t="shared" si="0"/>
        <v>2025</v>
      </c>
      <c r="G2" s="238">
        <f t="shared" si="0"/>
        <v>2026</v>
      </c>
      <c r="H2" s="238">
        <f t="shared" si="0"/>
        <v>2027</v>
      </c>
      <c r="I2" s="238">
        <f t="shared" si="0"/>
        <v>2028</v>
      </c>
      <c r="J2" s="238">
        <f t="shared" si="0"/>
        <v>2029</v>
      </c>
      <c r="K2" s="192"/>
      <c r="L2" s="192"/>
    </row>
    <row r="3" spans="1:20" x14ac:dyDescent="0.25">
      <c r="A3" s="86"/>
      <c r="B3" s="159"/>
      <c r="C3" s="192"/>
      <c r="D3" s="192"/>
      <c r="E3" s="192"/>
      <c r="F3" s="192"/>
      <c r="G3" s="192"/>
      <c r="H3" s="192"/>
      <c r="I3" s="192"/>
      <c r="J3" s="192"/>
      <c r="K3" s="192"/>
      <c r="L3" s="192"/>
    </row>
    <row r="4" spans="1:20" x14ac:dyDescent="0.25">
      <c r="B4" s="94" t="s">
        <v>131</v>
      </c>
      <c r="C4"/>
      <c r="D4" s="235">
        <v>1</v>
      </c>
      <c r="E4"/>
      <c r="F4"/>
      <c r="G4" s="89"/>
      <c r="H4" s="89"/>
      <c r="I4" s="89"/>
      <c r="J4" s="89"/>
      <c r="K4" s="89"/>
      <c r="M4" s="221"/>
      <c r="N4" s="222"/>
      <c r="O4" s="222"/>
    </row>
    <row r="5" spans="1:20" x14ac:dyDescent="0.25">
      <c r="B5" s="88"/>
      <c r="C5" s="90"/>
      <c r="D5" s="113" t="s">
        <v>126</v>
      </c>
      <c r="E5" s="91"/>
      <c r="K5" s="89"/>
      <c r="M5" s="223"/>
      <c r="N5" s="224"/>
      <c r="O5" s="224"/>
    </row>
    <row r="6" spans="1:20" x14ac:dyDescent="0.25">
      <c r="B6" s="92" t="s">
        <v>132</v>
      </c>
      <c r="D6" s="101">
        <v>0</v>
      </c>
      <c r="E6" s="93"/>
      <c r="F6" s="101">
        <v>-0.16</v>
      </c>
      <c r="G6" s="101">
        <v>-1.4999999999999999E-2</v>
      </c>
      <c r="H6" s="101">
        <v>0.01</v>
      </c>
      <c r="I6" s="101">
        <v>0.01</v>
      </c>
      <c r="J6" s="101">
        <v>0.01</v>
      </c>
      <c r="K6" s="167"/>
      <c r="M6" s="167"/>
      <c r="N6" s="225"/>
      <c r="O6" s="225"/>
      <c r="P6" s="225"/>
      <c r="Q6" s="225"/>
      <c r="R6" s="225"/>
      <c r="S6" s="225"/>
      <c r="T6" s="225"/>
    </row>
    <row r="7" spans="1:20" x14ac:dyDescent="0.25">
      <c r="B7" s="4" t="s">
        <v>128</v>
      </c>
      <c r="D7" s="101">
        <v>2.5000000000000001E-2</v>
      </c>
      <c r="E7" s="93"/>
      <c r="F7" s="101">
        <f>F6+$D$7</f>
        <v>-0.13500000000000001</v>
      </c>
      <c r="G7" s="101">
        <f t="shared" ref="G7:J7" si="1">G6+$D$7</f>
        <v>1.0000000000000002E-2</v>
      </c>
      <c r="H7" s="101">
        <f t="shared" si="1"/>
        <v>3.5000000000000003E-2</v>
      </c>
      <c r="I7" s="101">
        <f t="shared" si="1"/>
        <v>3.5000000000000003E-2</v>
      </c>
      <c r="J7" s="101">
        <f t="shared" si="1"/>
        <v>3.5000000000000003E-2</v>
      </c>
      <c r="K7" s="167"/>
      <c r="M7" s="167"/>
      <c r="N7" s="167"/>
      <c r="O7" s="167"/>
      <c r="P7" s="167"/>
      <c r="Q7" s="167"/>
      <c r="R7" s="167"/>
      <c r="S7" s="167"/>
      <c r="T7" s="167"/>
    </row>
    <row r="8" spans="1:20" x14ac:dyDescent="0.25">
      <c r="B8" s="4" t="s">
        <v>127</v>
      </c>
      <c r="D8" s="101">
        <v>-2.5000000000000001E-2</v>
      </c>
      <c r="E8" s="93"/>
      <c r="F8" s="101">
        <f>F6+$D$8</f>
        <v>-0.185</v>
      </c>
      <c r="G8" s="101">
        <f t="shared" ref="G8:J8" si="2">G6+$D$8</f>
        <v>-0.04</v>
      </c>
      <c r="H8" s="101">
        <f t="shared" si="2"/>
        <v>-1.5000000000000001E-2</v>
      </c>
      <c r="I8" s="101">
        <f t="shared" si="2"/>
        <v>-1.5000000000000001E-2</v>
      </c>
      <c r="J8" s="101">
        <f t="shared" si="2"/>
        <v>-1.5000000000000001E-2</v>
      </c>
      <c r="K8" s="167"/>
    </row>
    <row r="9" spans="1:20" x14ac:dyDescent="0.25">
      <c r="K9" s="30"/>
      <c r="L9" s="30"/>
      <c r="M9" s="167"/>
      <c r="N9" s="167"/>
    </row>
    <row r="10" spans="1:20" x14ac:dyDescent="0.25">
      <c r="B10" s="118" t="s">
        <v>148</v>
      </c>
      <c r="C10" s="187"/>
      <c r="D10" s="241">
        <f>IncState!D15/IncState!C15-1</f>
        <v>0.15273182783262262</v>
      </c>
      <c r="E10" s="188">
        <f>IncState!E15/IncState!D15-1</f>
        <v>-7.1500071500071538E-2</v>
      </c>
      <c r="F10" s="105">
        <f t="shared" ref="F10" si="3">CHOOSE(ScenarioREV,F6,F7,F8)</f>
        <v>-0.16</v>
      </c>
      <c r="G10" s="105">
        <f t="shared" ref="G10:J10" si="4">CHOOSE(ScenarioREV,G6,G7,G8)</f>
        <v>-1.4999999999999999E-2</v>
      </c>
      <c r="H10" s="105">
        <f t="shared" si="4"/>
        <v>0.01</v>
      </c>
      <c r="I10" s="105">
        <f t="shared" si="4"/>
        <v>0.01</v>
      </c>
      <c r="J10" s="105">
        <f t="shared" si="4"/>
        <v>0.01</v>
      </c>
      <c r="K10" s="29"/>
      <c r="L10" s="29"/>
      <c r="M10" s="167"/>
      <c r="N10" s="167"/>
    </row>
    <row r="11" spans="1:20" x14ac:dyDescent="0.25">
      <c r="B11" s="4" t="s">
        <v>133</v>
      </c>
      <c r="C11" s="8">
        <f>IncState!C16/IncState!C15</f>
        <v>0.7048436634713432</v>
      </c>
      <c r="D11" s="8">
        <f>IncState!D16/IncState!D15</f>
        <v>0.69973751791933614</v>
      </c>
      <c r="E11" s="8">
        <f>IncState!E16/IncState!E15</f>
        <v>0.69904525280244589</v>
      </c>
      <c r="F11" s="101">
        <f>E11</f>
        <v>0.69904525280244589</v>
      </c>
      <c r="G11" s="101">
        <f t="shared" ref="G11:J11" si="5">F11</f>
        <v>0.69904525280244589</v>
      </c>
      <c r="H11" s="101">
        <f t="shared" si="5"/>
        <v>0.69904525280244589</v>
      </c>
      <c r="I11" s="101">
        <f t="shared" si="5"/>
        <v>0.69904525280244589</v>
      </c>
      <c r="J11" s="101">
        <f t="shared" si="5"/>
        <v>0.69904525280244589</v>
      </c>
      <c r="K11" s="167"/>
      <c r="L11" s="167"/>
      <c r="M11" s="167"/>
      <c r="N11" s="167"/>
    </row>
    <row r="12" spans="1:20" x14ac:dyDescent="0.25">
      <c r="B12" s="4" t="s">
        <v>44</v>
      </c>
      <c r="C12" s="8">
        <f>IncState!C17/IncState!C15</f>
        <v>0.12604464461477996</v>
      </c>
      <c r="D12" s="8">
        <f>IncState!D17/IncState!D15</f>
        <v>0.13554463554463556</v>
      </c>
      <c r="E12" s="8">
        <f>IncState!E17/IncState!E15</f>
        <v>0.14493166830649154</v>
      </c>
      <c r="F12" s="101">
        <f>E12</f>
        <v>0.14493166830649154</v>
      </c>
      <c r="G12" s="101">
        <f t="shared" ref="G12:J12" si="6">F12</f>
        <v>0.14493166830649154</v>
      </c>
      <c r="H12" s="101">
        <f t="shared" si="6"/>
        <v>0.14493166830649154</v>
      </c>
      <c r="I12" s="101">
        <f t="shared" si="6"/>
        <v>0.14493166830649154</v>
      </c>
      <c r="J12" s="101">
        <f t="shared" si="6"/>
        <v>0.14493166830649154</v>
      </c>
      <c r="K12" s="167"/>
      <c r="L12" s="167"/>
    </row>
    <row r="13" spans="1:20" x14ac:dyDescent="0.25">
      <c r="B13" s="4" t="s">
        <v>135</v>
      </c>
      <c r="C13" s="4">
        <f>IncState!C21</f>
        <v>0</v>
      </c>
      <c r="D13" s="4">
        <f>IncState!D21</f>
        <v>0</v>
      </c>
      <c r="E13" s="4">
        <f>IncState!E21</f>
        <v>0</v>
      </c>
      <c r="F13" s="102">
        <f>E13</f>
        <v>0</v>
      </c>
      <c r="G13" s="102">
        <f t="shared" ref="G13:J13" si="7">F13</f>
        <v>0</v>
      </c>
      <c r="H13" s="102">
        <f t="shared" si="7"/>
        <v>0</v>
      </c>
      <c r="I13" s="102">
        <f t="shared" si="7"/>
        <v>0</v>
      </c>
      <c r="J13" s="102">
        <f t="shared" si="7"/>
        <v>0</v>
      </c>
      <c r="K13" s="193"/>
      <c r="L13" s="193"/>
    </row>
    <row r="14" spans="1:20" x14ac:dyDescent="0.25">
      <c r="B14" s="4" t="s">
        <v>136</v>
      </c>
      <c r="C14" s="4">
        <f>IncState!C24</f>
        <v>0</v>
      </c>
      <c r="D14" s="4">
        <f>IncState!D24</f>
        <v>0</v>
      </c>
      <c r="E14" s="4">
        <f>IncState!E24</f>
        <v>-162624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93"/>
      <c r="L14" s="193"/>
    </row>
    <row r="15" spans="1:20" x14ac:dyDescent="0.25">
      <c r="B15" s="4" t="s">
        <v>138</v>
      </c>
      <c r="C15" s="4">
        <f>IncState!C25</f>
        <v>-303</v>
      </c>
      <c r="D15" s="4">
        <f>IncState!D25</f>
        <v>-6967</v>
      </c>
      <c r="E15" s="4">
        <f>IncState!E25</f>
        <v>-6843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93"/>
      <c r="L15" s="193"/>
    </row>
    <row r="16" spans="1:20" x14ac:dyDescent="0.25">
      <c r="B16" s="4" t="s">
        <v>47</v>
      </c>
      <c r="C16" s="8">
        <f>IncState!C32/IncState!C30</f>
        <v>0.28482568625997579</v>
      </c>
      <c r="D16" s="8">
        <f>IncState!D32/IncState!D30</f>
        <v>0.30904193514312878</v>
      </c>
      <c r="E16" s="8">
        <f>IncState!E32/IncState!E30</f>
        <v>-7.4883182974786031</v>
      </c>
      <c r="F16" s="101">
        <v>0.23</v>
      </c>
      <c r="G16" s="101">
        <f t="shared" ref="G16:J16" si="8">F16</f>
        <v>0.23</v>
      </c>
      <c r="H16" s="101">
        <f t="shared" si="8"/>
        <v>0.23</v>
      </c>
      <c r="I16" s="101">
        <f t="shared" si="8"/>
        <v>0.23</v>
      </c>
      <c r="J16" s="101">
        <f t="shared" si="8"/>
        <v>0.23</v>
      </c>
      <c r="K16" s="167"/>
      <c r="L16" s="167"/>
    </row>
    <row r="17" spans="1:12" x14ac:dyDescent="0.25">
      <c r="B17" s="4" t="s">
        <v>48</v>
      </c>
      <c r="C17" s="4">
        <f>IncState!C35</f>
        <v>21205.311355311354</v>
      </c>
      <c r="D17" s="4">
        <f>IncState!D35</f>
        <v>20602.51968503937</v>
      </c>
      <c r="E17" s="4">
        <f>IncState!E35</f>
        <v>19622.994652406414</v>
      </c>
      <c r="F17" s="102">
        <f>E17</f>
        <v>19622.994652406414</v>
      </c>
      <c r="G17" s="102">
        <f t="shared" ref="G17:J17" si="9">F17</f>
        <v>19622.994652406414</v>
      </c>
      <c r="H17" s="102">
        <f t="shared" si="9"/>
        <v>19622.994652406414</v>
      </c>
      <c r="I17" s="102">
        <f t="shared" si="9"/>
        <v>19622.994652406414</v>
      </c>
      <c r="J17" s="102">
        <f t="shared" si="9"/>
        <v>19622.994652406414</v>
      </c>
      <c r="K17" s="193"/>
      <c r="L17" s="193"/>
    </row>
    <row r="18" spans="1:12" x14ac:dyDescent="0.25">
      <c r="B18" s="4" t="s">
        <v>49</v>
      </c>
      <c r="C18" s="4">
        <f>IncState!C36</f>
        <v>21244.220183486239</v>
      </c>
      <c r="D18" s="4">
        <f>IncState!D36</f>
        <v>20766.031746031746</v>
      </c>
      <c r="E18" s="4">
        <f>IncState!E36</f>
        <v>19622.994652406414</v>
      </c>
      <c r="F18" s="102">
        <f>E18</f>
        <v>19622.994652406414</v>
      </c>
      <c r="G18" s="102">
        <f t="shared" ref="G18:J18" si="10">F18</f>
        <v>19622.994652406414</v>
      </c>
      <c r="H18" s="102">
        <f t="shared" si="10"/>
        <v>19622.994652406414</v>
      </c>
      <c r="I18" s="102">
        <f t="shared" si="10"/>
        <v>19622.994652406414</v>
      </c>
      <c r="J18" s="102">
        <f t="shared" si="10"/>
        <v>19622.994652406414</v>
      </c>
      <c r="K18" s="193"/>
      <c r="L18" s="193"/>
    </row>
    <row r="19" spans="1:12" x14ac:dyDescent="0.25">
      <c r="F19" s="104"/>
      <c r="G19" s="104"/>
      <c r="H19" s="104"/>
      <c r="I19" s="104"/>
      <c r="J19" s="104"/>
      <c r="K19" s="167"/>
      <c r="L19" s="167"/>
    </row>
    <row r="20" spans="1:12" x14ac:dyDescent="0.25">
      <c r="A20" s="64" t="s">
        <v>124</v>
      </c>
      <c r="B20" s="107" t="s">
        <v>143</v>
      </c>
      <c r="C20" s="238">
        <f>C2</f>
        <v>2022</v>
      </c>
      <c r="D20" s="238">
        <f>D2</f>
        <v>2023</v>
      </c>
      <c r="E20" s="238">
        <f>E2</f>
        <v>2024</v>
      </c>
      <c r="F20" s="238">
        <f>F2</f>
        <v>2025</v>
      </c>
      <c r="G20" s="238">
        <f>G2</f>
        <v>2026</v>
      </c>
      <c r="H20" s="238">
        <f>H2</f>
        <v>2027</v>
      </c>
      <c r="I20" s="238">
        <f>I2</f>
        <v>2028</v>
      </c>
      <c r="J20" s="238">
        <f>J2</f>
        <v>2029</v>
      </c>
      <c r="K20" s="194"/>
      <c r="L20" s="194"/>
    </row>
    <row r="21" spans="1:12" x14ac:dyDescent="0.25">
      <c r="A21" s="86"/>
      <c r="B21" s="159"/>
      <c r="C21" s="192"/>
      <c r="D21" s="192"/>
      <c r="E21" s="192"/>
      <c r="F21" s="194"/>
      <c r="G21" s="194"/>
      <c r="H21" s="194"/>
      <c r="I21" s="194"/>
      <c r="J21" s="194"/>
      <c r="K21" s="194"/>
      <c r="L21" s="194"/>
    </row>
    <row r="22" spans="1:12" x14ac:dyDescent="0.25">
      <c r="B22" s="4" t="s">
        <v>137</v>
      </c>
      <c r="E22" s="8">
        <f>E23+0.01</f>
        <v>5.1970000000000002E-2</v>
      </c>
      <c r="F22" s="101">
        <f>E22</f>
        <v>5.1970000000000002E-2</v>
      </c>
      <c r="G22" s="101">
        <f t="shared" ref="G22:J22" si="11">F22</f>
        <v>5.1970000000000002E-2</v>
      </c>
      <c r="H22" s="101">
        <f t="shared" si="11"/>
        <v>5.1970000000000002E-2</v>
      </c>
      <c r="I22" s="101">
        <f t="shared" si="11"/>
        <v>5.1970000000000002E-2</v>
      </c>
      <c r="J22" s="101">
        <f t="shared" si="11"/>
        <v>5.1970000000000002E-2</v>
      </c>
      <c r="K22" s="167"/>
      <c r="L22" s="167"/>
    </row>
    <row r="23" spans="1:12" x14ac:dyDescent="0.25">
      <c r="B23" s="4" t="s">
        <v>25</v>
      </c>
      <c r="E23" s="8">
        <v>4.197E-2</v>
      </c>
      <c r="F23" s="101">
        <f>E23</f>
        <v>4.197E-2</v>
      </c>
      <c r="G23" s="101">
        <f t="shared" ref="G23:J23" si="12">F23</f>
        <v>4.197E-2</v>
      </c>
      <c r="H23" s="101">
        <f t="shared" si="12"/>
        <v>4.197E-2</v>
      </c>
      <c r="I23" s="101">
        <f t="shared" si="12"/>
        <v>4.197E-2</v>
      </c>
      <c r="J23" s="101">
        <f t="shared" si="12"/>
        <v>4.197E-2</v>
      </c>
      <c r="K23" s="167"/>
      <c r="L23" s="167"/>
    </row>
    <row r="24" spans="1:12" x14ac:dyDescent="0.25">
      <c r="B24" s="4" t="s">
        <v>26</v>
      </c>
      <c r="C24" s="8"/>
      <c r="D24" s="8"/>
      <c r="E24" s="8">
        <v>0.04</v>
      </c>
      <c r="F24" s="127">
        <f>E24</f>
        <v>0.04</v>
      </c>
      <c r="G24" s="127">
        <f t="shared" ref="G24:J24" si="13">F24</f>
        <v>0.04</v>
      </c>
      <c r="H24" s="127">
        <f t="shared" si="13"/>
        <v>0.04</v>
      </c>
      <c r="I24" s="127">
        <f t="shared" si="13"/>
        <v>0.04</v>
      </c>
      <c r="J24" s="127">
        <f t="shared" si="13"/>
        <v>0.04</v>
      </c>
      <c r="K24" s="167"/>
      <c r="L24" s="167"/>
    </row>
    <row r="25" spans="1:12" x14ac:dyDescent="0.25">
      <c r="F25" s="104"/>
      <c r="G25" s="104"/>
      <c r="H25" s="104"/>
      <c r="I25" s="104"/>
      <c r="J25" s="104"/>
      <c r="K25" s="167"/>
      <c r="L25" s="167"/>
    </row>
    <row r="26" spans="1:12" x14ac:dyDescent="0.25">
      <c r="B26" s="4" t="s">
        <v>27</v>
      </c>
      <c r="F26" s="102">
        <v>0</v>
      </c>
      <c r="G26" s="102">
        <v>0</v>
      </c>
      <c r="H26" s="102">
        <v>0</v>
      </c>
      <c r="I26" s="102">
        <v>0</v>
      </c>
      <c r="J26" s="102">
        <v>0</v>
      </c>
      <c r="K26" s="193"/>
      <c r="L26" s="193"/>
    </row>
    <row r="27" spans="1:12" x14ac:dyDescent="0.25">
      <c r="B27" s="4" t="s">
        <v>28</v>
      </c>
      <c r="D27" s="4">
        <v>-30169</v>
      </c>
      <c r="E27" s="4">
        <v>-29964</v>
      </c>
      <c r="F27" s="102">
        <v>-35880</v>
      </c>
      <c r="G27" s="102">
        <f>F27-(-F27+E27)</f>
        <v>-41796</v>
      </c>
      <c r="H27" s="102">
        <f t="shared" ref="H27:J27" si="14">G27-(-G27+F27)</f>
        <v>-47712</v>
      </c>
      <c r="I27" s="102">
        <f t="shared" si="14"/>
        <v>-53628</v>
      </c>
      <c r="J27" s="102">
        <f t="shared" si="14"/>
        <v>-59544</v>
      </c>
      <c r="K27" s="193"/>
      <c r="L27" s="193"/>
    </row>
    <row r="28" spans="1:12" x14ac:dyDescent="0.25">
      <c r="F28" s="104"/>
      <c r="G28" s="104"/>
      <c r="H28" s="104"/>
      <c r="I28" s="104"/>
      <c r="J28" s="104"/>
      <c r="K28" s="167"/>
      <c r="L28" s="167"/>
    </row>
    <row r="29" spans="1:12" x14ac:dyDescent="0.25">
      <c r="A29" s="64" t="s">
        <v>124</v>
      </c>
      <c r="B29" s="107" t="s">
        <v>140</v>
      </c>
      <c r="C29" s="238">
        <f>C20</f>
        <v>2022</v>
      </c>
      <c r="D29" s="238">
        <f t="shared" ref="D29:J29" si="15">D20</f>
        <v>2023</v>
      </c>
      <c r="E29" s="238">
        <f t="shared" si="15"/>
        <v>2024</v>
      </c>
      <c r="F29" s="238">
        <f t="shared" si="15"/>
        <v>2025</v>
      </c>
      <c r="G29" s="238">
        <f t="shared" si="15"/>
        <v>2026</v>
      </c>
      <c r="H29" s="238">
        <f t="shared" si="15"/>
        <v>2027</v>
      </c>
      <c r="I29" s="238">
        <f t="shared" si="15"/>
        <v>2028</v>
      </c>
      <c r="J29" s="238">
        <f t="shared" si="15"/>
        <v>2029</v>
      </c>
      <c r="K29" s="195"/>
      <c r="L29" s="195"/>
    </row>
    <row r="30" spans="1:12" x14ac:dyDescent="0.25">
      <c r="A30" s="86"/>
      <c r="B30" s="159"/>
      <c r="C30" s="192"/>
      <c r="D30" s="192"/>
      <c r="E30" s="192"/>
      <c r="F30" s="194"/>
      <c r="G30" s="194"/>
      <c r="H30" s="194"/>
      <c r="I30" s="194"/>
      <c r="J30" s="194"/>
      <c r="K30" s="195"/>
      <c r="L30" s="195"/>
    </row>
    <row r="31" spans="1:12" x14ac:dyDescent="0.25">
      <c r="B31" s="4" t="s">
        <v>141</v>
      </c>
      <c r="C31" s="8">
        <f>46475/IncState!C15</f>
        <v>3.1656929478782875E-2</v>
      </c>
      <c r="D31" s="8">
        <f>74954/IncState!D15</f>
        <v>4.4291044291044294E-2</v>
      </c>
      <c r="E31" s="8">
        <f>115474/IncState!E15</f>
        <v>7.3489186702017303E-2</v>
      </c>
      <c r="F31" s="217">
        <f>E31</f>
        <v>7.3489186702017303E-2</v>
      </c>
      <c r="G31" s="217">
        <f>F31-0.005</f>
        <v>6.8489186702017299E-2</v>
      </c>
      <c r="H31" s="217">
        <f t="shared" ref="H31:J31" si="16">G31-0.005</f>
        <v>6.3489186702017295E-2</v>
      </c>
      <c r="I31" s="217">
        <f t="shared" si="16"/>
        <v>5.8489186702017297E-2</v>
      </c>
      <c r="J31" s="217">
        <f t="shared" si="16"/>
        <v>5.34891867020173E-2</v>
      </c>
      <c r="K31" s="167"/>
      <c r="L31" s="167"/>
    </row>
    <row r="32" spans="1:12" x14ac:dyDescent="0.25">
      <c r="B32" s="4" t="s">
        <v>154</v>
      </c>
      <c r="D32" s="8">
        <f>IncState!D20/BalSheet!C23</f>
        <v>3.5586491222356867E-2</v>
      </c>
      <c r="E32" s="8">
        <f>IncState!E20/BalSheet!D23</f>
        <v>3.3032988226582335E-2</v>
      </c>
      <c r="F32" s="101">
        <f>E32</f>
        <v>3.3032988226582335E-2</v>
      </c>
      <c r="G32" s="101">
        <f t="shared" ref="G32:J32" si="17">F32</f>
        <v>3.3032988226582335E-2</v>
      </c>
      <c r="H32" s="101">
        <f t="shared" si="17"/>
        <v>3.3032988226582335E-2</v>
      </c>
      <c r="I32" s="101">
        <f t="shared" si="17"/>
        <v>3.3032988226582335E-2</v>
      </c>
      <c r="J32" s="101">
        <f t="shared" si="17"/>
        <v>3.3032988226582335E-2</v>
      </c>
      <c r="K32" s="167"/>
      <c r="L32" s="167"/>
    </row>
    <row r="33" spans="1:12" x14ac:dyDescent="0.25">
      <c r="B33" s="4" t="s">
        <v>142</v>
      </c>
      <c r="F33" s="106">
        <v>0</v>
      </c>
      <c r="G33" s="106">
        <v>0</v>
      </c>
      <c r="H33" s="106">
        <v>0</v>
      </c>
      <c r="I33" s="106">
        <v>0</v>
      </c>
      <c r="J33" s="106">
        <v>0</v>
      </c>
      <c r="K33" s="196"/>
      <c r="L33" s="196"/>
    </row>
    <row r="34" spans="1:12" x14ac:dyDescent="0.25">
      <c r="F34" s="30"/>
      <c r="G34" s="30"/>
      <c r="H34" s="30"/>
      <c r="I34" s="30"/>
      <c r="J34" s="30"/>
      <c r="K34" s="30"/>
      <c r="L34" s="30"/>
    </row>
    <row r="35" spans="1:12" x14ac:dyDescent="0.25">
      <c r="A35" s="64" t="s">
        <v>124</v>
      </c>
      <c r="B35" s="107" t="s">
        <v>129</v>
      </c>
      <c r="C35" s="238">
        <f>C29</f>
        <v>2022</v>
      </c>
      <c r="D35" s="238">
        <f t="shared" ref="D35:J35" si="18">D29</f>
        <v>2023</v>
      </c>
      <c r="E35" s="238">
        <f t="shared" si="18"/>
        <v>2024</v>
      </c>
      <c r="F35" s="238">
        <f t="shared" si="18"/>
        <v>2025</v>
      </c>
      <c r="G35" s="238">
        <f t="shared" si="18"/>
        <v>2026</v>
      </c>
      <c r="H35" s="238">
        <f t="shared" si="18"/>
        <v>2027</v>
      </c>
      <c r="I35" s="238">
        <f t="shared" si="18"/>
        <v>2028</v>
      </c>
      <c r="J35" s="238">
        <f t="shared" si="18"/>
        <v>2029</v>
      </c>
      <c r="K35" s="195"/>
      <c r="L35" s="195"/>
    </row>
    <row r="36" spans="1:12" x14ac:dyDescent="0.25">
      <c r="A36" s="86"/>
      <c r="B36" s="159"/>
      <c r="C36" s="192"/>
      <c r="D36" s="192"/>
      <c r="E36" s="192"/>
      <c r="F36" s="236"/>
      <c r="G36" s="236"/>
      <c r="H36" s="236"/>
      <c r="I36" s="236"/>
      <c r="J36" s="236"/>
      <c r="K36" s="195"/>
      <c r="L36" s="195"/>
    </row>
    <row r="37" spans="1:12" x14ac:dyDescent="0.25">
      <c r="B37" s="4" t="s">
        <v>139</v>
      </c>
      <c r="C37" s="8">
        <f>BalSheet!C16/IncState!C15</f>
        <v>0.01</v>
      </c>
      <c r="D37" s="8">
        <f>BalSheet!D16/IncState!D15</f>
        <v>0.01</v>
      </c>
      <c r="E37" s="8">
        <f>BalSheet!E16/IncState!E15</f>
        <v>0.01</v>
      </c>
      <c r="F37" s="101">
        <f>E37</f>
        <v>0.01</v>
      </c>
      <c r="G37" s="101">
        <f t="shared" ref="G37:J37" si="19">F37</f>
        <v>0.01</v>
      </c>
      <c r="H37" s="101">
        <f t="shared" si="19"/>
        <v>0.01</v>
      </c>
      <c r="I37" s="101">
        <f t="shared" si="19"/>
        <v>0.01</v>
      </c>
      <c r="J37" s="101">
        <f t="shared" si="19"/>
        <v>0.01</v>
      </c>
      <c r="K37" s="167"/>
      <c r="L37" s="167"/>
    </row>
    <row r="38" spans="1:12" x14ac:dyDescent="0.25">
      <c r="B38" s="4" t="s">
        <v>152</v>
      </c>
      <c r="C38" s="8">
        <f>BalSheet!C18/IncState!C15</f>
        <v>7.0706492752793948E-2</v>
      </c>
      <c r="D38" s="8">
        <f>BalSheet!D18/IncState!D15</f>
        <v>5.8900695264331629E-2</v>
      </c>
      <c r="E38" s="8">
        <f>BalSheet!E18/IncState!E15</f>
        <v>5.3183148285566272E-2</v>
      </c>
      <c r="F38" s="101">
        <f>E38</f>
        <v>5.3183148285566272E-2</v>
      </c>
      <c r="G38" s="101">
        <f t="shared" ref="G38:J38" si="20">F38</f>
        <v>5.3183148285566272E-2</v>
      </c>
      <c r="H38" s="101">
        <f t="shared" si="20"/>
        <v>5.3183148285566272E-2</v>
      </c>
      <c r="I38" s="101">
        <f t="shared" si="20"/>
        <v>5.3183148285566272E-2</v>
      </c>
      <c r="J38" s="101">
        <f t="shared" si="20"/>
        <v>5.3183148285566272E-2</v>
      </c>
      <c r="K38" s="167"/>
      <c r="L38" s="167"/>
    </row>
    <row r="39" spans="1:12" x14ac:dyDescent="0.25">
      <c r="B39" s="4" t="s">
        <v>63</v>
      </c>
      <c r="C39" s="8">
        <f>BalSheet!C19/IncState!C16</f>
        <v>5.0871257256450472E-3</v>
      </c>
      <c r="D39" s="8">
        <f>BalSheet!D19/IncState!D16</f>
        <v>3.2900681489988768E-3</v>
      </c>
      <c r="E39" s="8">
        <f>BalSheet!E19/IncState!E16</f>
        <v>3.5706027053551757E-3</v>
      </c>
      <c r="F39" s="101">
        <f t="shared" ref="F39:J39" si="21">E39</f>
        <v>3.5706027053551757E-3</v>
      </c>
      <c r="G39" s="101">
        <f t="shared" si="21"/>
        <v>3.5706027053551757E-3</v>
      </c>
      <c r="H39" s="101">
        <f t="shared" si="21"/>
        <v>3.5706027053551757E-3</v>
      </c>
      <c r="I39" s="101">
        <f t="shared" si="21"/>
        <v>3.5706027053551757E-3</v>
      </c>
      <c r="J39" s="101">
        <f t="shared" si="21"/>
        <v>3.5706027053551757E-3</v>
      </c>
      <c r="K39" s="167"/>
      <c r="L39" s="167"/>
    </row>
    <row r="40" spans="1:12" x14ac:dyDescent="0.25">
      <c r="B40" s="4" t="s">
        <v>64</v>
      </c>
      <c r="C40" s="8">
        <f>BalSheet!C20/IncState!C15</f>
        <v>4.4299947618765427E-2</v>
      </c>
      <c r="D40" s="8">
        <f>BalSheet!D20/IncState!D15</f>
        <v>3.8265538265538267E-2</v>
      </c>
      <c r="E40" s="8">
        <f>BalSheet!E20/IncState!E15</f>
        <v>4.393988185623933E-2</v>
      </c>
      <c r="F40" s="101">
        <f t="shared" ref="F40:J40" si="22">E40</f>
        <v>4.393988185623933E-2</v>
      </c>
      <c r="G40" s="101">
        <f t="shared" si="22"/>
        <v>4.393988185623933E-2</v>
      </c>
      <c r="H40" s="101">
        <f t="shared" si="22"/>
        <v>4.393988185623933E-2</v>
      </c>
      <c r="I40" s="101">
        <f t="shared" si="22"/>
        <v>4.393988185623933E-2</v>
      </c>
      <c r="J40" s="101">
        <f t="shared" si="22"/>
        <v>4.393988185623933E-2</v>
      </c>
      <c r="K40" s="167"/>
      <c r="L40" s="167"/>
    </row>
    <row r="41" spans="1:12" x14ac:dyDescent="0.25">
      <c r="E41" s="8"/>
      <c r="F41" s="104"/>
      <c r="G41" s="104"/>
      <c r="H41" s="104"/>
      <c r="I41" s="104"/>
      <c r="J41" s="104"/>
      <c r="K41" s="167"/>
      <c r="L41" s="167"/>
    </row>
    <row r="42" spans="1:12" x14ac:dyDescent="0.25">
      <c r="B42" s="4" t="s">
        <v>65</v>
      </c>
      <c r="C42" s="8">
        <f>BalSheet!C25/IncState!C15</f>
        <v>0.15432983012540843</v>
      </c>
      <c r="D42" s="8">
        <f>BalSheet!D25/IncState!D15</f>
        <v>0.14223609678155133</v>
      </c>
      <c r="E42" s="8">
        <f>BalSheet!E25/IncState!E15</f>
        <v>0.16483485711885526</v>
      </c>
      <c r="F42" s="101">
        <f>E42</f>
        <v>0.16483485711885526</v>
      </c>
      <c r="G42" s="101">
        <f t="shared" ref="G42:J42" si="23">F42</f>
        <v>0.16483485711885526</v>
      </c>
      <c r="H42" s="101">
        <f t="shared" si="23"/>
        <v>0.16483485711885526</v>
      </c>
      <c r="I42" s="101">
        <f t="shared" si="23"/>
        <v>0.16483485711885526</v>
      </c>
      <c r="J42" s="101">
        <f t="shared" si="23"/>
        <v>0.16483485711885526</v>
      </c>
      <c r="K42" s="167"/>
      <c r="L42" s="167"/>
    </row>
    <row r="43" spans="1:12" x14ac:dyDescent="0.25">
      <c r="F43" s="30"/>
      <c r="G43" s="30"/>
      <c r="H43" s="30"/>
      <c r="I43" s="30"/>
      <c r="J43" s="30"/>
      <c r="K43" s="30"/>
      <c r="L43" s="30"/>
    </row>
    <row r="44" spans="1:12" x14ac:dyDescent="0.25">
      <c r="A44" s="64" t="s">
        <v>124</v>
      </c>
      <c r="B44" s="107" t="s">
        <v>130</v>
      </c>
      <c r="C44" s="238">
        <f>C35</f>
        <v>2022</v>
      </c>
      <c r="D44" s="238">
        <f>D35</f>
        <v>2023</v>
      </c>
      <c r="E44" s="238">
        <f>E35</f>
        <v>2024</v>
      </c>
      <c r="F44" s="238">
        <f>F35</f>
        <v>2025</v>
      </c>
      <c r="G44" s="238">
        <f>G35</f>
        <v>2026</v>
      </c>
      <c r="H44" s="238">
        <f>H35</f>
        <v>2027</v>
      </c>
      <c r="I44" s="238">
        <f>I35</f>
        <v>2028</v>
      </c>
      <c r="J44" s="238">
        <f>J35</f>
        <v>2029</v>
      </c>
      <c r="K44" s="195"/>
      <c r="L44" s="195"/>
    </row>
    <row r="45" spans="1:12" x14ac:dyDescent="0.25">
      <c r="A45" s="86"/>
      <c r="B45" s="159"/>
      <c r="C45" s="192"/>
      <c r="D45" s="192"/>
      <c r="E45" s="192"/>
      <c r="F45" s="236"/>
      <c r="G45" s="236"/>
      <c r="H45" s="236"/>
      <c r="I45" s="236"/>
      <c r="J45" s="236"/>
      <c r="K45" s="195"/>
      <c r="L45" s="195"/>
    </row>
    <row r="46" spans="1:12" x14ac:dyDescent="0.25">
      <c r="B46" s="4" t="s">
        <v>153</v>
      </c>
      <c r="C46" s="8">
        <f>BalSheet!C31/IncState!C16</f>
        <v>0.3094439435274926</v>
      </c>
      <c r="D46" s="8">
        <f>BalSheet!D31/IncState!D16</f>
        <v>0.32692772152647004</v>
      </c>
      <c r="E46" s="8">
        <f>BalSheet!E31/IncState!E16</f>
        <v>0.21518480281569607</v>
      </c>
      <c r="F46" s="101">
        <f t="shared" ref="F46:J46" si="24">E46</f>
        <v>0.21518480281569607</v>
      </c>
      <c r="G46" s="101">
        <f t="shared" si="24"/>
        <v>0.21518480281569607</v>
      </c>
      <c r="H46" s="101">
        <f t="shared" si="24"/>
        <v>0.21518480281569607</v>
      </c>
      <c r="I46" s="101">
        <f t="shared" si="24"/>
        <v>0.21518480281569607</v>
      </c>
      <c r="J46" s="101">
        <f t="shared" si="24"/>
        <v>0.21518480281569607</v>
      </c>
      <c r="K46" s="167"/>
      <c r="L46" s="167"/>
    </row>
    <row r="47" spans="1:12" x14ac:dyDescent="0.25">
      <c r="B47" s="4" t="s">
        <v>66</v>
      </c>
      <c r="C47" s="8">
        <f>BalSheet!C32/IncState!C15</f>
        <v>0.11669026887444375</v>
      </c>
      <c r="D47" s="8">
        <f>BalSheet!D32/IncState!D15</f>
        <v>8.4215266033447853E-2</v>
      </c>
      <c r="E47" s="8">
        <f>BalSheet!E32/IncState!E15</f>
        <v>0.10310976983477438</v>
      </c>
      <c r="F47" s="101">
        <f t="shared" ref="F47:J47" si="25">E47</f>
        <v>0.10310976983477438</v>
      </c>
      <c r="G47" s="101">
        <f t="shared" si="25"/>
        <v>0.10310976983477438</v>
      </c>
      <c r="H47" s="101">
        <f t="shared" si="25"/>
        <v>0.10310976983477438</v>
      </c>
      <c r="I47" s="101">
        <f t="shared" si="25"/>
        <v>0.10310976983477438</v>
      </c>
      <c r="J47" s="101">
        <f t="shared" si="25"/>
        <v>0.10310976983477438</v>
      </c>
      <c r="K47" s="167"/>
      <c r="L47" s="167"/>
    </row>
    <row r="48" spans="1:12" x14ac:dyDescent="0.25">
      <c r="B48" s="4" t="s">
        <v>67</v>
      </c>
      <c r="C48" s="8">
        <f>BalSheet!C36/IncState!C15</f>
        <v>0.91103432162895426</v>
      </c>
      <c r="D48" s="8">
        <f>BalSheet!D36/IncState!D15</f>
        <v>0.8478762115125752</v>
      </c>
      <c r="E48" s="8">
        <f>BalSheet!E36/IncState!E15</f>
        <v>0.92517625465695419</v>
      </c>
      <c r="F48" s="101">
        <f t="shared" ref="F48:J48" si="26">E48</f>
        <v>0.92517625465695419</v>
      </c>
      <c r="G48" s="101">
        <f t="shared" si="26"/>
        <v>0.92517625465695419</v>
      </c>
      <c r="H48" s="101">
        <f t="shared" si="26"/>
        <v>0.92517625465695419</v>
      </c>
      <c r="I48" s="101">
        <f t="shared" si="26"/>
        <v>0.92517625465695419</v>
      </c>
      <c r="J48" s="101">
        <f t="shared" si="26"/>
        <v>0.92517625465695419</v>
      </c>
      <c r="K48" s="167"/>
      <c r="L48" s="167"/>
    </row>
    <row r="49" spans="6:10" x14ac:dyDescent="0.25">
      <c r="F49" s="122"/>
      <c r="G49" s="30"/>
      <c r="H49" s="30"/>
      <c r="I49" s="30"/>
      <c r="J49" s="30"/>
    </row>
    <row r="50" spans="6:10" x14ac:dyDescent="0.25">
      <c r="F50" s="123"/>
      <c r="G50" s="95"/>
      <c r="H50" s="95"/>
      <c r="I50" s="95"/>
      <c r="J50" s="95"/>
    </row>
    <row r="51" spans="6:10" x14ac:dyDescent="0.25">
      <c r="F51" s="95"/>
      <c r="G51" s="95"/>
      <c r="H51" s="95"/>
      <c r="I51" s="95"/>
      <c r="J51" s="95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F6:K8 N7:T7 D7:D8 M9:N11 K20:L20 K29:L29 K44:L48 F46:J48 F50:J51 F11:L19 F21:L28 F30:L33 K35:L42 F37:J42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39"/>
  <sheetViews>
    <sheetView showGridLines="0" topLeftCell="A63" zoomScaleNormal="100" workbookViewId="0">
      <selection activeCell="F87" sqref="F87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30" t="str">
        <f>CoName</f>
        <v>Jack In the Box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x14ac:dyDescent="0.25">
      <c r="A2" s="20" t="s">
        <v>11</v>
      </c>
      <c r="B2" s="19"/>
      <c r="C2" s="189">
        <v>2022</v>
      </c>
      <c r="D2" s="229">
        <f>C2+1</f>
        <v>2023</v>
      </c>
      <c r="E2" s="229">
        <f t="shared" ref="E2:J2" si="0">D2+1</f>
        <v>2024</v>
      </c>
      <c r="F2" s="229">
        <f t="shared" si="0"/>
        <v>2025</v>
      </c>
      <c r="G2" s="229">
        <f t="shared" si="0"/>
        <v>2026</v>
      </c>
      <c r="H2" s="229">
        <f t="shared" si="0"/>
        <v>2027</v>
      </c>
      <c r="I2" s="229">
        <f t="shared" si="0"/>
        <v>2028</v>
      </c>
      <c r="J2" s="229">
        <f t="shared" si="0"/>
        <v>2029</v>
      </c>
      <c r="K2" s="190"/>
      <c r="L2" s="190"/>
      <c r="M2" s="190"/>
    </row>
    <row r="3" spans="1:13" x14ac:dyDescent="0.25">
      <c r="B3" s="4" t="s">
        <v>12</v>
      </c>
      <c r="C3" s="29"/>
      <c r="D3" s="29"/>
      <c r="E3" s="40"/>
      <c r="F3" s="199">
        <f>Assumptions!F31</f>
        <v>7.3489186702017303E-2</v>
      </c>
      <c r="G3" s="199">
        <f>Assumptions!G31</f>
        <v>6.8489186702017299E-2</v>
      </c>
      <c r="H3" s="199">
        <f>Assumptions!H31</f>
        <v>6.3489186702017295E-2</v>
      </c>
      <c r="I3" s="199">
        <f>Assumptions!I31</f>
        <v>5.8489186702017297E-2</v>
      </c>
      <c r="J3" s="199">
        <f>Assumptions!J31</f>
        <v>5.34891867020173E-2</v>
      </c>
      <c r="K3" s="197"/>
      <c r="L3" s="197"/>
    </row>
    <row r="4" spans="1:13" x14ac:dyDescent="0.25">
      <c r="B4" s="4" t="s">
        <v>134</v>
      </c>
      <c r="C4" s="29"/>
      <c r="D4" s="29"/>
      <c r="E4" s="40"/>
      <c r="F4" s="199">
        <f>Assumptions!F32</f>
        <v>3.3032988226582335E-2</v>
      </c>
      <c r="G4" s="199">
        <f>F4</f>
        <v>3.3032988226582335E-2</v>
      </c>
      <c r="H4" s="199">
        <f t="shared" ref="H4:J4" si="1">G4</f>
        <v>3.3032988226582335E-2</v>
      </c>
      <c r="I4" s="199">
        <f t="shared" si="1"/>
        <v>3.3032988226582335E-2</v>
      </c>
      <c r="J4" s="199">
        <f t="shared" si="1"/>
        <v>3.3032988226582335E-2</v>
      </c>
      <c r="K4" s="197"/>
      <c r="L4" s="197"/>
    </row>
    <row r="5" spans="1:13" x14ac:dyDescent="0.25">
      <c r="E5" s="27"/>
      <c r="F5" s="78"/>
      <c r="G5" s="66"/>
      <c r="H5" s="84"/>
      <c r="I5" s="66"/>
      <c r="J5" s="66"/>
    </row>
    <row r="6" spans="1:13" x14ac:dyDescent="0.25">
      <c r="B6" s="4" t="s">
        <v>13</v>
      </c>
      <c r="E6" s="27"/>
      <c r="F6" s="4">
        <f>E9</f>
        <v>1840122</v>
      </c>
      <c r="G6" s="4">
        <f t="shared" ref="G6:J6" si="2">F9</f>
        <v>1876335.4316385249</v>
      </c>
      <c r="H6" s="4">
        <f t="shared" si="2"/>
        <v>1903397.16009409</v>
      </c>
      <c r="I6" s="4">
        <f t="shared" si="2"/>
        <v>1923889.8878877517</v>
      </c>
      <c r="J6" s="4">
        <f t="shared" si="2"/>
        <v>1937908.2030534782</v>
      </c>
    </row>
    <row r="7" spans="1:13" x14ac:dyDescent="0.25">
      <c r="B7" s="4" t="s">
        <v>14</v>
      </c>
      <c r="C7" s="12"/>
      <c r="D7" s="12"/>
      <c r="E7" s="128"/>
      <c r="F7" s="4">
        <f>F3*IncState!F15</f>
        <v>96998.16</v>
      </c>
      <c r="G7" s="4">
        <f>G3*IncState!G15</f>
        <v>89042.694678</v>
      </c>
      <c r="H7" s="4">
        <f>H3*IncState!H15</f>
        <v>83367.623773559986</v>
      </c>
      <c r="I7" s="4">
        <f>I3*IncState!I15</f>
        <v>77570.147181563385</v>
      </c>
      <c r="J7" s="4">
        <f>J3*IncState!J15</f>
        <v>71648.384295349504</v>
      </c>
    </row>
    <row r="8" spans="1:13" x14ac:dyDescent="0.25">
      <c r="B8" s="4" t="s">
        <v>15</v>
      </c>
      <c r="E8" s="27"/>
      <c r="F8" s="4">
        <f>F6*F4</f>
        <v>60784.728361475143</v>
      </c>
      <c r="G8" s="4">
        <f t="shared" ref="G8:J8" si="3">G6*G4</f>
        <v>61980.966222434676</v>
      </c>
      <c r="H8" s="4">
        <f t="shared" si="3"/>
        <v>62874.895979898327</v>
      </c>
      <c r="I8" s="4">
        <f t="shared" si="3"/>
        <v>63551.83201583691</v>
      </c>
      <c r="J8" s="4">
        <f t="shared" si="3"/>
        <v>64014.898855662876</v>
      </c>
    </row>
    <row r="9" spans="1:13" x14ac:dyDescent="0.25">
      <c r="B9" s="4" t="s">
        <v>16</v>
      </c>
      <c r="E9" s="27">
        <f>BalSheet!E23</f>
        <v>1840122</v>
      </c>
      <c r="F9" s="4">
        <f>F6+F7-F8</f>
        <v>1876335.4316385249</v>
      </c>
      <c r="G9" s="4">
        <f t="shared" ref="G9:J9" si="4">G6+G7-G8</f>
        <v>1903397.16009409</v>
      </c>
      <c r="H9" s="4">
        <f t="shared" si="4"/>
        <v>1923889.8878877517</v>
      </c>
      <c r="I9" s="4">
        <f t="shared" si="4"/>
        <v>1937908.2030534782</v>
      </c>
      <c r="J9" s="4">
        <f t="shared" si="4"/>
        <v>1945541.6884931647</v>
      </c>
    </row>
    <row r="10" spans="1:13" x14ac:dyDescent="0.25">
      <c r="A10" s="20" t="s">
        <v>17</v>
      </c>
      <c r="B10" s="42"/>
      <c r="C10" s="226">
        <f t="shared" ref="C10:J10" si="5">C2</f>
        <v>2022</v>
      </c>
      <c r="D10" s="226">
        <f t="shared" si="5"/>
        <v>2023</v>
      </c>
      <c r="E10" s="226">
        <f t="shared" si="5"/>
        <v>2024</v>
      </c>
      <c r="F10" s="226">
        <f t="shared" si="5"/>
        <v>2025</v>
      </c>
      <c r="G10" s="226">
        <f t="shared" ref="G10:J10" si="6">G2</f>
        <v>2026</v>
      </c>
      <c r="H10" s="226">
        <f t="shared" si="6"/>
        <v>2027</v>
      </c>
      <c r="I10" s="226">
        <f t="shared" si="6"/>
        <v>2028</v>
      </c>
      <c r="J10" s="226">
        <f t="shared" si="6"/>
        <v>2029</v>
      </c>
      <c r="K10" s="192"/>
      <c r="L10" s="192"/>
    </row>
    <row r="11" spans="1:13" x14ac:dyDescent="0.25">
      <c r="B11" s="4" t="s">
        <v>18</v>
      </c>
      <c r="E11" s="27"/>
      <c r="F11" s="231">
        <f>Assumptions!F33</f>
        <v>0</v>
      </c>
      <c r="G11" s="231">
        <f>Assumptions!G33</f>
        <v>0</v>
      </c>
      <c r="H11" s="231">
        <f>Assumptions!H33</f>
        <v>0</v>
      </c>
      <c r="I11" s="231">
        <f>Assumptions!I33</f>
        <v>0</v>
      </c>
      <c r="J11" s="231">
        <f>Assumptions!J33</f>
        <v>0</v>
      </c>
      <c r="K11" s="198"/>
      <c r="L11" s="198"/>
    </row>
    <row r="12" spans="1:13" x14ac:dyDescent="0.25">
      <c r="E12" s="27"/>
      <c r="F12" s="78"/>
      <c r="G12" s="78"/>
      <c r="H12" s="78"/>
      <c r="I12" s="78"/>
      <c r="J12" s="78"/>
    </row>
    <row r="13" spans="1:13" x14ac:dyDescent="0.25">
      <c r="B13" s="4" t="s">
        <v>19</v>
      </c>
      <c r="E13" s="27"/>
      <c r="F13" s="4">
        <f>E16</f>
        <v>-851798</v>
      </c>
      <c r="G13" s="4">
        <f t="shared" ref="G13:J13" ca="1" si="7">F16</f>
        <v>-740963.28960592917</v>
      </c>
      <c r="H13" s="4">
        <f t="shared" ca="1" si="7"/>
        <v>-632043.15999974776</v>
      </c>
      <c r="I13" s="4">
        <f t="shared" ca="1" si="7"/>
        <v>-522157.60209324874</v>
      </c>
      <c r="J13" s="4">
        <f t="shared" ca="1" si="7"/>
        <v>-411170.92385090946</v>
      </c>
    </row>
    <row r="14" spans="1:13" x14ac:dyDescent="0.25">
      <c r="B14" s="4" t="s">
        <v>20</v>
      </c>
      <c r="E14" s="27"/>
      <c r="F14" s="4">
        <f ca="1">IncState!F33</f>
        <v>110834.71039407088</v>
      </c>
      <c r="G14" s="4">
        <f ca="1">IncState!G33</f>
        <v>108920.12960618135</v>
      </c>
      <c r="H14" s="4">
        <f ca="1">IncState!H33</f>
        <v>109885.55790649905</v>
      </c>
      <c r="I14" s="4">
        <f ca="1">IncState!I33</f>
        <v>110986.67824233929</v>
      </c>
      <c r="J14" s="4">
        <f ca="1">IncState!J33</f>
        <v>112827.01858677296</v>
      </c>
    </row>
    <row r="15" spans="1:13" x14ac:dyDescent="0.25">
      <c r="B15" s="4" t="s">
        <v>21</v>
      </c>
      <c r="E15" s="27"/>
      <c r="F15" s="4">
        <f>F11</f>
        <v>0</v>
      </c>
      <c r="G15" s="4">
        <f t="shared" ref="G15:J15" si="8">G11</f>
        <v>0</v>
      </c>
      <c r="H15" s="4">
        <f t="shared" si="8"/>
        <v>0</v>
      </c>
      <c r="I15" s="4">
        <f t="shared" si="8"/>
        <v>0</v>
      </c>
      <c r="J15" s="4">
        <f t="shared" si="8"/>
        <v>0</v>
      </c>
    </row>
    <row r="16" spans="1:13" x14ac:dyDescent="0.25">
      <c r="B16" s="4" t="s">
        <v>22</v>
      </c>
      <c r="E16" s="27">
        <f>BalSheet!E39</f>
        <v>-851798</v>
      </c>
      <c r="F16" s="4">
        <f ca="1">SUM(F13:F15)</f>
        <v>-740963.28960592917</v>
      </c>
      <c r="G16" s="4">
        <f t="shared" ref="G16:J16" ca="1" si="9">SUM(G13:G15)</f>
        <v>-632043.15999974776</v>
      </c>
      <c r="H16" s="4">
        <f t="shared" ca="1" si="9"/>
        <v>-522157.60209324874</v>
      </c>
      <c r="I16" s="4">
        <f t="shared" ca="1" si="9"/>
        <v>-411170.92385090946</v>
      </c>
      <c r="J16" s="4">
        <f t="shared" ca="1" si="9"/>
        <v>-298343.9052641365</v>
      </c>
    </row>
    <row r="17" spans="1:12" x14ac:dyDescent="0.25">
      <c r="A17" s="20" t="s">
        <v>23</v>
      </c>
      <c r="B17" s="42"/>
      <c r="C17" s="226">
        <f>C10</f>
        <v>2022</v>
      </c>
      <c r="D17" s="226">
        <f t="shared" ref="D17:J17" si="10">D10</f>
        <v>2023</v>
      </c>
      <c r="E17" s="226">
        <f t="shared" si="10"/>
        <v>2024</v>
      </c>
      <c r="F17" s="226">
        <f t="shared" si="10"/>
        <v>2025</v>
      </c>
      <c r="G17" s="226">
        <f t="shared" ref="G17:J17" si="11">G10</f>
        <v>2026</v>
      </c>
      <c r="H17" s="226">
        <f t="shared" si="11"/>
        <v>2027</v>
      </c>
      <c r="I17" s="226">
        <f t="shared" si="11"/>
        <v>2028</v>
      </c>
      <c r="J17" s="226">
        <f t="shared" si="11"/>
        <v>2029</v>
      </c>
      <c r="K17" s="192"/>
      <c r="L17" s="192"/>
    </row>
    <row r="18" spans="1:12" x14ac:dyDescent="0.25">
      <c r="A18" s="87"/>
      <c r="B18" s="169" t="s">
        <v>157</v>
      </c>
      <c r="C18" s="192"/>
      <c r="D18" s="192"/>
      <c r="E18" s="213">
        <f>BalSheet!E16</f>
        <v>15713.06</v>
      </c>
      <c r="F18" s="132">
        <f>BalSheet!F16</f>
        <v>13198.9704</v>
      </c>
      <c r="G18" s="132">
        <f>BalSheet!G16</f>
        <v>13000.985844000001</v>
      </c>
      <c r="H18" s="132">
        <f>BalSheet!H16</f>
        <v>13130.995702440001</v>
      </c>
      <c r="I18" s="132">
        <f>BalSheet!I16</f>
        <v>13262.3056594644</v>
      </c>
      <c r="J18" s="132">
        <f>BalSheet!J16</f>
        <v>13394.928716059043</v>
      </c>
      <c r="K18" s="192"/>
      <c r="L18" s="192"/>
    </row>
    <row r="19" spans="1:12" x14ac:dyDescent="0.25">
      <c r="B19" s="4" t="str">
        <f>BalSheet!B18</f>
        <v>Accounts receivable</v>
      </c>
      <c r="D19" s="98"/>
      <c r="E19" s="99">
        <f>BalSheet!E18</f>
        <v>83567</v>
      </c>
      <c r="F19" s="4">
        <f>BalSheet!F18</f>
        <v>70196.28</v>
      </c>
      <c r="G19" s="4">
        <f>BalSheet!G18</f>
        <v>69143.335800000001</v>
      </c>
      <c r="H19" s="4">
        <f>BalSheet!H18</f>
        <v>69834.769157999996</v>
      </c>
      <c r="I19" s="4">
        <f>BalSheet!I18</f>
        <v>70533.116849579994</v>
      </c>
      <c r="J19" s="4">
        <f>BalSheet!J18</f>
        <v>71238.448018075796</v>
      </c>
      <c r="K19" s="98"/>
      <c r="L19" s="98"/>
    </row>
    <row r="20" spans="1:12" x14ac:dyDescent="0.25">
      <c r="A20" s="4"/>
      <c r="B20" s="4" t="str">
        <f>BalSheet!B19</f>
        <v>Inventories</v>
      </c>
      <c r="C20" s="98"/>
      <c r="D20" s="98"/>
      <c r="E20" s="99">
        <f>BalSheet!E19</f>
        <v>3922</v>
      </c>
      <c r="F20" s="4">
        <f>BalSheet!F19</f>
        <v>3294.48</v>
      </c>
      <c r="G20" s="4">
        <f>BalSheet!G19</f>
        <v>3245.0628000000002</v>
      </c>
      <c r="H20" s="4">
        <f>BalSheet!H19</f>
        <v>3277.5134280000002</v>
      </c>
      <c r="I20" s="4">
        <f>BalSheet!I19</f>
        <v>3310.2885622800004</v>
      </c>
      <c r="J20" s="4">
        <f>BalSheet!J19</f>
        <v>3343.3914479027999</v>
      </c>
      <c r="K20" s="98"/>
      <c r="L20" s="98"/>
    </row>
    <row r="21" spans="1:12" x14ac:dyDescent="0.25">
      <c r="B21" s="4" t="s">
        <v>70</v>
      </c>
      <c r="C21" s="98"/>
      <c r="D21" s="98"/>
      <c r="E21" s="99">
        <f>BalSheet!E20</f>
        <v>69043</v>
      </c>
      <c r="F21" s="4">
        <f>BalSheet!F20</f>
        <v>57996.119999999995</v>
      </c>
      <c r="G21" s="4">
        <f>BalSheet!G20</f>
        <v>57126.178200000002</v>
      </c>
      <c r="H21" s="4">
        <f>BalSheet!H20</f>
        <v>57697.439981999996</v>
      </c>
      <c r="I21" s="4">
        <f>BalSheet!I20</f>
        <v>58274.414381819995</v>
      </c>
      <c r="J21" s="4">
        <f>BalSheet!J20</f>
        <v>58857.158525638195</v>
      </c>
      <c r="K21" s="98"/>
      <c r="L21" s="98"/>
    </row>
    <row r="22" spans="1:12" x14ac:dyDescent="0.25">
      <c r="B22" s="4" t="s">
        <v>161</v>
      </c>
      <c r="C22" s="98"/>
      <c r="D22" s="98"/>
      <c r="E22" s="99">
        <f>BalSheet!E31</f>
        <v>236362</v>
      </c>
      <c r="F22" s="4">
        <f>BalSheet!F31</f>
        <v>198544.08</v>
      </c>
      <c r="G22" s="4">
        <f>BalSheet!G31</f>
        <v>195565.91880000001</v>
      </c>
      <c r="H22" s="4">
        <f>BalSheet!H31</f>
        <v>197521.577988</v>
      </c>
      <c r="I22" s="4">
        <f>BalSheet!I31</f>
        <v>199496.79376788001</v>
      </c>
      <c r="J22" s="4">
        <f>BalSheet!J31</f>
        <v>201491.76170555878</v>
      </c>
      <c r="K22" s="98"/>
      <c r="L22" s="98"/>
    </row>
    <row r="23" spans="1:12" x14ac:dyDescent="0.25">
      <c r="B23" s="4" t="s">
        <v>76</v>
      </c>
      <c r="C23" s="98"/>
      <c r="D23" s="98"/>
      <c r="E23" s="99">
        <f>BalSheet!E32</f>
        <v>162017</v>
      </c>
      <c r="F23" s="4">
        <f>BalSheet!F32</f>
        <v>136094.28</v>
      </c>
      <c r="G23" s="4">
        <f>BalSheet!G32</f>
        <v>134052.8658</v>
      </c>
      <c r="H23" s="4">
        <f>BalSheet!H32</f>
        <v>135393.394458</v>
      </c>
      <c r="I23" s="4">
        <f>BalSheet!I32</f>
        <v>136747.32840257999</v>
      </c>
      <c r="J23" s="4">
        <f>BalSheet!J32</f>
        <v>138114.80168660579</v>
      </c>
      <c r="K23" s="98"/>
      <c r="L23" s="98"/>
    </row>
    <row r="24" spans="1:12" x14ac:dyDescent="0.25">
      <c r="A24" s="11" t="s">
        <v>124</v>
      </c>
      <c r="B24" s="17" t="s">
        <v>23</v>
      </c>
      <c r="C24" s="18"/>
      <c r="D24" s="18"/>
      <c r="E24" s="18">
        <f>SUM(E18:E21)-SUM(E22:E23)</f>
        <v>-226133.94</v>
      </c>
      <c r="F24" s="18">
        <f>SUM(F18:F21)-SUM(F22:F23)</f>
        <v>-189952.50959999999</v>
      </c>
      <c r="G24" s="18">
        <f t="shared" ref="G24:J24" si="12">SUM(G18:G21)-SUM(G22:G23)</f>
        <v>-187103.22195600002</v>
      </c>
      <c r="H24" s="18">
        <f t="shared" si="12"/>
        <v>-188974.25417555997</v>
      </c>
      <c r="I24" s="18">
        <f t="shared" si="12"/>
        <v>-190863.99671731563</v>
      </c>
      <c r="J24" s="18">
        <f t="shared" si="12"/>
        <v>-192772.63668448868</v>
      </c>
      <c r="K24" s="11"/>
      <c r="L24" s="11"/>
    </row>
    <row r="25" spans="1:12" s="11" customFormat="1" x14ac:dyDescent="0.25">
      <c r="A25" s="24"/>
      <c r="B25" s="11" t="s">
        <v>149</v>
      </c>
      <c r="F25" s="11">
        <f>E24-F24</f>
        <v>-36181.430400000012</v>
      </c>
      <c r="G25" s="11">
        <f t="shared" ref="G25:J25" si="13">F24-G24</f>
        <v>-2849.2876439999673</v>
      </c>
      <c r="H25" s="11">
        <f t="shared" si="13"/>
        <v>1871.0322195599438</v>
      </c>
      <c r="I25" s="11">
        <f t="shared" si="13"/>
        <v>1889.742541755666</v>
      </c>
      <c r="J25" s="11">
        <f t="shared" si="13"/>
        <v>1908.6399671730469</v>
      </c>
    </row>
    <row r="26" spans="1:12" x14ac:dyDescent="0.25">
      <c r="B26" s="66"/>
      <c r="C26" s="66"/>
      <c r="D26" s="66"/>
      <c r="E26" s="66"/>
      <c r="F26" s="66"/>
      <c r="G26" s="66"/>
      <c r="H26" s="84"/>
      <c r="I26" s="66"/>
      <c r="J26" s="66"/>
    </row>
    <row r="27" spans="1:12" x14ac:dyDescent="0.25">
      <c r="H27" s="6"/>
      <c r="I27" s="4"/>
      <c r="J27" s="4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F26" sqref="F26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30" t="str">
        <f>CoName</f>
        <v>Jack In the Box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s="2" customFormat="1" x14ac:dyDescent="0.25">
      <c r="A2" s="16" t="s">
        <v>10</v>
      </c>
      <c r="B2" s="191"/>
      <c r="C2" s="238">
        <v>2022</v>
      </c>
      <c r="D2" s="238">
        <f>C2+1</f>
        <v>2023</v>
      </c>
      <c r="E2" s="238">
        <f t="shared" ref="E2:J2" si="0">D2+1</f>
        <v>2024</v>
      </c>
      <c r="F2" s="238">
        <f t="shared" si="0"/>
        <v>2025</v>
      </c>
      <c r="G2" s="238">
        <f t="shared" si="0"/>
        <v>2026</v>
      </c>
      <c r="H2" s="238">
        <f t="shared" si="0"/>
        <v>2027</v>
      </c>
      <c r="I2" s="238">
        <f t="shared" si="0"/>
        <v>2028</v>
      </c>
      <c r="J2" s="238">
        <f t="shared" si="0"/>
        <v>2029</v>
      </c>
      <c r="K2" s="200"/>
      <c r="L2" s="200"/>
    </row>
    <row r="3" spans="1:13" s="2" customFormat="1" x14ac:dyDescent="0.25">
      <c r="A3" s="87"/>
      <c r="B3" s="11"/>
      <c r="C3" s="192"/>
      <c r="D3" s="192"/>
      <c r="E3" s="192"/>
      <c r="F3" s="192"/>
      <c r="G3" s="192"/>
      <c r="H3" s="192"/>
      <c r="I3" s="192"/>
      <c r="J3" s="192"/>
      <c r="K3" s="200"/>
      <c r="L3" s="200"/>
    </row>
    <row r="4" spans="1:13" s="2" customFormat="1" x14ac:dyDescent="0.25">
      <c r="A4" s="11"/>
      <c r="B4" s="4" t="s">
        <v>24</v>
      </c>
      <c r="C4" s="30"/>
      <c r="D4" s="56"/>
      <c r="E4" s="60"/>
      <c r="F4" s="111">
        <f>Assumptions!F22</f>
        <v>5.1970000000000002E-2</v>
      </c>
      <c r="G4" s="111">
        <f>Assumptions!G22</f>
        <v>5.1970000000000002E-2</v>
      </c>
      <c r="H4" s="111">
        <f>Assumptions!H22</f>
        <v>5.1970000000000002E-2</v>
      </c>
      <c r="I4" s="111">
        <f>Assumptions!I22</f>
        <v>5.1970000000000002E-2</v>
      </c>
      <c r="J4" s="111">
        <f>Assumptions!J22</f>
        <v>5.1970000000000002E-2</v>
      </c>
      <c r="K4" s="29"/>
      <c r="L4" s="29"/>
    </row>
    <row r="5" spans="1:13" s="2" customFormat="1" x14ac:dyDescent="0.25">
      <c r="A5" s="11"/>
      <c r="B5" s="4" t="s">
        <v>25</v>
      </c>
      <c r="C5" s="30"/>
      <c r="D5" s="57"/>
      <c r="E5" s="61"/>
      <c r="F5" s="111">
        <f>Assumptions!F23</f>
        <v>4.197E-2</v>
      </c>
      <c r="G5" s="111">
        <f>Assumptions!G23</f>
        <v>4.197E-2</v>
      </c>
      <c r="H5" s="111">
        <f>Assumptions!H23</f>
        <v>4.197E-2</v>
      </c>
      <c r="I5" s="111">
        <f>Assumptions!I23</f>
        <v>4.197E-2</v>
      </c>
      <c r="J5" s="111">
        <f>Assumptions!J23</f>
        <v>4.197E-2</v>
      </c>
      <c r="K5" s="29"/>
      <c r="L5" s="29"/>
    </row>
    <row r="6" spans="1:13" s="2" customFormat="1" x14ac:dyDescent="0.25">
      <c r="A6" s="11"/>
      <c r="B6" s="4" t="s">
        <v>26</v>
      </c>
      <c r="C6" s="30"/>
      <c r="D6" s="56"/>
      <c r="E6" s="60"/>
      <c r="F6" s="111">
        <f>Assumptions!F24</f>
        <v>0.04</v>
      </c>
      <c r="G6" s="111">
        <f>Assumptions!G24</f>
        <v>0.04</v>
      </c>
      <c r="H6" s="111">
        <f>Assumptions!H24</f>
        <v>0.04</v>
      </c>
      <c r="I6" s="111">
        <f>Assumptions!I24</f>
        <v>0.04</v>
      </c>
      <c r="J6" s="111">
        <f>Assumptions!J24</f>
        <v>0.04</v>
      </c>
      <c r="K6" s="29"/>
      <c r="L6" s="29"/>
    </row>
    <row r="7" spans="1:13" s="2" customFormat="1" x14ac:dyDescent="0.25">
      <c r="A7" s="11"/>
      <c r="B7" s="4"/>
      <c r="C7" s="30"/>
      <c r="D7" s="30"/>
      <c r="E7" s="30"/>
      <c r="F7" s="109"/>
      <c r="G7" s="109"/>
      <c r="H7" s="109"/>
      <c r="I7" s="110"/>
      <c r="J7" s="110"/>
      <c r="K7" s="201"/>
      <c r="L7" s="201"/>
    </row>
    <row r="8" spans="1:13" s="2" customFormat="1" x14ac:dyDescent="0.25">
      <c r="A8" s="11"/>
      <c r="B8" s="4" t="s">
        <v>27</v>
      </c>
      <c r="C8" s="30"/>
      <c r="D8" s="58"/>
      <c r="E8" s="62"/>
      <c r="F8" s="112">
        <f>Assumptions!F26</f>
        <v>0</v>
      </c>
      <c r="G8" s="112">
        <f>Assumptions!G26</f>
        <v>0</v>
      </c>
      <c r="H8" s="112">
        <f>Assumptions!H26</f>
        <v>0</v>
      </c>
      <c r="I8" s="112">
        <f>Assumptions!I26</f>
        <v>0</v>
      </c>
      <c r="J8" s="112">
        <f>Assumptions!J26</f>
        <v>0</v>
      </c>
      <c r="K8" s="202"/>
      <c r="L8" s="202"/>
    </row>
    <row r="9" spans="1:13" s="2" customFormat="1" x14ac:dyDescent="0.25">
      <c r="A9" s="11"/>
      <c r="B9" s="4" t="s">
        <v>28</v>
      </c>
      <c r="C9" s="30"/>
      <c r="D9" s="58"/>
      <c r="E9" s="62"/>
      <c r="F9" s="112">
        <f>Assumptions!F27</f>
        <v>-35880</v>
      </c>
      <c r="G9" s="112">
        <f>Assumptions!G27</f>
        <v>-41796</v>
      </c>
      <c r="H9" s="112">
        <f>Assumptions!H27</f>
        <v>-47712</v>
      </c>
      <c r="I9" s="112">
        <f>Assumptions!I27</f>
        <v>-53628</v>
      </c>
      <c r="J9" s="112">
        <f>Assumptions!J27</f>
        <v>-59544</v>
      </c>
      <c r="K9" s="202"/>
      <c r="L9" s="202"/>
    </row>
    <row r="10" spans="1:13" s="2" customFormat="1" ht="18.75" x14ac:dyDescent="0.3">
      <c r="A10" s="33"/>
      <c r="B10" s="3"/>
      <c r="C10" s="53"/>
      <c r="D10" s="53"/>
      <c r="E10" s="53"/>
      <c r="F10" s="108"/>
      <c r="G10" s="108"/>
      <c r="H10" s="108"/>
      <c r="I10" s="108"/>
      <c r="J10" s="108"/>
      <c r="K10" s="53"/>
      <c r="L10" s="53"/>
    </row>
    <row r="11" spans="1:13" x14ac:dyDescent="0.25">
      <c r="A11" s="20" t="s">
        <v>29</v>
      </c>
      <c r="B11" s="54"/>
      <c r="C11" s="229">
        <f>C2</f>
        <v>2022</v>
      </c>
      <c r="D11" s="229">
        <f t="shared" ref="D11:J11" si="1">D2</f>
        <v>2023</v>
      </c>
      <c r="E11" s="229">
        <f t="shared" si="1"/>
        <v>2024</v>
      </c>
      <c r="F11" s="229">
        <f t="shared" si="1"/>
        <v>2025</v>
      </c>
      <c r="G11" s="229">
        <f t="shared" si="1"/>
        <v>2026</v>
      </c>
      <c r="H11" s="229">
        <f t="shared" si="1"/>
        <v>2027</v>
      </c>
      <c r="I11" s="229">
        <f t="shared" si="1"/>
        <v>2028</v>
      </c>
      <c r="J11" s="229">
        <f t="shared" si="1"/>
        <v>2029</v>
      </c>
      <c r="K11" s="203"/>
      <c r="L11" s="203"/>
      <c r="M11" s="47"/>
    </row>
    <row r="12" spans="1:13" x14ac:dyDescent="0.25">
      <c r="B12" s="4" t="s">
        <v>30</v>
      </c>
      <c r="E12" s="27"/>
      <c r="F12" s="4">
        <f ca="1">BalSheet!F30</f>
        <v>179564.85164445383</v>
      </c>
      <c r="G12" s="4">
        <f ca="1">BalSheet!G30</f>
        <v>157405.32353783777</v>
      </c>
      <c r="H12" s="4">
        <f ca="1">BalSheet!H30</f>
        <v>103968.27345944053</v>
      </c>
      <c r="I12" s="4">
        <f ca="1">BalSheet!I30</f>
        <v>48754.128217612073</v>
      </c>
      <c r="J12" s="4">
        <f ca="1">BalSheet!J30</f>
        <v>0</v>
      </c>
      <c r="M12" s="47"/>
    </row>
    <row r="13" spans="1:13" x14ac:dyDescent="0.25">
      <c r="B13" s="4" t="s">
        <v>31</v>
      </c>
      <c r="E13" s="28"/>
      <c r="F13" s="8">
        <f>F4</f>
        <v>5.1970000000000002E-2</v>
      </c>
      <c r="G13" s="8">
        <f t="shared" ref="G13:J13" si="2">G4</f>
        <v>5.1970000000000002E-2</v>
      </c>
      <c r="H13" s="8">
        <f t="shared" si="2"/>
        <v>5.1970000000000002E-2</v>
      </c>
      <c r="I13" s="8">
        <f t="shared" si="2"/>
        <v>5.1970000000000002E-2</v>
      </c>
      <c r="J13" s="8">
        <f t="shared" si="2"/>
        <v>5.1970000000000002E-2</v>
      </c>
      <c r="M13" s="47"/>
    </row>
    <row r="14" spans="1:13" x14ac:dyDescent="0.25">
      <c r="B14" s="4" t="s">
        <v>32</v>
      </c>
      <c r="E14" s="27"/>
      <c r="F14" s="4">
        <f ca="1">F12*F13</f>
        <v>9331.9853399622662</v>
      </c>
      <c r="G14" s="4">
        <f t="shared" ref="G14:J14" ca="1" si="3">G12*G13</f>
        <v>8180.3546642614292</v>
      </c>
      <c r="H14" s="4">
        <f t="shared" ca="1" si="3"/>
        <v>5403.2311716871245</v>
      </c>
      <c r="I14" s="4">
        <f t="shared" ca="1" si="3"/>
        <v>2533.7520434692997</v>
      </c>
      <c r="J14" s="4">
        <f t="shared" ca="1" si="3"/>
        <v>0</v>
      </c>
      <c r="M14" s="47"/>
    </row>
    <row r="15" spans="1:13" x14ac:dyDescent="0.25">
      <c r="E15" s="27"/>
      <c r="I15" s="4"/>
      <c r="J15" s="4"/>
      <c r="M15" s="47"/>
    </row>
    <row r="16" spans="1:13" x14ac:dyDescent="0.25">
      <c r="A16" s="237" t="s">
        <v>33</v>
      </c>
      <c r="B16" s="19"/>
      <c r="C16" s="229">
        <f t="shared" ref="C16:J16" si="4">C11</f>
        <v>2022</v>
      </c>
      <c r="D16" s="229">
        <f t="shared" si="4"/>
        <v>2023</v>
      </c>
      <c r="E16" s="229">
        <f t="shared" si="4"/>
        <v>2024</v>
      </c>
      <c r="F16" s="229">
        <f t="shared" si="4"/>
        <v>2025</v>
      </c>
      <c r="G16" s="229">
        <f t="shared" ref="G16:J16" si="5">G11</f>
        <v>2026</v>
      </c>
      <c r="H16" s="229">
        <f t="shared" si="5"/>
        <v>2027</v>
      </c>
      <c r="I16" s="229">
        <f t="shared" si="5"/>
        <v>2028</v>
      </c>
      <c r="J16" s="229">
        <f t="shared" si="5"/>
        <v>2029</v>
      </c>
      <c r="K16" s="200"/>
      <c r="L16" s="200"/>
      <c r="M16" s="47"/>
    </row>
    <row r="17" spans="1:13" x14ac:dyDescent="0.25">
      <c r="B17" s="4" t="s">
        <v>19</v>
      </c>
      <c r="E17" s="27"/>
      <c r="F17" s="4">
        <f>E20</f>
        <v>1735313</v>
      </c>
      <c r="G17" s="4">
        <f t="shared" ref="G17:J17" si="6">F20</f>
        <v>1699433</v>
      </c>
      <c r="H17" s="4">
        <f t="shared" si="6"/>
        <v>1657637</v>
      </c>
      <c r="I17" s="4">
        <f t="shared" si="6"/>
        <v>1609925</v>
      </c>
      <c r="J17" s="4">
        <f t="shared" si="6"/>
        <v>1556297</v>
      </c>
      <c r="M17" s="47"/>
    </row>
    <row r="18" spans="1:13" x14ac:dyDescent="0.25">
      <c r="B18" s="4" t="s">
        <v>34</v>
      </c>
      <c r="E18" s="27"/>
      <c r="F18" s="4">
        <f>F8</f>
        <v>0</v>
      </c>
      <c r="G18" s="4">
        <f t="shared" ref="G18:J18" si="7">G8</f>
        <v>0</v>
      </c>
      <c r="H18" s="4">
        <f t="shared" si="7"/>
        <v>0</v>
      </c>
      <c r="I18" s="4">
        <f t="shared" si="7"/>
        <v>0</v>
      </c>
      <c r="J18" s="4">
        <f t="shared" si="7"/>
        <v>0</v>
      </c>
      <c r="M18" s="47"/>
    </row>
    <row r="19" spans="1:13" x14ac:dyDescent="0.25">
      <c r="B19" s="4" t="s">
        <v>35</v>
      </c>
      <c r="E19" s="27"/>
      <c r="F19" s="4">
        <f>F9</f>
        <v>-35880</v>
      </c>
      <c r="G19" s="4">
        <f t="shared" ref="G19:J19" si="8">G9</f>
        <v>-41796</v>
      </c>
      <c r="H19" s="4">
        <f t="shared" si="8"/>
        <v>-47712</v>
      </c>
      <c r="I19" s="4">
        <f t="shared" si="8"/>
        <v>-53628</v>
      </c>
      <c r="J19" s="4">
        <f t="shared" si="8"/>
        <v>-59544</v>
      </c>
    </row>
    <row r="20" spans="1:13" x14ac:dyDescent="0.25">
      <c r="B20" s="4" t="s">
        <v>22</v>
      </c>
      <c r="C20" s="10"/>
      <c r="E20" s="27">
        <f>BalSheet!E35</f>
        <v>1735313</v>
      </c>
      <c r="F20" s="4">
        <f>SUM(F17:F19)</f>
        <v>1699433</v>
      </c>
      <c r="G20" s="4">
        <f t="shared" ref="G20:J20" si="9">SUM(G17:G19)</f>
        <v>1657637</v>
      </c>
      <c r="H20" s="4">
        <f t="shared" si="9"/>
        <v>1609925</v>
      </c>
      <c r="I20" s="4">
        <f t="shared" si="9"/>
        <v>1556297</v>
      </c>
      <c r="J20" s="4">
        <f t="shared" si="9"/>
        <v>1496753</v>
      </c>
    </row>
    <row r="21" spans="1:13" x14ac:dyDescent="0.25">
      <c r="B21" s="4" t="s">
        <v>31</v>
      </c>
      <c r="D21" s="48"/>
      <c r="E21" s="27"/>
      <c r="F21" s="8">
        <f>F5</f>
        <v>4.197E-2</v>
      </c>
      <c r="G21" s="8">
        <f t="shared" ref="G21:J21" si="10">G5</f>
        <v>4.197E-2</v>
      </c>
      <c r="H21" s="8">
        <f t="shared" si="10"/>
        <v>4.197E-2</v>
      </c>
      <c r="I21" s="8">
        <f t="shared" si="10"/>
        <v>4.197E-2</v>
      </c>
      <c r="J21" s="8">
        <f t="shared" si="10"/>
        <v>4.197E-2</v>
      </c>
    </row>
    <row r="22" spans="1:13" x14ac:dyDescent="0.25">
      <c r="B22" s="4" t="s">
        <v>32</v>
      </c>
      <c r="E22" s="27"/>
      <c r="F22" s="4">
        <f>F20*-F21</f>
        <v>-71325.203009999997</v>
      </c>
      <c r="G22" s="4">
        <f t="shared" ref="G22:J22" si="11">G20*-G21</f>
        <v>-69571.024890000001</v>
      </c>
      <c r="H22" s="4">
        <f t="shared" si="11"/>
        <v>-67568.552249999993</v>
      </c>
      <c r="I22" s="4">
        <f t="shared" si="11"/>
        <v>-65317.785089999998</v>
      </c>
      <c r="J22" s="4">
        <f t="shared" si="11"/>
        <v>-62818.723409999999</v>
      </c>
    </row>
    <row r="23" spans="1:13" x14ac:dyDescent="0.25">
      <c r="E23" s="27"/>
      <c r="I23" s="4"/>
      <c r="J23" s="4"/>
    </row>
    <row r="24" spans="1:13" x14ac:dyDescent="0.25">
      <c r="A24" s="20" t="s">
        <v>36</v>
      </c>
      <c r="B24" s="42"/>
      <c r="C24" s="229">
        <f>C16</f>
        <v>2022</v>
      </c>
      <c r="D24" s="229">
        <f t="shared" ref="D24:J24" si="12">D16</f>
        <v>2023</v>
      </c>
      <c r="E24" s="229">
        <f t="shared" si="12"/>
        <v>2024</v>
      </c>
      <c r="F24" s="229">
        <f t="shared" si="12"/>
        <v>2025</v>
      </c>
      <c r="G24" s="229">
        <f t="shared" ref="G24:J24" si="13">G16</f>
        <v>2026</v>
      </c>
      <c r="H24" s="229">
        <f t="shared" si="13"/>
        <v>2027</v>
      </c>
      <c r="I24" s="229">
        <f t="shared" si="13"/>
        <v>2028</v>
      </c>
      <c r="J24" s="229">
        <f t="shared" si="13"/>
        <v>2029</v>
      </c>
      <c r="K24" s="200"/>
      <c r="L24" s="200"/>
    </row>
    <row r="25" spans="1:13" x14ac:dyDescent="0.25">
      <c r="A25" s="7"/>
      <c r="B25" s="4" t="s">
        <v>29</v>
      </c>
      <c r="E25" s="27"/>
      <c r="F25" s="4">
        <f ca="1">-F12</f>
        <v>-179564.85164445383</v>
      </c>
      <c r="G25" s="4">
        <f t="shared" ref="G25:J25" ca="1" si="14">G12</f>
        <v>157405.32353783777</v>
      </c>
      <c r="H25" s="4">
        <f t="shared" ca="1" si="14"/>
        <v>103968.27345944053</v>
      </c>
      <c r="I25" s="4">
        <f t="shared" ca="1" si="14"/>
        <v>48754.128217612073</v>
      </c>
      <c r="J25" s="4">
        <f t="shared" ca="1" si="14"/>
        <v>0</v>
      </c>
    </row>
    <row r="26" spans="1:13" x14ac:dyDescent="0.25">
      <c r="A26" s="7"/>
      <c r="B26" s="4" t="s">
        <v>37</v>
      </c>
      <c r="E26" s="27"/>
      <c r="F26" s="4">
        <f>F20</f>
        <v>1699433</v>
      </c>
      <c r="G26" s="4">
        <f t="shared" ref="G26:J26" si="15">G20</f>
        <v>1657637</v>
      </c>
      <c r="H26" s="4">
        <f t="shared" si="15"/>
        <v>1609925</v>
      </c>
      <c r="I26" s="4">
        <f t="shared" si="15"/>
        <v>1556297</v>
      </c>
      <c r="J26" s="4">
        <f t="shared" si="15"/>
        <v>1496753</v>
      </c>
    </row>
    <row r="27" spans="1:13" x14ac:dyDescent="0.25">
      <c r="A27" s="7"/>
      <c r="B27" s="11" t="s">
        <v>38</v>
      </c>
      <c r="D27" s="11"/>
      <c r="E27" s="24"/>
      <c r="F27" s="11">
        <f ca="1">SUM(F25:F26)</f>
        <v>1519868.1483555462</v>
      </c>
      <c r="G27" s="11">
        <f t="shared" ref="G27:J27" ca="1" si="16">SUM(G25:G26)</f>
        <v>1815042.3235378377</v>
      </c>
      <c r="H27" s="11">
        <f t="shared" ca="1" si="16"/>
        <v>1713893.2734594406</v>
      </c>
      <c r="I27" s="11">
        <f t="shared" ca="1" si="16"/>
        <v>1605051.1282176122</v>
      </c>
      <c r="J27" s="11">
        <f t="shared" ca="1" si="16"/>
        <v>1496753</v>
      </c>
      <c r="K27" s="11"/>
      <c r="L27" s="11"/>
    </row>
    <row r="28" spans="1:13" x14ac:dyDescent="0.25">
      <c r="A28" s="7"/>
      <c r="B28" s="4" t="s">
        <v>39</v>
      </c>
      <c r="E28" s="27"/>
      <c r="F28" s="4">
        <f ca="1">SUM(F22,F14)</f>
        <v>-61993.217670037731</v>
      </c>
      <c r="G28" s="4">
        <f t="shared" ref="G28:J28" ca="1" si="17">SUM(G22,G14)</f>
        <v>-61390.67022573857</v>
      </c>
      <c r="H28" s="4">
        <f t="shared" ca="1" si="17"/>
        <v>-62165.321078312867</v>
      </c>
      <c r="I28" s="4">
        <f t="shared" ca="1" si="17"/>
        <v>-62784.033046530698</v>
      </c>
      <c r="J28" s="4">
        <f t="shared" ca="1" si="17"/>
        <v>-62818.723409999999</v>
      </c>
    </row>
    <row r="29" spans="1:13" x14ac:dyDescent="0.25">
      <c r="A29" s="7"/>
      <c r="E29" s="27"/>
      <c r="I29" s="4"/>
      <c r="J29" s="4"/>
    </row>
    <row r="30" spans="1:13" x14ac:dyDescent="0.25">
      <c r="A30" s="20" t="s">
        <v>40</v>
      </c>
      <c r="B30" s="42"/>
      <c r="C30" s="229">
        <f>C11</f>
        <v>2022</v>
      </c>
      <c r="D30" s="229">
        <f t="shared" ref="D30:J30" si="18">D11</f>
        <v>2023</v>
      </c>
      <c r="E30" s="229">
        <f t="shared" si="18"/>
        <v>2024</v>
      </c>
      <c r="F30" s="229">
        <f t="shared" si="18"/>
        <v>2025</v>
      </c>
      <c r="G30" s="229">
        <f t="shared" ref="G30:J30" si="19">G11</f>
        <v>2026</v>
      </c>
      <c r="H30" s="229">
        <f t="shared" si="19"/>
        <v>2027</v>
      </c>
      <c r="I30" s="229">
        <f t="shared" si="19"/>
        <v>2028</v>
      </c>
      <c r="J30" s="229">
        <f t="shared" si="19"/>
        <v>2029</v>
      </c>
      <c r="K30" s="200"/>
      <c r="L30" s="200"/>
    </row>
    <row r="31" spans="1:13" x14ac:dyDescent="0.25">
      <c r="A31" s="7"/>
      <c r="B31" s="4" t="s">
        <v>167</v>
      </c>
      <c r="E31" s="27"/>
      <c r="F31" s="4">
        <f ca="1">BalSheet!F17</f>
        <v>0</v>
      </c>
      <c r="G31" s="4">
        <f ca="1">BalSheet!G17</f>
        <v>0</v>
      </c>
      <c r="H31" s="4">
        <f ca="1">BalSheet!H17</f>
        <v>0</v>
      </c>
      <c r="I31" s="4">
        <f ca="1">BalSheet!I17</f>
        <v>0</v>
      </c>
      <c r="J31" s="4">
        <f ca="1">BalSheet!J17</f>
        <v>8887.9249163419008</v>
      </c>
    </row>
    <row r="32" spans="1:13" x14ac:dyDescent="0.25">
      <c r="B32" s="4" t="s">
        <v>31</v>
      </c>
      <c r="D32" s="48"/>
      <c r="E32" s="23"/>
      <c r="F32" s="5">
        <f>F6</f>
        <v>0.04</v>
      </c>
      <c r="G32" s="5">
        <f t="shared" ref="G32:J32" si="20">G6</f>
        <v>0.04</v>
      </c>
      <c r="H32" s="5">
        <f t="shared" si="20"/>
        <v>0.04</v>
      </c>
      <c r="I32" s="5">
        <f t="shared" si="20"/>
        <v>0.04</v>
      </c>
      <c r="J32" s="5">
        <f t="shared" si="20"/>
        <v>0.04</v>
      </c>
      <c r="K32" s="168"/>
      <c r="L32" s="168"/>
    </row>
    <row r="33" spans="2:10" x14ac:dyDescent="0.25">
      <c r="B33" s="4" t="s">
        <v>40</v>
      </c>
      <c r="E33" s="27"/>
      <c r="F33" s="4">
        <f ca="1">F31*F32</f>
        <v>0</v>
      </c>
      <c r="G33" s="4">
        <f t="shared" ref="G33:J33" ca="1" si="21">G31*G32</f>
        <v>0</v>
      </c>
      <c r="H33" s="4">
        <f t="shared" ca="1" si="21"/>
        <v>0</v>
      </c>
      <c r="I33" s="4">
        <f t="shared" ca="1" si="21"/>
        <v>0</v>
      </c>
      <c r="J33" s="4">
        <f t="shared" ca="1" si="21"/>
        <v>355.51699665367602</v>
      </c>
    </row>
    <row r="34" spans="2:10" x14ac:dyDescent="0.25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0"/>
  <sheetViews>
    <sheetView showGridLines="0" zoomScaleNormal="100" workbookViewId="0">
      <selection activeCell="G38" sqref="G38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30" t="str">
        <f>CoName</f>
        <v>Jack In the Box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10</v>
      </c>
      <c r="B2" s="15"/>
      <c r="C2" s="239">
        <v>2022</v>
      </c>
      <c r="D2" s="239">
        <f>C2+1</f>
        <v>2023</v>
      </c>
      <c r="E2" s="239">
        <f t="shared" ref="E2:J2" si="0">D2+1</f>
        <v>2024</v>
      </c>
      <c r="F2" s="239">
        <f t="shared" si="0"/>
        <v>2025</v>
      </c>
      <c r="G2" s="239">
        <f t="shared" si="0"/>
        <v>2026</v>
      </c>
      <c r="H2" s="239">
        <f t="shared" si="0"/>
        <v>2027</v>
      </c>
      <c r="I2" s="239">
        <f t="shared" si="0"/>
        <v>2028</v>
      </c>
      <c r="J2" s="239">
        <f t="shared" si="0"/>
        <v>2029</v>
      </c>
    </row>
    <row r="3" spans="1:12" x14ac:dyDescent="0.25">
      <c r="A3" s="87"/>
      <c r="C3" s="100"/>
      <c r="D3" s="100"/>
      <c r="E3" s="100"/>
    </row>
    <row r="4" spans="1:12" x14ac:dyDescent="0.25">
      <c r="B4" s="30" t="s">
        <v>42</v>
      </c>
      <c r="C4" s="31"/>
      <c r="D4" s="31"/>
      <c r="E4" s="32"/>
      <c r="F4" s="172">
        <f>Assumptions!F10</f>
        <v>-0.16</v>
      </c>
      <c r="G4" s="172">
        <f>Assumptions!G10</f>
        <v>-1.4999999999999999E-2</v>
      </c>
      <c r="H4" s="172">
        <f>Assumptions!H10</f>
        <v>0.01</v>
      </c>
      <c r="I4" s="172">
        <f>Assumptions!I10</f>
        <v>0.01</v>
      </c>
      <c r="J4" s="172">
        <f>Assumptions!J10</f>
        <v>0.01</v>
      </c>
      <c r="K4" s="205"/>
      <c r="L4" s="205"/>
    </row>
    <row r="5" spans="1:12" x14ac:dyDescent="0.25">
      <c r="B5" s="30" t="s">
        <v>43</v>
      </c>
      <c r="C5" s="31"/>
      <c r="D5" s="31"/>
      <c r="E5" s="31"/>
      <c r="F5" s="172">
        <f>Assumptions!F11</f>
        <v>0.69904525280244589</v>
      </c>
      <c r="G5" s="172">
        <f>Assumptions!G11</f>
        <v>0.69904525280244589</v>
      </c>
      <c r="H5" s="172">
        <f>Assumptions!H11</f>
        <v>0.69904525280244589</v>
      </c>
      <c r="I5" s="172">
        <f>Assumptions!I11</f>
        <v>0.69904525280244589</v>
      </c>
      <c r="J5" s="172">
        <f>Assumptions!J11</f>
        <v>0.69904525280244589</v>
      </c>
      <c r="K5" s="205"/>
      <c r="L5" s="205"/>
    </row>
    <row r="6" spans="1:12" x14ac:dyDescent="0.25">
      <c r="B6" s="30" t="s">
        <v>44</v>
      </c>
      <c r="C6" s="31"/>
      <c r="D6" s="31"/>
      <c r="E6" s="31"/>
      <c r="F6" s="172">
        <f>Assumptions!F12</f>
        <v>0.14493166830649154</v>
      </c>
      <c r="G6" s="172">
        <f>Assumptions!G12</f>
        <v>0.14493166830649154</v>
      </c>
      <c r="H6" s="172">
        <f>Assumptions!H12</f>
        <v>0.14493166830649154</v>
      </c>
      <c r="I6" s="172">
        <f>Assumptions!I12</f>
        <v>0.14493166830649154</v>
      </c>
      <c r="J6" s="172">
        <f>Assumptions!J12</f>
        <v>0.14493166830649154</v>
      </c>
      <c r="K6" s="205"/>
      <c r="L6" s="205"/>
    </row>
    <row r="7" spans="1:12" x14ac:dyDescent="0.25">
      <c r="A7" s="87"/>
      <c r="B7" s="4" t="s">
        <v>45</v>
      </c>
      <c r="C7" s="30"/>
      <c r="D7" s="30"/>
      <c r="E7" s="30"/>
      <c r="F7" s="173">
        <f>Assumptions!F13</f>
        <v>0</v>
      </c>
      <c r="G7" s="173">
        <f>Assumptions!G13</f>
        <v>0</v>
      </c>
      <c r="H7" s="173">
        <f>Assumptions!H13</f>
        <v>0</v>
      </c>
      <c r="I7" s="173">
        <f>Assumptions!I13</f>
        <v>0</v>
      </c>
      <c r="J7" s="173">
        <f>Assumptions!J13</f>
        <v>0</v>
      </c>
      <c r="K7" s="206"/>
      <c r="L7" s="206"/>
    </row>
    <row r="8" spans="1:12" x14ac:dyDescent="0.25">
      <c r="A8" s="87"/>
      <c r="B8" s="4" t="s">
        <v>46</v>
      </c>
      <c r="C8" s="30"/>
      <c r="D8" s="30"/>
      <c r="E8" s="30"/>
      <c r="F8" s="174">
        <f>Assumptions!F14</f>
        <v>0</v>
      </c>
      <c r="G8" s="174">
        <f>Assumptions!G14</f>
        <v>0</v>
      </c>
      <c r="H8" s="174">
        <f>Assumptions!H14</f>
        <v>0</v>
      </c>
      <c r="I8" s="174">
        <f>Assumptions!I14</f>
        <v>0</v>
      </c>
      <c r="J8" s="174">
        <f>Assumptions!J14</f>
        <v>0</v>
      </c>
      <c r="K8" s="207"/>
      <c r="L8" s="207"/>
    </row>
    <row r="9" spans="1:12" x14ac:dyDescent="0.25">
      <c r="B9" s="4" t="s">
        <v>144</v>
      </c>
      <c r="F9" s="174">
        <f>Assumptions!F15</f>
        <v>0</v>
      </c>
      <c r="G9" s="174">
        <f>Assumptions!G15</f>
        <v>0</v>
      </c>
      <c r="H9" s="174">
        <f>Assumptions!H15</f>
        <v>0</v>
      </c>
      <c r="I9" s="174">
        <f>Assumptions!I15</f>
        <v>0</v>
      </c>
      <c r="J9" s="174">
        <f>Assumptions!J15</f>
        <v>0</v>
      </c>
      <c r="K9" s="207"/>
      <c r="L9" s="207"/>
    </row>
    <row r="10" spans="1:12" x14ac:dyDescent="0.25">
      <c r="B10" s="30" t="s">
        <v>47</v>
      </c>
      <c r="C10" s="43"/>
      <c r="D10" s="43"/>
      <c r="E10" s="43"/>
      <c r="F10" s="172">
        <f>Assumptions!F16</f>
        <v>0.23</v>
      </c>
      <c r="G10" s="172">
        <f>Assumptions!G16</f>
        <v>0.23</v>
      </c>
      <c r="H10" s="172">
        <f>Assumptions!H16</f>
        <v>0.23</v>
      </c>
      <c r="I10" s="172">
        <f>Assumptions!I16</f>
        <v>0.23</v>
      </c>
      <c r="J10" s="172">
        <f>Assumptions!J16</f>
        <v>0.23</v>
      </c>
      <c r="K10" s="205"/>
      <c r="L10" s="205"/>
    </row>
    <row r="11" spans="1:12" x14ac:dyDescent="0.25">
      <c r="B11" s="4" t="s">
        <v>48</v>
      </c>
      <c r="C11" s="30"/>
      <c r="D11" s="30"/>
      <c r="E11" s="39"/>
      <c r="F11" s="174">
        <f>Assumptions!F17</f>
        <v>19622.994652406414</v>
      </c>
      <c r="G11" s="174">
        <f>Assumptions!G17</f>
        <v>19622.994652406414</v>
      </c>
      <c r="H11" s="174">
        <f>Assumptions!H17</f>
        <v>19622.994652406414</v>
      </c>
      <c r="I11" s="174">
        <f>Assumptions!I17</f>
        <v>19622.994652406414</v>
      </c>
      <c r="J11" s="174">
        <f>Assumptions!J17</f>
        <v>19622.994652406414</v>
      </c>
      <c r="K11" s="207"/>
      <c r="L11" s="207"/>
    </row>
    <row r="12" spans="1:12" x14ac:dyDescent="0.25">
      <c r="B12" s="4" t="s">
        <v>49</v>
      </c>
      <c r="C12" s="30"/>
      <c r="D12" s="30"/>
      <c r="E12" s="39"/>
      <c r="F12" s="174">
        <f>Assumptions!F18</f>
        <v>19622.994652406414</v>
      </c>
      <c r="G12" s="174">
        <f>Assumptions!G18</f>
        <v>19622.994652406414</v>
      </c>
      <c r="H12" s="174">
        <f>Assumptions!H18</f>
        <v>19622.994652406414</v>
      </c>
      <c r="I12" s="174">
        <f>Assumptions!I18</f>
        <v>19622.994652406414</v>
      </c>
      <c r="J12" s="174">
        <f>Assumptions!J18</f>
        <v>19622.994652406414</v>
      </c>
      <c r="K12" s="207"/>
      <c r="L12" s="207"/>
    </row>
    <row r="13" spans="1:12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4.85" customHeight="1" x14ac:dyDescent="0.25">
      <c r="A14" s="175" t="s">
        <v>41</v>
      </c>
      <c r="B14" s="176"/>
      <c r="C14" s="151">
        <f>C34</f>
        <v>44926</v>
      </c>
      <c r="D14" s="151">
        <f t="shared" ref="D14:J14" si="1">D34</f>
        <v>45291</v>
      </c>
      <c r="E14" s="151">
        <f t="shared" si="1"/>
        <v>45657</v>
      </c>
      <c r="F14" s="151">
        <f t="shared" si="1"/>
        <v>46022</v>
      </c>
      <c r="G14" s="151">
        <f t="shared" si="1"/>
        <v>46022</v>
      </c>
      <c r="H14" s="151">
        <f t="shared" si="1"/>
        <v>46022</v>
      </c>
      <c r="I14" s="151">
        <f t="shared" si="1"/>
        <v>46022</v>
      </c>
      <c r="J14" s="151">
        <f t="shared" si="1"/>
        <v>46022</v>
      </c>
      <c r="K14" s="203"/>
      <c r="L14" s="203"/>
    </row>
    <row r="15" spans="1:12" x14ac:dyDescent="0.25">
      <c r="B15" s="4" t="s">
        <v>50</v>
      </c>
      <c r="C15" s="98">
        <v>1468083</v>
      </c>
      <c r="D15" s="124">
        <v>1692306</v>
      </c>
      <c r="E15" s="22">
        <v>1571306</v>
      </c>
      <c r="F15" s="4">
        <f>E15*(1+F4)</f>
        <v>1319897.04</v>
      </c>
      <c r="G15" s="4">
        <f t="shared" ref="G15:J15" si="2">F15*(1+G4)</f>
        <v>1300098.5844000001</v>
      </c>
      <c r="H15" s="4">
        <f t="shared" si="2"/>
        <v>1313099.5702440001</v>
      </c>
      <c r="I15" s="4">
        <f t="shared" si="2"/>
        <v>1326230.56594644</v>
      </c>
      <c r="J15" s="4">
        <f t="shared" si="2"/>
        <v>1339492.8716059043</v>
      </c>
    </row>
    <row r="16" spans="1:12" x14ac:dyDescent="0.25">
      <c r="B16" s="4" t="s">
        <v>156</v>
      </c>
      <c r="C16" s="124">
        <f>216345+232250+135803+215609+16490+218272</f>
        <v>1034769</v>
      </c>
      <c r="D16" s="124">
        <f>250836+274598+163273+229602+12328+253533</f>
        <v>1184170</v>
      </c>
      <c r="E16" s="22">
        <f>199271+238047+139305+245379+17281+259131</f>
        <v>1098414</v>
      </c>
      <c r="F16" s="170">
        <f>F15*F5</f>
        <v>922667.76</v>
      </c>
      <c r="G16" s="170">
        <f t="shared" ref="G16:J16" si="3">G15*G5</f>
        <v>908827.74360000005</v>
      </c>
      <c r="H16" s="170">
        <f t="shared" si="3"/>
        <v>917916.02103600011</v>
      </c>
      <c r="I16" s="170">
        <f t="shared" si="3"/>
        <v>927095.18124636007</v>
      </c>
      <c r="J16" s="170">
        <f t="shared" si="3"/>
        <v>936366.13305882353</v>
      </c>
      <c r="K16" s="204"/>
      <c r="L16" s="204"/>
    </row>
    <row r="17" spans="1:12" x14ac:dyDescent="0.25">
      <c r="B17" s="4" t="s">
        <v>51</v>
      </c>
      <c r="C17" s="124">
        <f>130823+56100+1110+889-3878</f>
        <v>185044</v>
      </c>
      <c r="D17" s="124">
        <f>172872+62287+1385+10837-17998</f>
        <v>229383</v>
      </c>
      <c r="E17" s="22">
        <f>143233+59776+3182+24796-3255</f>
        <v>227732</v>
      </c>
      <c r="F17" s="170">
        <f>F15*F6</f>
        <v>191294.88</v>
      </c>
      <c r="G17" s="170">
        <f t="shared" ref="G17:J17" si="4">G15*G6</f>
        <v>188425.45680000001</v>
      </c>
      <c r="H17" s="170">
        <f t="shared" si="4"/>
        <v>190309.71136800002</v>
      </c>
      <c r="I17" s="170">
        <f t="shared" si="4"/>
        <v>192212.80848168</v>
      </c>
      <c r="J17" s="170">
        <f t="shared" si="4"/>
        <v>194134.93656649679</v>
      </c>
      <c r="K17" s="204"/>
      <c r="L17" s="204"/>
    </row>
    <row r="18" spans="1:12" s="11" customFormat="1" x14ac:dyDescent="0.25">
      <c r="A18" s="11" t="s">
        <v>124</v>
      </c>
      <c r="B18" s="17" t="s">
        <v>54</v>
      </c>
      <c r="C18" s="18">
        <f>C15-SUM(C16:C17)</f>
        <v>248270</v>
      </c>
      <c r="D18" s="18">
        <f>D15-SUM(D16:D17)</f>
        <v>278753</v>
      </c>
      <c r="E18" s="18">
        <f>E15-SUM(E16:E17)</f>
        <v>245160</v>
      </c>
      <c r="F18" s="18">
        <f>F15-SUM(F16:F17)</f>
        <v>205934.39999999991</v>
      </c>
      <c r="G18" s="18">
        <f t="shared" ref="G18:J18" si="5">G15-SUM(G16:G17)</f>
        <v>202845.38400000008</v>
      </c>
      <c r="H18" s="18">
        <f t="shared" si="5"/>
        <v>204873.83783999993</v>
      </c>
      <c r="I18" s="18">
        <f t="shared" si="5"/>
        <v>206922.57621839992</v>
      </c>
      <c r="J18" s="18">
        <f t="shared" si="5"/>
        <v>208991.80198058393</v>
      </c>
    </row>
    <row r="19" spans="1:12" s="11" customFormat="1" x14ac:dyDescent="0.25">
      <c r="E19" s="35"/>
    </row>
    <row r="20" spans="1:12" s="11" customFormat="1" x14ac:dyDescent="0.25">
      <c r="B20" s="4" t="s">
        <v>15</v>
      </c>
      <c r="C20" s="125">
        <v>56100</v>
      </c>
      <c r="D20" s="125">
        <v>62287</v>
      </c>
      <c r="E20" s="25">
        <v>59776</v>
      </c>
      <c r="F20" s="4">
        <f>Calcs!F8</f>
        <v>60784.728361475143</v>
      </c>
      <c r="G20" s="4">
        <f>Calcs!G8</f>
        <v>61980.966222434676</v>
      </c>
      <c r="H20" s="4">
        <f>Calcs!H8</f>
        <v>62874.895979898327</v>
      </c>
      <c r="I20" s="4">
        <f>Calcs!I8</f>
        <v>63551.83201583691</v>
      </c>
      <c r="J20" s="4">
        <f>Calcs!J8</f>
        <v>64014.898855662876</v>
      </c>
      <c r="K20" s="4"/>
      <c r="L20" s="4"/>
    </row>
    <row r="21" spans="1:12" s="11" customFormat="1" x14ac:dyDescent="0.25">
      <c r="B21" s="4" t="s">
        <v>53</v>
      </c>
      <c r="C21" s="98">
        <v>0</v>
      </c>
      <c r="D21" s="98">
        <v>0</v>
      </c>
      <c r="E21" s="126">
        <v>0</v>
      </c>
      <c r="F21" s="4">
        <f>F7</f>
        <v>0</v>
      </c>
      <c r="G21" s="4">
        <f t="shared" ref="G21:J21" si="6">G7</f>
        <v>0</v>
      </c>
      <c r="H21" s="4">
        <f t="shared" si="6"/>
        <v>0</v>
      </c>
      <c r="I21" s="4">
        <f t="shared" si="6"/>
        <v>0</v>
      </c>
      <c r="J21" s="4">
        <f t="shared" si="6"/>
        <v>0</v>
      </c>
      <c r="K21" s="4"/>
      <c r="L21" s="4"/>
    </row>
    <row r="22" spans="1:12" s="129" customFormat="1" x14ac:dyDescent="0.25">
      <c r="A22" s="129" t="s">
        <v>124</v>
      </c>
      <c r="B22" s="130" t="s">
        <v>52</v>
      </c>
      <c r="C22" s="131">
        <f>SUM(C18,C20:C21)</f>
        <v>304370</v>
      </c>
      <c r="D22" s="131">
        <f t="shared" ref="D22:F22" si="7">SUM(D18,D20:D21)</f>
        <v>341040</v>
      </c>
      <c r="E22" s="131">
        <f t="shared" si="7"/>
        <v>304936</v>
      </c>
      <c r="F22" s="131">
        <f t="shared" si="7"/>
        <v>266719.12836147507</v>
      </c>
      <c r="G22" s="131">
        <f t="shared" ref="G22:J22" si="8">SUM(G18,G20:G21)</f>
        <v>264826.35022243473</v>
      </c>
      <c r="H22" s="131">
        <f t="shared" si="8"/>
        <v>267748.73381989828</v>
      </c>
      <c r="I22" s="131">
        <f t="shared" si="8"/>
        <v>270474.40823423682</v>
      </c>
      <c r="J22" s="131">
        <f t="shared" si="8"/>
        <v>273006.70083624683</v>
      </c>
    </row>
    <row r="23" spans="1:12" s="11" customFormat="1" x14ac:dyDescent="0.25">
      <c r="C23" s="13"/>
      <c r="D23" s="4"/>
      <c r="E23" s="36"/>
      <c r="F23" s="4"/>
      <c r="G23" s="4"/>
      <c r="H23" s="4"/>
      <c r="I23" s="4"/>
      <c r="J23" s="4"/>
      <c r="K23" s="13"/>
      <c r="L23" s="13"/>
    </row>
    <row r="24" spans="1:12" s="11" customFormat="1" x14ac:dyDescent="0.25">
      <c r="B24" s="4" t="s">
        <v>55</v>
      </c>
      <c r="C24" s="96">
        <v>0</v>
      </c>
      <c r="D24" s="96">
        <v>0</v>
      </c>
      <c r="E24" s="97">
        <v>-162624</v>
      </c>
      <c r="F24" s="4">
        <f>F8</f>
        <v>0</v>
      </c>
      <c r="G24" s="4">
        <f t="shared" ref="G24:J24" si="9">G8</f>
        <v>0</v>
      </c>
      <c r="H24" s="4">
        <f t="shared" si="9"/>
        <v>0</v>
      </c>
      <c r="I24" s="4">
        <f t="shared" si="9"/>
        <v>0</v>
      </c>
      <c r="J24" s="4">
        <f t="shared" si="9"/>
        <v>0</v>
      </c>
      <c r="K24" s="4"/>
      <c r="L24" s="4"/>
    </row>
    <row r="25" spans="1:12" s="11" customFormat="1" x14ac:dyDescent="0.25">
      <c r="B25" s="4" t="s">
        <v>56</v>
      </c>
      <c r="C25" s="96">
        <v>-303</v>
      </c>
      <c r="D25" s="96">
        <v>-6967</v>
      </c>
      <c r="E25" s="97">
        <v>-6843</v>
      </c>
      <c r="F25" s="4">
        <f>F9</f>
        <v>0</v>
      </c>
      <c r="G25" s="4">
        <f t="shared" ref="G25:J25" si="10">G9</f>
        <v>0</v>
      </c>
      <c r="H25" s="4">
        <f t="shared" si="10"/>
        <v>0</v>
      </c>
      <c r="I25" s="4">
        <f t="shared" si="10"/>
        <v>0</v>
      </c>
      <c r="J25" s="4">
        <f t="shared" si="10"/>
        <v>0</v>
      </c>
      <c r="K25" s="4"/>
      <c r="L25" s="4"/>
    </row>
    <row r="26" spans="1:12" s="11" customFormat="1" x14ac:dyDescent="0.25">
      <c r="B26" s="4"/>
      <c r="C26" s="10"/>
      <c r="D26" s="10"/>
      <c r="E26" s="22"/>
      <c r="F26" s="4"/>
      <c r="G26" s="4"/>
      <c r="H26" s="4"/>
      <c r="I26" s="4"/>
      <c r="J26" s="4"/>
      <c r="K26" s="4"/>
      <c r="L26" s="4"/>
    </row>
    <row r="27" spans="1:12" s="11" customFormat="1" x14ac:dyDescent="0.25">
      <c r="B27" s="4" t="s">
        <v>40</v>
      </c>
      <c r="C27" s="9"/>
      <c r="D27" s="9"/>
      <c r="E27" s="45"/>
      <c r="F27" s="254">
        <f ca="1">IF(circ=1,Debt!F33,0)</f>
        <v>0</v>
      </c>
      <c r="G27" s="254">
        <f ca="1">IF(circ=1,Debt!G33,0)</f>
        <v>0</v>
      </c>
      <c r="H27" s="254">
        <f ca="1">IF(circ=1,Debt!H33,0)</f>
        <v>0</v>
      </c>
      <c r="I27" s="254">
        <f ca="1">IF(circ=1,Debt!I33,0)</f>
        <v>0</v>
      </c>
      <c r="J27" s="254">
        <f ca="1">IF(circ=1,Debt!J33,0)</f>
        <v>355.51699665367602</v>
      </c>
      <c r="K27" s="180"/>
      <c r="L27" s="180"/>
    </row>
    <row r="28" spans="1:12" x14ac:dyDescent="0.25">
      <c r="B28" s="4" t="s">
        <v>32</v>
      </c>
      <c r="C28" s="9">
        <v>-86075</v>
      </c>
      <c r="D28" s="9">
        <v>-82446</v>
      </c>
      <c r="E28" s="45">
        <v>-80016</v>
      </c>
      <c r="F28" s="254">
        <f ca="1">IF(circ=1,Debt!F28,0)</f>
        <v>-61993.217670037731</v>
      </c>
      <c r="G28" s="254">
        <f ca="1">IF(circ=1,Debt!G28,0)</f>
        <v>-61390.67022573857</v>
      </c>
      <c r="H28" s="254">
        <f ca="1">IF(circ=1,Debt!H28,0)</f>
        <v>-62165.321078312867</v>
      </c>
      <c r="I28" s="254">
        <f ca="1">IF(circ=1,Debt!I28,0)</f>
        <v>-62784.033046530698</v>
      </c>
      <c r="J28" s="254">
        <f ca="1">IF(circ=1,Debt!J28,0)</f>
        <v>-62818.723409999999</v>
      </c>
      <c r="K28" s="180"/>
      <c r="L28" s="180"/>
    </row>
    <row r="29" spans="1:12" x14ac:dyDescent="0.25">
      <c r="C29" s="10"/>
      <c r="D29" s="10"/>
      <c r="E29" s="22"/>
      <c r="H29" s="4"/>
    </row>
    <row r="30" spans="1:12" s="11" customFormat="1" x14ac:dyDescent="0.25">
      <c r="A30" s="11" t="s">
        <v>124</v>
      </c>
      <c r="B30" s="17" t="s">
        <v>84</v>
      </c>
      <c r="C30" s="18">
        <f t="shared" ref="C30:D30" si="11">C18+SUM(C25:C28)</f>
        <v>161892</v>
      </c>
      <c r="D30" s="18">
        <f t="shared" si="11"/>
        <v>189340</v>
      </c>
      <c r="E30" s="18">
        <f>E18+SUM(E24:E28)</f>
        <v>-4323</v>
      </c>
      <c r="F30" s="18">
        <f ca="1">F18+SUM(F24:F28)</f>
        <v>143941.18232996218</v>
      </c>
      <c r="G30" s="18">
        <f t="shared" ref="G30:J30" ca="1" si="12">G18+SUM(G24:G28)</f>
        <v>141454.7137742615</v>
      </c>
      <c r="H30" s="18">
        <f t="shared" ca="1" si="12"/>
        <v>142708.51676168706</v>
      </c>
      <c r="I30" s="18">
        <f t="shared" ca="1" si="12"/>
        <v>144138.54317186921</v>
      </c>
      <c r="J30" s="18">
        <f t="shared" ca="1" si="12"/>
        <v>146528.59556723761</v>
      </c>
    </row>
    <row r="31" spans="1:12" x14ac:dyDescent="0.25">
      <c r="E31" s="37"/>
      <c r="H31" s="4"/>
    </row>
    <row r="32" spans="1:12" x14ac:dyDescent="0.25">
      <c r="B32" s="4" t="s">
        <v>57</v>
      </c>
      <c r="C32" s="133">
        <v>46111</v>
      </c>
      <c r="D32" s="4">
        <v>58514</v>
      </c>
      <c r="E32" s="59">
        <v>32372</v>
      </c>
      <c r="F32" s="4">
        <f ca="1">F10*F30</f>
        <v>33106.471935891299</v>
      </c>
      <c r="G32" s="4">
        <f t="shared" ref="G32:J32" ca="1" si="13">G10*G30</f>
        <v>32534.584168080146</v>
      </c>
      <c r="H32" s="4">
        <f t="shared" ca="1" si="13"/>
        <v>32822.958855188022</v>
      </c>
      <c r="I32" s="4">
        <f t="shared" ca="1" si="13"/>
        <v>33151.864929529918</v>
      </c>
      <c r="J32" s="4">
        <f t="shared" ca="1" si="13"/>
        <v>33701.576980464655</v>
      </c>
    </row>
    <row r="33" spans="1:12" s="11" customFormat="1" x14ac:dyDescent="0.25">
      <c r="A33" s="11" t="s">
        <v>124</v>
      </c>
      <c r="B33" s="17" t="s">
        <v>58</v>
      </c>
      <c r="C33" s="18">
        <f>C30-C32</f>
        <v>115781</v>
      </c>
      <c r="D33" s="34">
        <f t="shared" ref="D33:F33" si="14">D30-D32</f>
        <v>130826</v>
      </c>
      <c r="E33" s="18">
        <f t="shared" si="14"/>
        <v>-36695</v>
      </c>
      <c r="F33" s="18">
        <f t="shared" ca="1" si="14"/>
        <v>110834.71039407088</v>
      </c>
      <c r="G33" s="18">
        <f t="shared" ref="G33:J33" ca="1" si="15">G30-G32</f>
        <v>108920.12960618135</v>
      </c>
      <c r="H33" s="18">
        <f t="shared" ca="1" si="15"/>
        <v>109885.55790649905</v>
      </c>
      <c r="I33" s="18">
        <f t="shared" ca="1" si="15"/>
        <v>110986.67824233929</v>
      </c>
      <c r="J33" s="18">
        <f t="shared" ca="1" si="15"/>
        <v>112827.01858677296</v>
      </c>
    </row>
    <row r="34" spans="1:12" x14ac:dyDescent="0.25">
      <c r="A34" s="20" t="s">
        <v>59</v>
      </c>
      <c r="B34" s="19"/>
      <c r="C34" s="55">
        <v>44926</v>
      </c>
      <c r="D34" s="55">
        <v>45291</v>
      </c>
      <c r="E34" s="55">
        <v>45657</v>
      </c>
      <c r="F34" s="55">
        <v>46022</v>
      </c>
      <c r="G34" s="55">
        <v>46022</v>
      </c>
      <c r="H34" s="55">
        <v>46022</v>
      </c>
      <c r="I34" s="55">
        <v>46022</v>
      </c>
      <c r="J34" s="55">
        <v>46022</v>
      </c>
      <c r="K34" s="200"/>
      <c r="L34" s="200"/>
    </row>
    <row r="35" spans="1:12" x14ac:dyDescent="0.25">
      <c r="B35" s="4" t="s">
        <v>48</v>
      </c>
      <c r="C35" s="124">
        <f>C33/C37</f>
        <v>21205.311355311354</v>
      </c>
      <c r="D35" s="124">
        <f>D33/D37</f>
        <v>20602.51968503937</v>
      </c>
      <c r="E35" s="22">
        <f>E33/E37</f>
        <v>19622.994652406414</v>
      </c>
      <c r="F35" s="171">
        <f>F11</f>
        <v>19622.994652406414</v>
      </c>
      <c r="G35" s="171">
        <f t="shared" ref="G35:J35" si="16">G11</f>
        <v>19622.994652406414</v>
      </c>
      <c r="H35" s="171">
        <f t="shared" si="16"/>
        <v>19622.994652406414</v>
      </c>
      <c r="I35" s="171">
        <f t="shared" si="16"/>
        <v>19622.994652406414</v>
      </c>
      <c r="J35" s="171">
        <f t="shared" si="16"/>
        <v>19622.994652406414</v>
      </c>
      <c r="K35" s="204"/>
      <c r="L35" s="204"/>
    </row>
    <row r="36" spans="1:12" x14ac:dyDescent="0.25">
      <c r="B36" s="4" t="s">
        <v>49</v>
      </c>
      <c r="C36" s="124">
        <f>C33/C38</f>
        <v>21244.220183486239</v>
      </c>
      <c r="D36" s="124">
        <f>D33/D38</f>
        <v>20766.031746031746</v>
      </c>
      <c r="E36" s="22">
        <f>E33/E38</f>
        <v>19622.994652406414</v>
      </c>
      <c r="F36" s="171">
        <f>F12</f>
        <v>19622.994652406414</v>
      </c>
      <c r="G36" s="171">
        <f t="shared" ref="G36:J36" si="17">G12</f>
        <v>19622.994652406414</v>
      </c>
      <c r="H36" s="171">
        <f t="shared" si="17"/>
        <v>19622.994652406414</v>
      </c>
      <c r="I36" s="171">
        <f t="shared" si="17"/>
        <v>19622.994652406414</v>
      </c>
      <c r="J36" s="171">
        <f t="shared" si="17"/>
        <v>19622.994652406414</v>
      </c>
      <c r="K36" s="204"/>
      <c r="L36" s="204"/>
    </row>
    <row r="37" spans="1:12" x14ac:dyDescent="0.25">
      <c r="B37" s="4" t="s">
        <v>60</v>
      </c>
      <c r="C37" s="178">
        <v>5.46</v>
      </c>
      <c r="D37" s="178">
        <v>6.35</v>
      </c>
      <c r="E37" s="179">
        <v>-1.87</v>
      </c>
      <c r="F37" s="170">
        <f ca="1">F33/F35</f>
        <v>5.6482057075054524</v>
      </c>
      <c r="G37" s="170">
        <f t="shared" ref="G37:J37" ca="1" si="18">G33/G35</f>
        <v>5.5506374809526955</v>
      </c>
      <c r="H37" s="170">
        <f t="shared" ca="1" si="18"/>
        <v>5.599836306994229</v>
      </c>
      <c r="I37" s="170">
        <f t="shared" ca="1" si="18"/>
        <v>5.6559500834766183</v>
      </c>
      <c r="J37" s="170">
        <f t="shared" ca="1" si="18"/>
        <v>5.7497349709024519</v>
      </c>
      <c r="K37" s="204"/>
      <c r="L37" s="204"/>
    </row>
    <row r="38" spans="1:12" s="11" customFormat="1" x14ac:dyDescent="0.25">
      <c r="A38" s="11" t="s">
        <v>124</v>
      </c>
      <c r="B38" s="17" t="s">
        <v>61</v>
      </c>
      <c r="C38" s="177">
        <v>5.45</v>
      </c>
      <c r="D38" s="177">
        <v>6.3</v>
      </c>
      <c r="E38" s="177">
        <v>-1.87</v>
      </c>
      <c r="F38" s="177">
        <f ca="1">F33/F36</f>
        <v>5.6482057075054524</v>
      </c>
      <c r="G38" s="177">
        <f t="shared" ref="G38:J38" ca="1" si="19">G33/G36</f>
        <v>5.5506374809526955</v>
      </c>
      <c r="H38" s="177">
        <f t="shared" ca="1" si="19"/>
        <v>5.599836306994229</v>
      </c>
      <c r="I38" s="177">
        <f t="shared" ca="1" si="19"/>
        <v>5.6559500834766183</v>
      </c>
      <c r="J38" s="177">
        <f t="shared" ca="1" si="19"/>
        <v>5.7497349709024519</v>
      </c>
      <c r="K38" s="208"/>
      <c r="L38" s="208"/>
    </row>
    <row r="39" spans="1:12" x14ac:dyDescent="0.25">
      <c r="C39" s="14"/>
      <c r="D39" s="14"/>
      <c r="E39" s="38"/>
      <c r="F39" s="14"/>
      <c r="G39" s="14"/>
      <c r="H39" s="14"/>
      <c r="I39" s="14"/>
      <c r="J39" s="14"/>
    </row>
    <row r="40" spans="1:12" x14ac:dyDescent="0.25">
      <c r="D40" s="14"/>
      <c r="E40" s="14"/>
      <c r="F40" s="14"/>
    </row>
  </sheetData>
  <conditionalFormatting sqref="F4:L12">
    <cfRule type="expression" dxfId="1" priority="35">
      <formula>$E$11&gt;1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5"/>
  <sheetViews>
    <sheetView showGridLines="0" zoomScaleNormal="100" workbookViewId="0">
      <selection activeCell="G30" sqref="G30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30" t="str">
        <f>CoName</f>
        <v>Jack In the Box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10</v>
      </c>
      <c r="B2" s="64"/>
      <c r="C2" s="240">
        <v>2022</v>
      </c>
      <c r="D2" s="240">
        <f>C2+1</f>
        <v>2023</v>
      </c>
      <c r="E2" s="240">
        <f t="shared" ref="E2:J2" si="0">D2+1</f>
        <v>2024</v>
      </c>
      <c r="F2" s="240">
        <f t="shared" si="0"/>
        <v>2025</v>
      </c>
      <c r="G2" s="240">
        <f t="shared" si="0"/>
        <v>2026</v>
      </c>
      <c r="H2" s="240">
        <f t="shared" si="0"/>
        <v>2027</v>
      </c>
      <c r="I2" s="240">
        <f t="shared" si="0"/>
        <v>2028</v>
      </c>
      <c r="J2" s="240">
        <f t="shared" si="0"/>
        <v>2029</v>
      </c>
      <c r="K2" s="209"/>
      <c r="L2" s="209"/>
    </row>
    <row r="3" spans="1:12" x14ac:dyDescent="0.25">
      <c r="K3" s="6"/>
      <c r="L3" s="6"/>
    </row>
    <row r="4" spans="1:12" x14ac:dyDescent="0.25">
      <c r="B4" s="4" t="s">
        <v>139</v>
      </c>
      <c r="C4" s="43"/>
      <c r="D4" s="43"/>
      <c r="E4" s="44"/>
      <c r="F4" s="103">
        <f>Assumptions!F37</f>
        <v>0.01</v>
      </c>
      <c r="G4" s="103">
        <f>F4</f>
        <v>0.01</v>
      </c>
      <c r="H4" s="103">
        <f t="shared" ref="H4:J4" si="1">G4</f>
        <v>0.01</v>
      </c>
      <c r="I4" s="103">
        <f t="shared" si="1"/>
        <v>0.01</v>
      </c>
      <c r="J4" s="103">
        <f t="shared" si="1"/>
        <v>0.01</v>
      </c>
      <c r="K4" s="167"/>
      <c r="L4" s="167"/>
    </row>
    <row r="5" spans="1:12" x14ac:dyDescent="0.25">
      <c r="B5" s="4" t="s">
        <v>152</v>
      </c>
      <c r="C5" s="43"/>
      <c r="D5" s="43"/>
      <c r="E5" s="44"/>
      <c r="F5" s="103">
        <f>Assumptions!F38</f>
        <v>5.3183148285566272E-2</v>
      </c>
      <c r="G5" s="103">
        <f>Assumptions!G38</f>
        <v>5.3183148285566272E-2</v>
      </c>
      <c r="H5" s="103">
        <f>Assumptions!H38</f>
        <v>5.3183148285566272E-2</v>
      </c>
      <c r="I5" s="103">
        <f>Assumptions!I38</f>
        <v>5.3183148285566272E-2</v>
      </c>
      <c r="J5" s="103">
        <f>Assumptions!J38</f>
        <v>5.3183148285566272E-2</v>
      </c>
      <c r="K5" s="167"/>
      <c r="L5" s="167"/>
    </row>
    <row r="6" spans="1:12" x14ac:dyDescent="0.25">
      <c r="B6" s="4" t="s">
        <v>63</v>
      </c>
      <c r="C6" s="43"/>
      <c r="D6" s="43"/>
      <c r="E6" s="44"/>
      <c r="F6" s="103">
        <f>Assumptions!F39</f>
        <v>3.5706027053551757E-3</v>
      </c>
      <c r="G6" s="103">
        <f>Assumptions!G39</f>
        <v>3.5706027053551757E-3</v>
      </c>
      <c r="H6" s="103">
        <f>Assumptions!H39</f>
        <v>3.5706027053551757E-3</v>
      </c>
      <c r="I6" s="103">
        <f>Assumptions!I39</f>
        <v>3.5706027053551757E-3</v>
      </c>
      <c r="J6" s="103">
        <f>Assumptions!J39</f>
        <v>3.5706027053551757E-3</v>
      </c>
      <c r="K6" s="167"/>
      <c r="L6" s="167"/>
    </row>
    <row r="7" spans="1:12" x14ac:dyDescent="0.25">
      <c r="B7" s="4" t="s">
        <v>64</v>
      </c>
      <c r="C7" s="43"/>
      <c r="D7" s="43"/>
      <c r="E7" s="44"/>
      <c r="F7" s="103">
        <f>Assumptions!F40</f>
        <v>4.393988185623933E-2</v>
      </c>
      <c r="G7" s="103">
        <f>Assumptions!G40</f>
        <v>4.393988185623933E-2</v>
      </c>
      <c r="H7" s="103">
        <f>Assumptions!H40</f>
        <v>4.393988185623933E-2</v>
      </c>
      <c r="I7" s="103">
        <f>Assumptions!I40</f>
        <v>4.393988185623933E-2</v>
      </c>
      <c r="J7" s="103">
        <f>Assumptions!J40</f>
        <v>4.393988185623933E-2</v>
      </c>
      <c r="K7" s="167"/>
      <c r="L7" s="167"/>
    </row>
    <row r="8" spans="1:12" x14ac:dyDescent="0.25">
      <c r="A8" s="7"/>
      <c r="C8" s="30"/>
      <c r="D8" s="30"/>
      <c r="E8" s="30"/>
      <c r="F8" s="104"/>
      <c r="G8" s="104"/>
      <c r="H8" s="104"/>
      <c r="I8" s="104"/>
      <c r="J8" s="104"/>
      <c r="K8" s="167"/>
      <c r="L8" s="167"/>
    </row>
    <row r="9" spans="1:12" x14ac:dyDescent="0.25">
      <c r="B9" s="4" t="s">
        <v>65</v>
      </c>
      <c r="C9" s="43"/>
      <c r="D9" s="43"/>
      <c r="E9" s="44"/>
      <c r="F9" s="103">
        <f>Assumptions!F42</f>
        <v>0.16483485711885526</v>
      </c>
      <c r="G9" s="103">
        <f>Assumptions!G42</f>
        <v>0.16483485711885526</v>
      </c>
      <c r="H9" s="103">
        <f>Assumptions!H42</f>
        <v>0.16483485711885526</v>
      </c>
      <c r="I9" s="103">
        <f>Assumptions!I42</f>
        <v>0.16483485711885526</v>
      </c>
      <c r="J9" s="103">
        <f>Assumptions!J42</f>
        <v>0.16483485711885526</v>
      </c>
      <c r="K9" s="167"/>
      <c r="L9" s="167"/>
    </row>
    <row r="10" spans="1:12" x14ac:dyDescent="0.25">
      <c r="C10" s="30"/>
      <c r="D10" s="30"/>
      <c r="E10" s="30"/>
      <c r="F10" s="104"/>
      <c r="G10" s="104"/>
      <c r="H10" s="104"/>
      <c r="I10" s="104"/>
      <c r="J10" s="104"/>
      <c r="K10" s="167"/>
      <c r="L10" s="167"/>
    </row>
    <row r="11" spans="1:12" x14ac:dyDescent="0.25">
      <c r="B11" s="4" t="s">
        <v>151</v>
      </c>
      <c r="C11" s="43"/>
      <c r="D11" s="43"/>
      <c r="E11" s="44"/>
      <c r="F11" s="103">
        <f>Assumptions!F46</f>
        <v>0.21518480281569607</v>
      </c>
      <c r="G11" s="103">
        <f>Assumptions!G46</f>
        <v>0.21518480281569607</v>
      </c>
      <c r="H11" s="103">
        <f>Assumptions!H46</f>
        <v>0.21518480281569607</v>
      </c>
      <c r="I11" s="103">
        <f>Assumptions!I46</f>
        <v>0.21518480281569607</v>
      </c>
      <c r="J11" s="103">
        <f>Assumptions!J46</f>
        <v>0.21518480281569607</v>
      </c>
      <c r="K11" s="167"/>
      <c r="L11" s="167"/>
    </row>
    <row r="12" spans="1:12" x14ac:dyDescent="0.25">
      <c r="B12" s="4" t="s">
        <v>66</v>
      </c>
      <c r="C12" s="43"/>
      <c r="D12" s="43"/>
      <c r="E12" s="26"/>
      <c r="F12" s="103">
        <f>Assumptions!F47</f>
        <v>0.10310976983477438</v>
      </c>
      <c r="G12" s="103">
        <f>Assumptions!G47</f>
        <v>0.10310976983477438</v>
      </c>
      <c r="H12" s="103">
        <f>Assumptions!H47</f>
        <v>0.10310976983477438</v>
      </c>
      <c r="I12" s="103">
        <f>Assumptions!I47</f>
        <v>0.10310976983477438</v>
      </c>
      <c r="J12" s="103">
        <f>Assumptions!J47</f>
        <v>0.10310976983477438</v>
      </c>
      <c r="K12" s="167"/>
      <c r="L12" s="167"/>
    </row>
    <row r="13" spans="1:12" x14ac:dyDescent="0.25">
      <c r="B13" s="4" t="s">
        <v>67</v>
      </c>
      <c r="C13" s="43"/>
      <c r="D13" s="43"/>
      <c r="E13" s="44"/>
      <c r="F13" s="232">
        <f>Assumptions!F48</f>
        <v>0.92517625465695419</v>
      </c>
      <c r="G13" s="232">
        <f>Assumptions!G48</f>
        <v>0.92517625465695419</v>
      </c>
      <c r="H13" s="232">
        <f>Assumptions!H48</f>
        <v>0.92517625465695419</v>
      </c>
      <c r="I13" s="232">
        <f>Assumptions!I48</f>
        <v>0.92517625465695419</v>
      </c>
      <c r="J13" s="232">
        <f>Assumptions!J48</f>
        <v>0.92517625465695419</v>
      </c>
      <c r="K13" s="167"/>
      <c r="L13" s="167"/>
    </row>
    <row r="14" spans="1:12" x14ac:dyDescent="0.25">
      <c r="C14" s="43"/>
      <c r="D14" s="43"/>
      <c r="E14" s="43"/>
      <c r="F14" s="104"/>
      <c r="G14" s="104"/>
      <c r="H14" s="104"/>
      <c r="I14" s="104"/>
      <c r="J14" s="104"/>
      <c r="K14" s="167"/>
      <c r="L14" s="167"/>
    </row>
    <row r="15" spans="1:12" ht="15" customHeight="1" x14ac:dyDescent="0.25">
      <c r="A15" s="175" t="s">
        <v>62</v>
      </c>
      <c r="B15" s="176"/>
      <c r="C15" s="229">
        <f>C2</f>
        <v>2022</v>
      </c>
      <c r="D15" s="229">
        <f>D2</f>
        <v>2023</v>
      </c>
      <c r="E15" s="229">
        <f>E2</f>
        <v>2024</v>
      </c>
      <c r="F15" s="229">
        <f>F2</f>
        <v>2025</v>
      </c>
      <c r="G15" s="229">
        <f>G2</f>
        <v>2026</v>
      </c>
      <c r="H15" s="229">
        <f>H2</f>
        <v>2027</v>
      </c>
      <c r="I15" s="229">
        <f>I2</f>
        <v>2028</v>
      </c>
      <c r="J15" s="229">
        <f>J2</f>
        <v>2029</v>
      </c>
      <c r="K15" s="203"/>
      <c r="L15" s="203"/>
    </row>
    <row r="16" spans="1:12" x14ac:dyDescent="0.25">
      <c r="B16" s="4" t="s">
        <v>157</v>
      </c>
      <c r="C16" s="253">
        <f>1%*IncState!C15</f>
        <v>14680.83</v>
      </c>
      <c r="D16" s="253">
        <f>1%*IncState!D15</f>
        <v>16923.060000000001</v>
      </c>
      <c r="E16" s="183">
        <f>1%*IncState!E15</f>
        <v>15713.06</v>
      </c>
      <c r="F16" s="4">
        <f>F4*IncState!F15</f>
        <v>13198.9704</v>
      </c>
      <c r="G16" s="4">
        <f>G4*IncState!G15</f>
        <v>13000.985844000001</v>
      </c>
      <c r="H16" s="4">
        <f>H4*IncState!H15</f>
        <v>13130.995702440001</v>
      </c>
      <c r="I16" s="4">
        <f>I4*IncState!I15</f>
        <v>13262.3056594644</v>
      </c>
      <c r="J16" s="4">
        <f>J4*IncState!J15</f>
        <v>13394.928716059043</v>
      </c>
    </row>
    <row r="17" spans="1:12" x14ac:dyDescent="0.25">
      <c r="B17" s="4" t="s">
        <v>158</v>
      </c>
      <c r="C17" s="182">
        <f>108890-C16</f>
        <v>94209.17</v>
      </c>
      <c r="D17" s="182">
        <f>157653-D16</f>
        <v>140729.94</v>
      </c>
      <c r="E17" s="183">
        <f>24745-E16</f>
        <v>9031.94</v>
      </c>
      <c r="F17" s="4">
        <f ca="1">MAX(CashFlow!F22,0)</f>
        <v>0</v>
      </c>
      <c r="G17" s="4">
        <f ca="1">MAX(CashFlow!G22,0)</f>
        <v>0</v>
      </c>
      <c r="H17" s="4">
        <f ca="1">MAX(CashFlow!H22,0)</f>
        <v>0</v>
      </c>
      <c r="I17" s="4">
        <f ca="1">MAX(CashFlow!I22,0)</f>
        <v>0</v>
      </c>
      <c r="J17" s="4">
        <f ca="1">MAX(CashFlow!J22,0)</f>
        <v>8887.9249163419008</v>
      </c>
    </row>
    <row r="18" spans="1:12" x14ac:dyDescent="0.25">
      <c r="B18" s="4" t="s">
        <v>68</v>
      </c>
      <c r="C18" s="184">
        <v>103803</v>
      </c>
      <c r="D18" s="184">
        <v>99678</v>
      </c>
      <c r="E18" s="185">
        <v>83567</v>
      </c>
      <c r="F18" s="4">
        <f>F5*IncState!F15</f>
        <v>70196.28</v>
      </c>
      <c r="G18" s="4">
        <f>G5*IncState!G15</f>
        <v>69143.335800000001</v>
      </c>
      <c r="H18" s="4">
        <f>H5*IncState!H15</f>
        <v>69834.769157999996</v>
      </c>
      <c r="I18" s="4">
        <f>I5*IncState!I15</f>
        <v>70533.116849579994</v>
      </c>
      <c r="J18" s="4">
        <f>J5*IncState!J15</f>
        <v>71238.448018075796</v>
      </c>
    </row>
    <row r="19" spans="1:12" x14ac:dyDescent="0.25">
      <c r="B19" s="4" t="s">
        <v>69</v>
      </c>
      <c r="C19" s="184">
        <v>5264</v>
      </c>
      <c r="D19" s="184">
        <v>3896</v>
      </c>
      <c r="E19" s="185">
        <v>3922</v>
      </c>
      <c r="F19" s="4">
        <f>F6*IncState!F16</f>
        <v>3294.48</v>
      </c>
      <c r="G19" s="4">
        <f>G6*IncState!G16</f>
        <v>3245.0628000000002</v>
      </c>
      <c r="H19" s="4">
        <f>H6*IncState!H16</f>
        <v>3277.5134280000002</v>
      </c>
      <c r="I19" s="4">
        <f>I6*IncState!I16</f>
        <v>3310.2885622800004</v>
      </c>
      <c r="J19" s="4">
        <f>J6*IncState!J16</f>
        <v>3343.3914479027999</v>
      </c>
    </row>
    <row r="20" spans="1:12" x14ac:dyDescent="0.25">
      <c r="B20" s="4" t="s">
        <v>70</v>
      </c>
      <c r="C20" s="184">
        <f>16095+17019+4772+27150</f>
        <v>65036</v>
      </c>
      <c r="D20" s="184">
        <f>16911+13925+5667+28254</f>
        <v>64757</v>
      </c>
      <c r="E20" s="185">
        <f>29422+13126+16493+10002</f>
        <v>69043</v>
      </c>
      <c r="F20" s="4">
        <f>F7*IncState!F15</f>
        <v>57996.119999999995</v>
      </c>
      <c r="G20" s="4">
        <f>G7*IncState!G15</f>
        <v>57126.178200000002</v>
      </c>
      <c r="H20" s="4">
        <f>H7*IncState!H15</f>
        <v>57697.439981999996</v>
      </c>
      <c r="I20" s="4">
        <f>I7*IncState!I15</f>
        <v>58274.414381819995</v>
      </c>
      <c r="J20" s="4">
        <f>J7*IncState!J15</f>
        <v>58857.158525638195</v>
      </c>
    </row>
    <row r="21" spans="1:12" s="11" customFormat="1" x14ac:dyDescent="0.25">
      <c r="B21" s="11" t="s">
        <v>71</v>
      </c>
      <c r="C21" s="11">
        <f>SUM(C16:C20)</f>
        <v>282993</v>
      </c>
      <c r="D21" s="11">
        <f>SUM(D16:D20)</f>
        <v>325984</v>
      </c>
      <c r="E21" s="24">
        <f t="shared" ref="E21" si="2">SUM(E16:E20)</f>
        <v>181277</v>
      </c>
      <c r="F21" s="11">
        <f ca="1">SUM(F16:F20)</f>
        <v>144685.8504</v>
      </c>
      <c r="G21" s="11">
        <f t="shared" ref="G21:J21" ca="1" si="3">SUM(G16:G20)</f>
        <v>142515.56264399999</v>
      </c>
      <c r="H21" s="11">
        <f t="shared" ca="1" si="3"/>
        <v>143940.71827044</v>
      </c>
      <c r="I21" s="11">
        <f t="shared" ca="1" si="3"/>
        <v>145380.12545314437</v>
      </c>
      <c r="J21" s="11">
        <f t="shared" ca="1" si="3"/>
        <v>155721.85162401776</v>
      </c>
    </row>
    <row r="22" spans="1:12" x14ac:dyDescent="0.25">
      <c r="A22" s="7"/>
      <c r="E22" s="27"/>
      <c r="I22" s="4"/>
      <c r="J22" s="4"/>
    </row>
    <row r="23" spans="1:12" x14ac:dyDescent="0.25">
      <c r="B23" s="4" t="s">
        <v>72</v>
      </c>
      <c r="C23" s="184">
        <f>418164+1332135</f>
        <v>1750299</v>
      </c>
      <c r="D23" s="184">
        <f>412030+1397555</f>
        <v>1809585</v>
      </c>
      <c r="E23" s="185">
        <f>430039+1410083</f>
        <v>1840122</v>
      </c>
      <c r="F23" s="4">
        <f>Calcs!F9</f>
        <v>1876335.4316385249</v>
      </c>
      <c r="G23" s="4">
        <f>Calcs!G9</f>
        <v>1903397.16009409</v>
      </c>
      <c r="H23" s="4">
        <f>Calcs!H9</f>
        <v>1923889.8878877517</v>
      </c>
      <c r="I23" s="4">
        <f>Calcs!I9</f>
        <v>1937908.2030534782</v>
      </c>
      <c r="J23" s="4">
        <f>Calcs!J9</f>
        <v>1945541.6884931647</v>
      </c>
    </row>
    <row r="24" spans="1:12" x14ac:dyDescent="0.25">
      <c r="B24" s="4" t="s">
        <v>159</v>
      </c>
      <c r="C24" s="184">
        <f>12324+283500+366821</f>
        <v>662645</v>
      </c>
      <c r="D24" s="184">
        <f>11330+283500+329986</f>
        <v>624816</v>
      </c>
      <c r="E24" s="185">
        <f>10515+283500+161209</f>
        <v>455224</v>
      </c>
      <c r="F24" s="132">
        <f>E24-IncState!F21</f>
        <v>455224</v>
      </c>
      <c r="G24" s="132">
        <f>F24-IncState!G21</f>
        <v>455224</v>
      </c>
      <c r="H24" s="132">
        <f>G24-IncState!H21</f>
        <v>455224</v>
      </c>
      <c r="I24" s="132">
        <f>H24-IncState!I21</f>
        <v>455224</v>
      </c>
      <c r="J24" s="132">
        <f>I24-IncState!J21</f>
        <v>455224</v>
      </c>
      <c r="K24" s="132"/>
      <c r="L24" s="132"/>
    </row>
    <row r="25" spans="1:12" x14ac:dyDescent="0.25">
      <c r="B25" s="4" t="s">
        <v>160</v>
      </c>
      <c r="C25" s="184">
        <v>226569</v>
      </c>
      <c r="D25" s="184">
        <v>240707</v>
      </c>
      <c r="E25" s="185">
        <v>259006</v>
      </c>
      <c r="F25" s="4">
        <f>F9*IncState!F15</f>
        <v>217565.03999999998</v>
      </c>
      <c r="G25" s="4">
        <f>G9*IncState!G15</f>
        <v>214301.5644</v>
      </c>
      <c r="H25" s="4">
        <f>H9*IncState!H15</f>
        <v>216444.580044</v>
      </c>
      <c r="I25" s="4">
        <f>I9*IncState!I15</f>
        <v>218609.02584443998</v>
      </c>
      <c r="J25" s="4">
        <f>J9*IncState!J15</f>
        <v>220795.11610288438</v>
      </c>
    </row>
    <row r="26" spans="1:12" s="11" customFormat="1" x14ac:dyDescent="0.25">
      <c r="B26" s="11" t="s">
        <v>73</v>
      </c>
      <c r="C26" s="11">
        <f>SUM(C23:C25)</f>
        <v>2639513</v>
      </c>
      <c r="D26" s="11">
        <f>SUM(D23:D25)</f>
        <v>2675108</v>
      </c>
      <c r="E26" s="24">
        <f>SUM(E23:E25)</f>
        <v>2554352</v>
      </c>
      <c r="F26" s="11">
        <f>SUM(F23:F25)</f>
        <v>2549124.4716385249</v>
      </c>
      <c r="G26" s="11">
        <f t="shared" ref="G26:J26" si="4">SUM(G23:G25)</f>
        <v>2572922.7244940898</v>
      </c>
      <c r="H26" s="11">
        <f t="shared" si="4"/>
        <v>2595558.4679317516</v>
      </c>
      <c r="I26" s="11">
        <f t="shared" si="4"/>
        <v>2611741.228897918</v>
      </c>
      <c r="J26" s="11">
        <f t="shared" si="4"/>
        <v>2621560.8045960492</v>
      </c>
    </row>
    <row r="27" spans="1:12" x14ac:dyDescent="0.25">
      <c r="E27" s="27"/>
      <c r="I27" s="4"/>
      <c r="J27" s="4"/>
    </row>
    <row r="28" spans="1:12" s="11" customFormat="1" x14ac:dyDescent="0.25">
      <c r="A28" s="11" t="s">
        <v>124</v>
      </c>
      <c r="B28" s="17" t="s">
        <v>74</v>
      </c>
      <c r="C28" s="18">
        <f>SUM(C26,C21)</f>
        <v>2922506</v>
      </c>
      <c r="D28" s="18">
        <f>SUM(D26,D21)</f>
        <v>3001092</v>
      </c>
      <c r="E28" s="18">
        <f>SUM(E26,E21)</f>
        <v>2735629</v>
      </c>
      <c r="F28" s="18">
        <f ca="1">SUM(F26,F21)</f>
        <v>2693810.3220385248</v>
      </c>
      <c r="G28" s="18">
        <f t="shared" ref="G28:J28" ca="1" si="5">SUM(G26,G21)</f>
        <v>2715438.28713809</v>
      </c>
      <c r="H28" s="18">
        <f t="shared" ca="1" si="5"/>
        <v>2739499.1862021917</v>
      </c>
      <c r="I28" s="18">
        <f t="shared" ca="1" si="5"/>
        <v>2757121.3543510623</v>
      </c>
      <c r="J28" s="18">
        <f t="shared" ca="1" si="5"/>
        <v>2777282.6562200668</v>
      </c>
    </row>
    <row r="29" spans="1:12" x14ac:dyDescent="0.25">
      <c r="A29" s="11"/>
      <c r="E29" s="27"/>
      <c r="I29" s="4"/>
      <c r="J29" s="4"/>
      <c r="K29" s="6"/>
      <c r="L29" s="6"/>
    </row>
    <row r="30" spans="1:12" x14ac:dyDescent="0.25">
      <c r="B30" s="4" t="s">
        <v>75</v>
      </c>
      <c r="C30" s="9">
        <v>0</v>
      </c>
      <c r="D30" s="9">
        <v>0</v>
      </c>
      <c r="E30" s="45">
        <v>0</v>
      </c>
      <c r="F30" s="4">
        <f ca="1">-MIN(CashFlow!F22,0)</f>
        <v>179564.85164445383</v>
      </c>
      <c r="G30" s="4">
        <f ca="1">MIN(CashFlow!G22,0)*-1</f>
        <v>157405.32353783777</v>
      </c>
      <c r="H30" s="4">
        <f ca="1">MIN(CashFlow!H22,0)*-1</f>
        <v>103968.27345944053</v>
      </c>
      <c r="I30" s="4">
        <f ca="1">MIN(CashFlow!I22,0)*-1</f>
        <v>48754.128217612073</v>
      </c>
      <c r="J30" s="4">
        <f ca="1">MIN(CashFlow!J22,0)*-1</f>
        <v>0</v>
      </c>
    </row>
    <row r="31" spans="1:12" x14ac:dyDescent="0.25">
      <c r="B31" s="4" t="s">
        <v>150</v>
      </c>
      <c r="C31" s="184">
        <f>66271+253932</f>
        <v>320203</v>
      </c>
      <c r="D31" s="9">
        <f>84960+302178</f>
        <v>387138</v>
      </c>
      <c r="E31" s="45">
        <f>69494+166868</f>
        <v>236362</v>
      </c>
      <c r="F31" s="4">
        <f>F11*IncState!F16</f>
        <v>198544.08</v>
      </c>
      <c r="G31" s="4">
        <f>G11*IncState!G16</f>
        <v>195565.91880000001</v>
      </c>
      <c r="H31" s="4">
        <f>H11*IncState!H16</f>
        <v>197521.577988</v>
      </c>
      <c r="I31" s="4">
        <f>I11*IncState!I16</f>
        <v>199496.79376788001</v>
      </c>
      <c r="J31" s="4">
        <f>J11*IncState!J16</f>
        <v>201491.76170555878</v>
      </c>
    </row>
    <row r="32" spans="1:12" x14ac:dyDescent="0.25">
      <c r="B32" s="4" t="s">
        <v>76</v>
      </c>
      <c r="C32" s="184">
        <v>171311</v>
      </c>
      <c r="D32" s="9">
        <f>142518</f>
        <v>142518</v>
      </c>
      <c r="E32" s="45">
        <f>162017</f>
        <v>162017</v>
      </c>
      <c r="F32" s="4">
        <f>F12*IncState!F15</f>
        <v>136094.28</v>
      </c>
      <c r="G32" s="4">
        <f>G12*IncState!G15</f>
        <v>134052.8658</v>
      </c>
      <c r="H32" s="4">
        <f>H12*IncState!H15</f>
        <v>135393.394458</v>
      </c>
      <c r="I32" s="4">
        <f>I12*IncState!I15</f>
        <v>136747.32840257999</v>
      </c>
      <c r="J32" s="4">
        <f>J12*IncState!J15</f>
        <v>138114.80168660579</v>
      </c>
    </row>
    <row r="33" spans="1:12" s="11" customFormat="1" x14ac:dyDescent="0.25">
      <c r="B33" s="11" t="s">
        <v>77</v>
      </c>
      <c r="C33" s="11">
        <f t="shared" ref="C33:E33" si="6">SUM(C30:C32)</f>
        <v>491514</v>
      </c>
      <c r="D33" s="11">
        <f t="shared" si="6"/>
        <v>529656</v>
      </c>
      <c r="E33" s="24">
        <f t="shared" si="6"/>
        <v>398379</v>
      </c>
      <c r="F33" s="11">
        <f ca="1">SUM(F30:F32)</f>
        <v>514203.21164445381</v>
      </c>
      <c r="G33" s="11">
        <f t="shared" ref="G33:J33" ca="1" si="7">SUM(G30:G32)</f>
        <v>487024.10813783784</v>
      </c>
      <c r="H33" s="11">
        <f t="shared" ca="1" si="7"/>
        <v>436883.24590544053</v>
      </c>
      <c r="I33" s="11">
        <f t="shared" ca="1" si="7"/>
        <v>384998.25038807211</v>
      </c>
      <c r="J33" s="11">
        <f t="shared" ca="1" si="7"/>
        <v>339606.56339216453</v>
      </c>
    </row>
    <row r="34" spans="1:12" x14ac:dyDescent="0.25">
      <c r="B34" s="11"/>
      <c r="E34" s="27"/>
      <c r="I34" s="4"/>
      <c r="J34" s="4"/>
    </row>
    <row r="35" spans="1:12" x14ac:dyDescent="0.25">
      <c r="B35" s="4" t="s">
        <v>78</v>
      </c>
      <c r="C35" s="184">
        <f>30169+1799540</f>
        <v>1829709</v>
      </c>
      <c r="D35" s="9">
        <f>1724933+29964</f>
        <v>1754897</v>
      </c>
      <c r="E35" s="45">
        <f>1699433+35880</f>
        <v>1735313</v>
      </c>
      <c r="F35" s="4">
        <f>Debt!F20</f>
        <v>1699433</v>
      </c>
      <c r="G35" s="4">
        <f>Debt!G20</f>
        <v>1657637</v>
      </c>
      <c r="H35" s="4">
        <f>Debt!H20</f>
        <v>1609925</v>
      </c>
      <c r="I35" s="4">
        <f>Debt!I20</f>
        <v>1556297</v>
      </c>
      <c r="J35" s="4">
        <f>Debt!J20</f>
        <v>1496753</v>
      </c>
    </row>
    <row r="36" spans="1:12" x14ac:dyDescent="0.25">
      <c r="B36" s="4" t="s">
        <v>79</v>
      </c>
      <c r="C36" s="184">
        <f>1165097+37683+134694</f>
        <v>1337474</v>
      </c>
      <c r="D36" s="9">
        <f>1265514+26229+143123</f>
        <v>1434866</v>
      </c>
      <c r="E36" s="45">
        <f>1286415+13612+153708</f>
        <v>1453735</v>
      </c>
      <c r="F36" s="4">
        <f>F13*IncState!F15</f>
        <v>1221137.4000000001</v>
      </c>
      <c r="G36" s="4">
        <f>G13*IncState!G15</f>
        <v>1202820.3390000002</v>
      </c>
      <c r="H36" s="4">
        <f>H13*IncState!H15</f>
        <v>1214848.5423900001</v>
      </c>
      <c r="I36" s="4">
        <f>I13*IncState!I15</f>
        <v>1226997.0278139</v>
      </c>
      <c r="J36" s="4">
        <f>J13*IncState!J15</f>
        <v>1239266.998092039</v>
      </c>
    </row>
    <row r="37" spans="1:12" x14ac:dyDescent="0.25">
      <c r="B37" s="11" t="s">
        <v>80</v>
      </c>
      <c r="C37" s="11">
        <f t="shared" ref="C37:E37" si="8">SUM(C35:C36)</f>
        <v>3167183</v>
      </c>
      <c r="D37" s="11">
        <f t="shared" si="8"/>
        <v>3189763</v>
      </c>
      <c r="E37" s="24">
        <f t="shared" si="8"/>
        <v>3189048</v>
      </c>
      <c r="F37" s="11">
        <f>SUM(F35:F36)</f>
        <v>2920570.4000000004</v>
      </c>
      <c r="G37" s="11">
        <f t="shared" ref="G37:J37" si="9">SUM(G35:G36)</f>
        <v>2860457.3390000002</v>
      </c>
      <c r="H37" s="11">
        <f t="shared" si="9"/>
        <v>2824773.5423900001</v>
      </c>
      <c r="I37" s="11">
        <f t="shared" si="9"/>
        <v>2783294.0278139003</v>
      </c>
      <c r="J37" s="11">
        <f t="shared" si="9"/>
        <v>2736019.998092039</v>
      </c>
      <c r="K37" s="11"/>
      <c r="L37" s="11"/>
    </row>
    <row r="38" spans="1:12" x14ac:dyDescent="0.25">
      <c r="E38" s="27"/>
      <c r="I38" s="4"/>
      <c r="J38" s="4"/>
    </row>
    <row r="39" spans="1:12" x14ac:dyDescent="0.25">
      <c r="B39" s="4" t="s">
        <v>17</v>
      </c>
      <c r="C39" s="186">
        <v>-736191</v>
      </c>
      <c r="D39" s="186">
        <v>-718327</v>
      </c>
      <c r="E39" s="214">
        <v>-851798</v>
      </c>
      <c r="F39" s="4">
        <f ca="1">Calcs!F16</f>
        <v>-740963.28960592917</v>
      </c>
      <c r="G39" s="4">
        <f ca="1">Calcs!G16</f>
        <v>-632043.15999974776</v>
      </c>
      <c r="H39" s="4">
        <f ca="1">Calcs!H16</f>
        <v>-522157.60209324874</v>
      </c>
      <c r="I39" s="4">
        <f ca="1">Calcs!I16</f>
        <v>-411170.92385090946</v>
      </c>
      <c r="J39" s="4">
        <f ca="1">Calcs!J16</f>
        <v>-298343.9052641365</v>
      </c>
    </row>
    <row r="40" spans="1:12" s="11" customFormat="1" x14ac:dyDescent="0.25">
      <c r="A40" s="11" t="s">
        <v>124</v>
      </c>
      <c r="B40" s="17" t="s">
        <v>81</v>
      </c>
      <c r="C40" s="18">
        <f>SUM(C39,C37,C33)</f>
        <v>2922506</v>
      </c>
      <c r="D40" s="18">
        <f>SUM(D39,D37,D33)</f>
        <v>3001092</v>
      </c>
      <c r="E40" s="18">
        <f t="shared" ref="E40:F40" si="10">SUM(E39,E37,E33)</f>
        <v>2735629</v>
      </c>
      <c r="F40" s="18">
        <f t="shared" ca="1" si="10"/>
        <v>2693810.3220385252</v>
      </c>
      <c r="G40" s="18">
        <f t="shared" ref="G40:J40" ca="1" si="11">SUM(G39,G37,G33)</f>
        <v>2715438.2871380905</v>
      </c>
      <c r="H40" s="18">
        <f t="shared" ca="1" si="11"/>
        <v>2739499.1862021917</v>
      </c>
      <c r="I40" s="18">
        <f t="shared" ca="1" si="11"/>
        <v>2757121.3543510633</v>
      </c>
      <c r="J40" s="18">
        <f t="shared" ca="1" si="11"/>
        <v>2777282.6562200673</v>
      </c>
    </row>
    <row r="41" spans="1:12" x14ac:dyDescent="0.25">
      <c r="E41" s="27"/>
      <c r="I41" s="4"/>
      <c r="J41" s="4"/>
      <c r="K41" s="6"/>
      <c r="L41" s="6"/>
    </row>
    <row r="42" spans="1:12" x14ac:dyDescent="0.25">
      <c r="A42" s="4" t="s">
        <v>124</v>
      </c>
      <c r="B42" s="11" t="s">
        <v>82</v>
      </c>
      <c r="C42" s="46">
        <f>C40-C28</f>
        <v>0</v>
      </c>
      <c r="D42" s="46">
        <f t="shared" ref="D42:J42" si="12">D40-D28</f>
        <v>0</v>
      </c>
      <c r="E42" s="152">
        <f t="shared" si="12"/>
        <v>0</v>
      </c>
      <c r="F42" s="46">
        <f t="shared" ca="1" si="12"/>
        <v>0</v>
      </c>
      <c r="G42" s="46">
        <f t="shared" ref="G42:J42" ca="1" si="13">G40-G28</f>
        <v>0</v>
      </c>
      <c r="H42" s="46">
        <f t="shared" ca="1" si="13"/>
        <v>0</v>
      </c>
      <c r="I42" s="46">
        <f t="shared" ca="1" si="13"/>
        <v>0</v>
      </c>
      <c r="J42" s="46">
        <f t="shared" ca="1" si="13"/>
        <v>0</v>
      </c>
      <c r="K42" s="46"/>
      <c r="L42" s="46"/>
    </row>
    <row r="43" spans="1:12" x14ac:dyDescent="0.25">
      <c r="I43" s="4"/>
      <c r="J43" s="4"/>
    </row>
    <row r="44" spans="1:12" x14ac:dyDescent="0.25">
      <c r="H44" s="6"/>
    </row>
    <row r="45" spans="1:12" x14ac:dyDescent="0.25">
      <c r="H45" s="6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</sheetData>
  <conditionalFormatting sqref="F4:L14">
    <cfRule type="expression" dxfId="0" priority="36">
      <formula>$E$13&gt;1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2"/>
  <sheetViews>
    <sheetView showGridLines="0" zoomScaleNormal="100" workbookViewId="0">
      <selection activeCell="G20" sqref="G20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30" t="str">
        <f>CoName</f>
        <v>Jack In the Box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x14ac:dyDescent="0.25">
      <c r="A2" s="175" t="s">
        <v>83</v>
      </c>
      <c r="B2" s="176"/>
      <c r="C2" s="181">
        <v>2022</v>
      </c>
      <c r="D2" s="181">
        <f>C2+1</f>
        <v>2023</v>
      </c>
      <c r="E2" s="181">
        <f t="shared" ref="E2:J2" si="0">D2+1</f>
        <v>2024</v>
      </c>
      <c r="F2" s="181">
        <f t="shared" si="0"/>
        <v>2025</v>
      </c>
      <c r="G2" s="181">
        <f t="shared" si="0"/>
        <v>2026</v>
      </c>
      <c r="H2" s="181">
        <f t="shared" si="0"/>
        <v>2027</v>
      </c>
      <c r="I2" s="181">
        <f t="shared" si="0"/>
        <v>2028</v>
      </c>
      <c r="J2" s="181">
        <f t="shared" si="0"/>
        <v>2029</v>
      </c>
      <c r="K2" s="203"/>
      <c r="L2" s="203"/>
    </row>
    <row r="3" spans="1:12" x14ac:dyDescent="0.25">
      <c r="B3" s="4" t="s">
        <v>155</v>
      </c>
      <c r="F3" s="4">
        <f ca="1">IncState!F33</f>
        <v>110834.71039407088</v>
      </c>
      <c r="G3" s="4">
        <f ca="1">IncState!G33</f>
        <v>108920.12960618135</v>
      </c>
      <c r="H3" s="4">
        <f ca="1">IncState!H33</f>
        <v>109885.55790649905</v>
      </c>
      <c r="I3" s="4">
        <f ca="1">IncState!I33</f>
        <v>110986.67824233929</v>
      </c>
      <c r="J3" s="4">
        <f ca="1">IncState!J33</f>
        <v>112827.01858677296</v>
      </c>
    </row>
    <row r="4" spans="1:12" x14ac:dyDescent="0.25">
      <c r="B4" s="4" t="s">
        <v>15</v>
      </c>
      <c r="F4" s="4">
        <f>IncState!F20</f>
        <v>60784.728361475143</v>
      </c>
      <c r="G4" s="4">
        <f>IncState!G20</f>
        <v>61980.966222434676</v>
      </c>
      <c r="H4" s="4">
        <f>IncState!H20</f>
        <v>62874.895979898327</v>
      </c>
      <c r="I4" s="4">
        <f>IncState!I20</f>
        <v>63551.83201583691</v>
      </c>
      <c r="J4" s="4">
        <f>IncState!J20</f>
        <v>64014.898855662876</v>
      </c>
    </row>
    <row r="5" spans="1:12" x14ac:dyDescent="0.25">
      <c r="B5" s="4" t="s">
        <v>53</v>
      </c>
      <c r="F5" s="4">
        <f>IncState!F21</f>
        <v>0</v>
      </c>
      <c r="G5" s="4">
        <f>IncState!G21</f>
        <v>0</v>
      </c>
      <c r="H5" s="4">
        <f>IncState!H21</f>
        <v>0</v>
      </c>
      <c r="I5" s="4">
        <f>IncState!I21</f>
        <v>0</v>
      </c>
      <c r="J5" s="4">
        <f>IncState!J21</f>
        <v>0</v>
      </c>
    </row>
    <row r="6" spans="1:12" x14ac:dyDescent="0.25">
      <c r="B6" s="4" t="s">
        <v>89</v>
      </c>
      <c r="F6" s="4">
        <f>Calcs!F25</f>
        <v>-36181.430400000012</v>
      </c>
      <c r="G6" s="4">
        <f>Calcs!G25</f>
        <v>-2849.2876439999673</v>
      </c>
      <c r="H6" s="4">
        <f>Calcs!H25</f>
        <v>1871.0322195599438</v>
      </c>
      <c r="I6" s="4">
        <f>Calcs!I25</f>
        <v>1889.742541755666</v>
      </c>
      <c r="J6" s="4">
        <f>Calcs!J25</f>
        <v>1908.6399671730469</v>
      </c>
    </row>
    <row r="7" spans="1:12" x14ac:dyDescent="0.25">
      <c r="B7" s="4" t="s">
        <v>182</v>
      </c>
      <c r="F7" s="4">
        <f>BalSheet!E25-BalSheet!F25</f>
        <v>41440.960000000021</v>
      </c>
      <c r="G7" s="4">
        <f>BalSheet!F25-BalSheet!G25</f>
        <v>3263.4755999999761</v>
      </c>
      <c r="H7" s="4">
        <f>BalSheet!G25-BalSheet!H25</f>
        <v>-2143.0156439999992</v>
      </c>
      <c r="I7" s="4">
        <f>BalSheet!H25-BalSheet!I25</f>
        <v>-2164.4458004399785</v>
      </c>
      <c r="J7" s="4">
        <f>BalSheet!I25-BalSheet!J25</f>
        <v>-2186.0902584443975</v>
      </c>
    </row>
    <row r="8" spans="1:12" x14ac:dyDescent="0.25">
      <c r="B8" s="4" t="s">
        <v>183</v>
      </c>
      <c r="F8" s="4">
        <f>BalSheet!F36-BalSheet!E36</f>
        <v>-232597.59999999986</v>
      </c>
      <c r="G8" s="4">
        <f>BalSheet!G36-BalSheet!F36</f>
        <v>-18317.060999999987</v>
      </c>
      <c r="H8" s="4">
        <f>BalSheet!H36-BalSheet!G36</f>
        <v>12028.203389999922</v>
      </c>
      <c r="I8" s="4">
        <f>BalSheet!I36-BalSheet!H36</f>
        <v>12148.485423899954</v>
      </c>
      <c r="J8" s="4">
        <f>BalSheet!J36-BalSheet!I36</f>
        <v>12269.970278138993</v>
      </c>
    </row>
    <row r="9" spans="1:12" s="11" customFormat="1" x14ac:dyDescent="0.25">
      <c r="B9" s="11" t="s">
        <v>184</v>
      </c>
      <c r="F9" s="11">
        <f ca="1">SUM(F3:F8)</f>
        <v>-55718.631644453824</v>
      </c>
      <c r="G9" s="11">
        <f t="shared" ref="G9:J9" ca="1" si="1">SUM(G3:G8)</f>
        <v>152998.22278461605</v>
      </c>
      <c r="H9" s="11">
        <f t="shared" ca="1" si="1"/>
        <v>184516.67385195722</v>
      </c>
      <c r="I9" s="11">
        <f t="shared" ca="1" si="1"/>
        <v>186412.29242339183</v>
      </c>
      <c r="J9" s="11">
        <f t="shared" ca="1" si="1"/>
        <v>188834.43742930348</v>
      </c>
    </row>
    <row r="10" spans="1:12" x14ac:dyDescent="0.25">
      <c r="I10" s="4"/>
      <c r="J10" s="4"/>
    </row>
    <row r="11" spans="1:12" x14ac:dyDescent="0.25">
      <c r="B11" s="4" t="s">
        <v>14</v>
      </c>
      <c r="F11" s="4">
        <f>-Calcs!F7</f>
        <v>-96998.16</v>
      </c>
      <c r="G11" s="4">
        <f>-Calcs!G7</f>
        <v>-89042.694678</v>
      </c>
      <c r="H11" s="4">
        <f>-Calcs!H7</f>
        <v>-83367.623773559986</v>
      </c>
      <c r="I11" s="4">
        <f>-Calcs!I7</f>
        <v>-77570.147181563385</v>
      </c>
      <c r="J11" s="4">
        <f>-Calcs!J7</f>
        <v>-71648.384295349504</v>
      </c>
    </row>
    <row r="12" spans="1:12" s="11" customFormat="1" x14ac:dyDescent="0.25">
      <c r="B12" s="11" t="s">
        <v>185</v>
      </c>
      <c r="F12" s="11">
        <f>SUM(F11)</f>
        <v>-96998.16</v>
      </c>
      <c r="G12" s="11">
        <f t="shared" ref="G12:J12" si="2">SUM(G11)</f>
        <v>-89042.694678</v>
      </c>
      <c r="H12" s="11">
        <f t="shared" si="2"/>
        <v>-83367.623773559986</v>
      </c>
      <c r="I12" s="11">
        <f t="shared" si="2"/>
        <v>-77570.147181563385</v>
      </c>
      <c r="J12" s="11">
        <f t="shared" si="2"/>
        <v>-71648.384295349504</v>
      </c>
    </row>
    <row r="13" spans="1:12" x14ac:dyDescent="0.25">
      <c r="I13" s="4"/>
      <c r="J13" s="4"/>
    </row>
    <row r="14" spans="1:12" x14ac:dyDescent="0.25">
      <c r="B14" s="4" t="s">
        <v>186</v>
      </c>
      <c r="F14" s="4">
        <f>SUM(Debt!F8:F9)</f>
        <v>-35880</v>
      </c>
      <c r="G14" s="4">
        <f>SUM(Debt!G8:G9)</f>
        <v>-41796</v>
      </c>
      <c r="H14" s="4">
        <f>SUM(Debt!H8:H9)</f>
        <v>-47712</v>
      </c>
      <c r="I14" s="4">
        <f>SUM(Debt!I8:I9)</f>
        <v>-53628</v>
      </c>
      <c r="J14" s="4">
        <f>SUM(Debt!J8:J9)</f>
        <v>-59544</v>
      </c>
    </row>
    <row r="15" spans="1:12" x14ac:dyDescent="0.25">
      <c r="B15" s="4" t="s">
        <v>142</v>
      </c>
      <c r="F15" s="4">
        <f>Calcs!F11</f>
        <v>0</v>
      </c>
      <c r="G15" s="4">
        <f>Calcs!G11</f>
        <v>0</v>
      </c>
      <c r="H15" s="4">
        <f>Calcs!H11</f>
        <v>0</v>
      </c>
      <c r="I15" s="4">
        <f>Calcs!I11</f>
        <v>0</v>
      </c>
      <c r="J15" s="4">
        <f>Calcs!J11</f>
        <v>0</v>
      </c>
    </row>
    <row r="16" spans="1:12" s="11" customFormat="1" x14ac:dyDescent="0.25">
      <c r="B16" s="11" t="s">
        <v>187</v>
      </c>
      <c r="F16" s="11">
        <f>SUM(F14:F15)</f>
        <v>-35880</v>
      </c>
      <c r="G16" s="11">
        <f t="shared" ref="G16:J16" si="3">SUM(G14:G15)</f>
        <v>-41796</v>
      </c>
      <c r="H16" s="11">
        <f t="shared" si="3"/>
        <v>-47712</v>
      </c>
      <c r="I16" s="11">
        <f t="shared" si="3"/>
        <v>-53628</v>
      </c>
      <c r="J16" s="11">
        <f t="shared" si="3"/>
        <v>-59544</v>
      </c>
    </row>
    <row r="17" spans="2:10" x14ac:dyDescent="0.25">
      <c r="I17" s="4"/>
      <c r="J17" s="4"/>
    </row>
    <row r="18" spans="2:10" x14ac:dyDescent="0.25">
      <c r="B18" s="4" t="s">
        <v>188</v>
      </c>
      <c r="F18" s="4">
        <f ca="1">SUM(F16,F12,F9)</f>
        <v>-188596.79164445383</v>
      </c>
      <c r="G18" s="4">
        <f t="shared" ref="G18:J18" ca="1" si="4">SUM(G16,G12,G9)</f>
        <v>22159.528106616053</v>
      </c>
      <c r="H18" s="4">
        <f t="shared" ca="1" si="4"/>
        <v>53437.050078397238</v>
      </c>
      <c r="I18" s="4">
        <f t="shared" ca="1" si="4"/>
        <v>55214.145241828461</v>
      </c>
      <c r="J18" s="4">
        <f t="shared" ca="1" si="4"/>
        <v>57642.053133953974</v>
      </c>
    </row>
    <row r="19" spans="2:10" x14ac:dyDescent="0.25">
      <c r="I19" s="4"/>
      <c r="J19" s="4"/>
    </row>
    <row r="20" spans="2:10" x14ac:dyDescent="0.25">
      <c r="B20" s="4" t="s">
        <v>189</v>
      </c>
      <c r="F20" s="4">
        <f>BalSheet!E17</f>
        <v>9031.94</v>
      </c>
      <c r="G20" s="4">
        <f ca="1">F22</f>
        <v>-179564.85164445383</v>
      </c>
      <c r="H20" s="4">
        <f t="shared" ref="H20:J20" ca="1" si="5">G22</f>
        <v>-157405.32353783777</v>
      </c>
      <c r="I20" s="4">
        <f t="shared" ca="1" si="5"/>
        <v>-103968.27345944053</v>
      </c>
      <c r="J20" s="4">
        <f t="shared" ca="1" si="5"/>
        <v>-48754.128217612073</v>
      </c>
    </row>
    <row r="21" spans="2:10" x14ac:dyDescent="0.25">
      <c r="B21" s="4" t="str">
        <f>B18</f>
        <v>Net changes in cash</v>
      </c>
      <c r="F21" s="4">
        <f ca="1">F18</f>
        <v>-188596.79164445383</v>
      </c>
      <c r="G21" s="4">
        <f t="shared" ref="G21:J21" ca="1" si="6">G18</f>
        <v>22159.528106616053</v>
      </c>
      <c r="H21" s="4">
        <f t="shared" ref="H21:J21" ca="1" si="7">H18</f>
        <v>53437.050078397238</v>
      </c>
      <c r="I21" s="4">
        <f t="shared" ca="1" si="7"/>
        <v>55214.145241828461</v>
      </c>
      <c r="J21" s="4">
        <f t="shared" ca="1" si="7"/>
        <v>57642.053133953974</v>
      </c>
    </row>
    <row r="22" spans="2:10" x14ac:dyDescent="0.25">
      <c r="B22" s="4" t="s">
        <v>190</v>
      </c>
      <c r="F22" s="4">
        <f ca="1">SUM(F20:F21)</f>
        <v>-179564.85164445383</v>
      </c>
      <c r="G22" s="4">
        <f t="shared" ref="G22:J22" ca="1" si="8">SUM(G20:G21)</f>
        <v>-157405.32353783777</v>
      </c>
      <c r="H22" s="4">
        <f t="shared" ref="H22" ca="1" si="9">SUM(H20:H21)</f>
        <v>-103968.27345944053</v>
      </c>
      <c r="I22" s="4">
        <f t="shared" ref="I22" ca="1" si="10">SUM(I20:I21)</f>
        <v>-48754.128217612073</v>
      </c>
      <c r="J22" s="4">
        <f t="shared" ref="J22" ca="1" si="11">SUM(J20:J21)</f>
        <v>8887.9249163419008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F15" sqref="F3:J1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30" t="str">
        <f>CoName</f>
        <v>Jack In the Box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ht="16.350000000000001" customHeight="1" x14ac:dyDescent="0.25">
      <c r="A2" s="175" t="s">
        <v>86</v>
      </c>
      <c r="B2" s="176"/>
      <c r="C2" s="181">
        <v>2022</v>
      </c>
      <c r="D2" s="181">
        <f>C2+1</f>
        <v>2023</v>
      </c>
      <c r="E2" s="181">
        <f t="shared" ref="E2:J2" si="0">D2+1</f>
        <v>2024</v>
      </c>
      <c r="F2" s="181">
        <f t="shared" si="0"/>
        <v>2025</v>
      </c>
      <c r="G2" s="181">
        <f t="shared" si="0"/>
        <v>2026</v>
      </c>
      <c r="H2" s="181">
        <f t="shared" si="0"/>
        <v>2027</v>
      </c>
      <c r="I2" s="181">
        <f t="shared" si="0"/>
        <v>2028</v>
      </c>
      <c r="J2" s="181">
        <f t="shared" si="0"/>
        <v>2029</v>
      </c>
      <c r="K2" s="203"/>
      <c r="L2" s="203"/>
    </row>
    <row r="3" spans="1:12" x14ac:dyDescent="0.25">
      <c r="A3" s="11" t="s">
        <v>124</v>
      </c>
      <c r="B3" s="4" t="s">
        <v>87</v>
      </c>
      <c r="D3" s="227"/>
      <c r="E3" s="23"/>
      <c r="F3" s="228">
        <f>IncState!F15</f>
        <v>1319897.04</v>
      </c>
      <c r="G3" s="228">
        <f>IncState!G15</f>
        <v>1300098.5844000001</v>
      </c>
      <c r="H3" s="228">
        <f>IncState!H15</f>
        <v>1313099.5702440001</v>
      </c>
      <c r="I3" s="228">
        <f>IncState!I15</f>
        <v>1326230.56594644</v>
      </c>
      <c r="J3" s="228">
        <f>IncState!J15</f>
        <v>1339492.8716059043</v>
      </c>
      <c r="K3" s="211"/>
      <c r="L3" s="211"/>
    </row>
    <row r="4" spans="1:12" x14ac:dyDescent="0.25">
      <c r="B4" s="4" t="s">
        <v>54</v>
      </c>
      <c r="E4" s="27"/>
      <c r="F4" s="4">
        <f>IncState!F18</f>
        <v>205934.39999999991</v>
      </c>
      <c r="G4" s="4">
        <f>IncState!G18</f>
        <v>202845.38400000008</v>
      </c>
      <c r="H4" s="4">
        <f>IncState!H18</f>
        <v>204873.83783999993</v>
      </c>
      <c r="I4" s="4">
        <f>IncState!I18</f>
        <v>206922.57621839992</v>
      </c>
      <c r="J4" s="4">
        <f>IncState!J18</f>
        <v>208991.80198058393</v>
      </c>
    </row>
    <row r="5" spans="1:12" x14ac:dyDescent="0.25">
      <c r="B5" s="30" t="s">
        <v>92</v>
      </c>
      <c r="C5" s="30"/>
      <c r="D5" s="30"/>
      <c r="E5" s="39"/>
      <c r="F5" s="43">
        <f>Assumptions!F16</f>
        <v>0.23</v>
      </c>
      <c r="G5" s="43">
        <f>Assumptions!G16</f>
        <v>0.23</v>
      </c>
      <c r="H5" s="43">
        <f>Assumptions!H16</f>
        <v>0.23</v>
      </c>
      <c r="I5" s="43">
        <f>Assumptions!I16</f>
        <v>0.23</v>
      </c>
      <c r="J5" s="43">
        <f>Assumptions!J16</f>
        <v>0.23</v>
      </c>
      <c r="K5" s="43"/>
      <c r="L5" s="43"/>
    </row>
    <row r="6" spans="1:12" x14ac:dyDescent="0.25">
      <c r="C6" s="5"/>
      <c r="D6" s="5"/>
      <c r="E6" s="23"/>
      <c r="F6" s="5"/>
      <c r="G6" s="5"/>
      <c r="H6" s="5"/>
      <c r="I6" s="5"/>
      <c r="J6" s="5"/>
      <c r="K6" s="168"/>
      <c r="L6" s="168"/>
    </row>
    <row r="7" spans="1:12" x14ac:dyDescent="0.25">
      <c r="A7" s="24" t="s">
        <v>124</v>
      </c>
      <c r="B7" s="21" t="s">
        <v>88</v>
      </c>
      <c r="C7" s="119"/>
      <c r="D7" s="119"/>
      <c r="E7" s="119"/>
      <c r="F7" s="134">
        <f t="shared" ref="F7:J8" si="1">F4*(1-F5)</f>
        <v>158569.48799999992</v>
      </c>
      <c r="G7" s="134">
        <f t="shared" ref="G7:J7" si="2">G4*(1-G5)</f>
        <v>156190.94568000006</v>
      </c>
      <c r="H7" s="134">
        <f t="shared" si="2"/>
        <v>157752.85513679995</v>
      </c>
      <c r="I7" s="134">
        <f t="shared" si="2"/>
        <v>159330.38368816793</v>
      </c>
      <c r="J7" s="134">
        <f t="shared" si="2"/>
        <v>160923.68752504964</v>
      </c>
      <c r="K7" s="211"/>
      <c r="L7" s="211"/>
    </row>
    <row r="8" spans="1:12" x14ac:dyDescent="0.25">
      <c r="B8" s="4" t="s">
        <v>15</v>
      </c>
      <c r="C8" s="119"/>
      <c r="D8" s="119"/>
      <c r="E8" s="120"/>
      <c r="F8" s="135">
        <f>CashFlow!F4</f>
        <v>60784.728361475143</v>
      </c>
      <c r="G8" s="135">
        <f>CashFlow!G4</f>
        <v>61980.966222434676</v>
      </c>
      <c r="H8" s="135">
        <f>CashFlow!H4</f>
        <v>62874.895979898327</v>
      </c>
      <c r="I8" s="135">
        <f>CashFlow!I4</f>
        <v>63551.83201583691</v>
      </c>
      <c r="J8" s="135">
        <f>CashFlow!J4</f>
        <v>64014.898855662876</v>
      </c>
      <c r="K8" s="210"/>
      <c r="L8" s="210"/>
    </row>
    <row r="9" spans="1:12" x14ac:dyDescent="0.25">
      <c r="B9" s="4" t="s">
        <v>53</v>
      </c>
      <c r="C9" s="5"/>
      <c r="D9" s="5"/>
      <c r="E9" s="23"/>
      <c r="F9" s="136">
        <f>CashFlow!F5</f>
        <v>0</v>
      </c>
      <c r="G9" s="136">
        <f>CashFlow!G5</f>
        <v>0</v>
      </c>
      <c r="H9" s="136">
        <f>CashFlow!H5</f>
        <v>0</v>
      </c>
      <c r="I9" s="136">
        <f>CashFlow!I5</f>
        <v>0</v>
      </c>
      <c r="J9" s="136">
        <f>CashFlow!J5</f>
        <v>0</v>
      </c>
      <c r="K9" s="210"/>
      <c r="L9" s="210"/>
    </row>
    <row r="10" spans="1:12" x14ac:dyDescent="0.25">
      <c r="B10" s="4" t="s">
        <v>89</v>
      </c>
      <c r="C10" s="5"/>
      <c r="D10" s="5"/>
      <c r="E10" s="23"/>
      <c r="F10" s="136">
        <f>CashFlow!F6</f>
        <v>-36181.430400000012</v>
      </c>
      <c r="G10" s="136">
        <f>CashFlow!G6</f>
        <v>-2849.2876439999673</v>
      </c>
      <c r="H10" s="136">
        <f>CashFlow!H6</f>
        <v>1871.0322195599438</v>
      </c>
      <c r="I10" s="136">
        <f>CashFlow!I6</f>
        <v>1889.742541755666</v>
      </c>
      <c r="J10" s="136">
        <f>CashFlow!J6</f>
        <v>1908.6399671730469</v>
      </c>
      <c r="K10" s="210"/>
      <c r="L10" s="210"/>
    </row>
    <row r="11" spans="1:12" x14ac:dyDescent="0.25">
      <c r="B11" s="4" t="s">
        <v>162</v>
      </c>
      <c r="C11" s="5"/>
      <c r="D11" s="5"/>
      <c r="E11" s="23"/>
      <c r="F11" s="136">
        <f>CashFlow!F7</f>
        <v>41440.960000000021</v>
      </c>
      <c r="G11" s="136">
        <f>CashFlow!G7</f>
        <v>3263.4755999999761</v>
      </c>
      <c r="H11" s="136">
        <f>CashFlow!H7</f>
        <v>-2143.0156439999992</v>
      </c>
      <c r="I11" s="136">
        <f>CashFlow!I7</f>
        <v>-2164.4458004399785</v>
      </c>
      <c r="J11" s="136">
        <f>CashFlow!J7</f>
        <v>-2186.0902584443975</v>
      </c>
      <c r="K11" s="210"/>
      <c r="L11" s="210"/>
    </row>
    <row r="12" spans="1:12" x14ac:dyDescent="0.25">
      <c r="B12" s="4" t="s">
        <v>163</v>
      </c>
      <c r="E12" s="27"/>
      <c r="F12" s="136">
        <f>CashFlow!F8</f>
        <v>-232597.59999999986</v>
      </c>
      <c r="G12" s="136">
        <f>CashFlow!G8</f>
        <v>-18317.060999999987</v>
      </c>
      <c r="H12" s="136">
        <f>CashFlow!H8</f>
        <v>12028.203389999922</v>
      </c>
      <c r="I12" s="136">
        <f>CashFlow!I8</f>
        <v>12148.485423899954</v>
      </c>
      <c r="J12" s="136">
        <f>CashFlow!J8</f>
        <v>12269.970278138993</v>
      </c>
      <c r="K12" s="210"/>
      <c r="L12" s="210"/>
    </row>
    <row r="13" spans="1:12" x14ac:dyDescent="0.25">
      <c r="B13" s="4" t="s">
        <v>90</v>
      </c>
      <c r="E13" s="27"/>
      <c r="F13" s="132">
        <f>CashFlow!F11</f>
        <v>-96998.16</v>
      </c>
      <c r="G13" s="132">
        <f>CashFlow!G11</f>
        <v>-89042.694678</v>
      </c>
      <c r="H13" s="132">
        <f>CashFlow!H11</f>
        <v>-83367.623773559986</v>
      </c>
      <c r="I13" s="132">
        <f>CashFlow!I11</f>
        <v>-77570.147181563385</v>
      </c>
      <c r="J13" s="132">
        <f>CashFlow!J11</f>
        <v>-71648.384295349504</v>
      </c>
      <c r="K13" s="132"/>
      <c r="L13" s="132"/>
    </row>
    <row r="14" spans="1:12" x14ac:dyDescent="0.25">
      <c r="E14" s="63"/>
      <c r="F14" s="137"/>
      <c r="G14" s="137"/>
      <c r="H14" s="137"/>
      <c r="I14" s="137"/>
      <c r="J14" s="137"/>
      <c r="K14" s="137"/>
      <c r="L14" s="137"/>
    </row>
    <row r="15" spans="1:12" s="11" customFormat="1" x14ac:dyDescent="0.25">
      <c r="A15" s="24" t="s">
        <v>124</v>
      </c>
      <c r="B15" s="34" t="s">
        <v>91</v>
      </c>
      <c r="C15" s="34"/>
      <c r="D15" s="34"/>
      <c r="E15" s="34"/>
      <c r="F15" s="34">
        <f>SUM(F7:F13)</f>
        <v>-104982.01403852479</v>
      </c>
      <c r="G15" s="34">
        <f t="shared" ref="G15:J15" si="3">SUM(G7:G13)</f>
        <v>111226.34418043477</v>
      </c>
      <c r="H15" s="34">
        <f t="shared" si="3"/>
        <v>149016.34730869814</v>
      </c>
      <c r="I15" s="34">
        <f t="shared" si="3"/>
        <v>157185.85068765708</v>
      </c>
      <c r="J15" s="34">
        <f t="shared" si="3"/>
        <v>165282.72207223065</v>
      </c>
    </row>
    <row r="16" spans="1:12" x14ac:dyDescent="0.25">
      <c r="B16" s="66"/>
      <c r="C16" s="66"/>
      <c r="D16" s="66"/>
      <c r="E16" s="66"/>
      <c r="F16" s="66"/>
      <c r="G16" s="66"/>
      <c r="H16" s="66"/>
      <c r="I16" s="84"/>
      <c r="J16" s="84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8" sqref="E8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30" t="str">
        <f>CoName</f>
        <v>Jack In the Box Inc.</v>
      </c>
    </row>
    <row r="2" spans="1:13" x14ac:dyDescent="0.25">
      <c r="G2" s="147"/>
    </row>
    <row r="3" spans="1:13" x14ac:dyDescent="0.25">
      <c r="A3" s="27" t="s">
        <v>124</v>
      </c>
      <c r="B3" s="162" t="s">
        <v>100</v>
      </c>
      <c r="C3" s="163"/>
      <c r="D3" s="163"/>
      <c r="E3" s="164"/>
      <c r="F3" s="11"/>
      <c r="G3" s="77" t="s">
        <v>108</v>
      </c>
      <c r="H3" s="77" t="s">
        <v>103</v>
      </c>
      <c r="I3" s="77" t="s">
        <v>104</v>
      </c>
      <c r="J3" s="77" t="s">
        <v>105</v>
      </c>
      <c r="K3" s="77" t="s">
        <v>106</v>
      </c>
      <c r="L3" s="77" t="s">
        <v>111</v>
      </c>
      <c r="M3" s="77" t="s">
        <v>107</v>
      </c>
    </row>
    <row r="4" spans="1:13" x14ac:dyDescent="0.25">
      <c r="A4" s="27"/>
      <c r="B4" s="233" t="s">
        <v>164</v>
      </c>
      <c r="C4" s="67"/>
      <c r="D4" s="72"/>
      <c r="E4" s="234">
        <f>Assumptions!F16</f>
        <v>0.23</v>
      </c>
      <c r="G4" s="139"/>
      <c r="H4" s="140"/>
      <c r="I4" s="80"/>
      <c r="J4" s="81"/>
      <c r="K4" s="142"/>
      <c r="L4" s="153">
        <f>E4</f>
        <v>0.23</v>
      </c>
      <c r="M4" s="143">
        <f>H4/((1+K4*(1-L4)))</f>
        <v>0</v>
      </c>
    </row>
    <row r="5" spans="1:13" x14ac:dyDescent="0.25">
      <c r="A5" s="27"/>
      <c r="B5" s="67" t="s">
        <v>93</v>
      </c>
      <c r="C5" s="67"/>
      <c r="D5" s="72"/>
      <c r="E5" s="138">
        <v>4.1500000000000002E-2</v>
      </c>
      <c r="G5" s="139"/>
      <c r="H5" s="140"/>
      <c r="I5" s="80"/>
      <c r="J5" s="81"/>
      <c r="K5" s="142"/>
      <c r="L5" s="153">
        <f>L4</f>
        <v>0.23</v>
      </c>
      <c r="M5" s="143">
        <f t="shared" ref="M5:M7" si="0">H5/((1+K5*(1-L5)))</f>
        <v>0</v>
      </c>
    </row>
    <row r="6" spans="1:13" x14ac:dyDescent="0.25">
      <c r="A6" s="27"/>
      <c r="B6" s="67" t="s">
        <v>94</v>
      </c>
      <c r="C6" s="67"/>
      <c r="D6" s="72"/>
      <c r="E6" s="138">
        <v>0.05</v>
      </c>
      <c r="G6" s="139"/>
      <c r="H6" s="141"/>
      <c r="I6" s="82"/>
      <c r="J6" s="81"/>
      <c r="K6" s="142"/>
      <c r="L6" s="153">
        <f t="shared" ref="L6:L7" si="1">L5</f>
        <v>0.23</v>
      </c>
      <c r="M6" s="143">
        <f t="shared" si="0"/>
        <v>0</v>
      </c>
    </row>
    <row r="7" spans="1:13" x14ac:dyDescent="0.25">
      <c r="A7" s="27"/>
      <c r="B7" s="67" t="s">
        <v>95</v>
      </c>
      <c r="C7" s="67"/>
      <c r="D7" s="72"/>
      <c r="E7" s="216">
        <v>1</v>
      </c>
      <c r="G7" s="139"/>
      <c r="H7" s="141"/>
      <c r="I7" s="82"/>
      <c r="J7" s="83"/>
      <c r="K7" s="142"/>
      <c r="L7" s="153">
        <f t="shared" si="1"/>
        <v>0.23</v>
      </c>
      <c r="M7" s="143">
        <f t="shared" si="0"/>
        <v>0</v>
      </c>
    </row>
    <row r="8" spans="1:13" x14ac:dyDescent="0.25">
      <c r="A8" s="27"/>
      <c r="B8" s="67" t="s">
        <v>96</v>
      </c>
      <c r="C8" s="67"/>
      <c r="D8" s="72"/>
      <c r="E8" s="138">
        <f>E5+E6*E7</f>
        <v>9.1499999999999998E-2</v>
      </c>
      <c r="L8" s="66"/>
    </row>
    <row r="9" spans="1:13" x14ac:dyDescent="0.25">
      <c r="A9" s="27"/>
      <c r="B9" s="68" t="s">
        <v>97</v>
      </c>
      <c r="C9" s="68"/>
      <c r="D9" s="73"/>
      <c r="E9" s="144">
        <f>1-E10</f>
        <v>0.46930587636965493</v>
      </c>
      <c r="G9" s="4" t="s">
        <v>109</v>
      </c>
      <c r="L9" s="27"/>
      <c r="M9" s="215">
        <f>AVERAGE(M4:M7)</f>
        <v>0</v>
      </c>
    </row>
    <row r="10" spans="1:13" x14ac:dyDescent="0.25">
      <c r="A10" s="27"/>
      <c r="B10" s="69" t="s">
        <v>98</v>
      </c>
      <c r="C10" s="69"/>
      <c r="D10" s="74"/>
      <c r="E10" s="145">
        <f>BalSheet!E35/MAIN!F9</f>
        <v>0.53069412363034507</v>
      </c>
      <c r="M10" s="66"/>
    </row>
    <row r="11" spans="1:13" x14ac:dyDescent="0.25">
      <c r="A11" s="27"/>
      <c r="B11" s="161" t="s">
        <v>175</v>
      </c>
      <c r="C11" s="70"/>
      <c r="D11" s="75"/>
      <c r="E11" s="146">
        <f>Assumptions!F23</f>
        <v>4.197E-2</v>
      </c>
      <c r="G11" s="4" t="s">
        <v>110</v>
      </c>
      <c r="L11" s="27"/>
      <c r="M11" s="215">
        <f>M9*(1+E10*(1-E4))</f>
        <v>0</v>
      </c>
    </row>
    <row r="12" spans="1:13" x14ac:dyDescent="0.25">
      <c r="A12" s="27"/>
      <c r="B12" s="71" t="s">
        <v>99</v>
      </c>
      <c r="C12" s="71"/>
      <c r="D12" s="76"/>
      <c r="E12" s="146">
        <f>E11*(1-E4)</f>
        <v>3.2316900000000003E-2</v>
      </c>
      <c r="M12" s="66"/>
    </row>
    <row r="13" spans="1:13" s="11" customFormat="1" x14ac:dyDescent="0.25">
      <c r="A13" s="24" t="s">
        <v>124</v>
      </c>
      <c r="B13" s="162" t="s">
        <v>100</v>
      </c>
      <c r="C13" s="163"/>
      <c r="D13" s="164"/>
      <c r="E13" s="158">
        <f>WACC!E8*WACC!E9+WACC!E12*WACC!E10</f>
        <v>6.0091876611772926E-2</v>
      </c>
      <c r="F13" s="4"/>
    </row>
    <row r="14" spans="1:13" s="11" customFormat="1" x14ac:dyDescent="0.25">
      <c r="A14" s="24"/>
      <c r="B14" s="77" t="s">
        <v>101</v>
      </c>
      <c r="C14" s="77"/>
      <c r="D14" s="114"/>
      <c r="E14" s="148">
        <v>2.5000000000000001E-2</v>
      </c>
      <c r="F14" s="4"/>
    </row>
    <row r="15" spans="1:13" x14ac:dyDescent="0.25">
      <c r="B15" s="66"/>
      <c r="C15" s="66"/>
      <c r="D15" s="66"/>
      <c r="E15" s="6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P43"/>
  <sheetViews>
    <sheetView showGridLines="0" zoomScaleNormal="100" workbookViewId="0">
      <selection activeCell="H18" sqref="H18"/>
    </sheetView>
  </sheetViews>
  <sheetFormatPr defaultColWidth="9" defaultRowHeight="15" x14ac:dyDescent="0.25"/>
  <cols>
    <col min="1" max="1" width="2" style="242" customWidth="1"/>
    <col min="2" max="2" width="22.42578125" style="242" bestFit="1" customWidth="1"/>
    <col min="3" max="3" width="12.7109375" style="242" customWidth="1"/>
    <col min="4" max="4" width="15.85546875" style="242" customWidth="1"/>
    <col min="5" max="5" width="10.42578125" style="242" customWidth="1"/>
    <col min="6" max="6" width="12.140625" style="242" customWidth="1"/>
    <col min="7" max="7" width="12.140625" style="242" bestFit="1" customWidth="1"/>
    <col min="8" max="8" width="11.7109375" style="242" customWidth="1"/>
    <col min="9" max="9" width="12.42578125" style="242" bestFit="1" customWidth="1"/>
    <col min="10" max="12" width="11.7109375" style="242" customWidth="1"/>
    <col min="13" max="16384" width="9" style="242"/>
  </cols>
  <sheetData>
    <row r="1" spans="1:14" s="4" customFormat="1" ht="19.5" x14ac:dyDescent="0.3">
      <c r="A1" s="230" t="str">
        <f>CoName</f>
        <v>Jack In the Box Inc.</v>
      </c>
      <c r="B1" s="3"/>
      <c r="C1" s="3"/>
      <c r="D1" s="41" t="s">
        <v>1</v>
      </c>
      <c r="E1" s="41" t="s">
        <v>1</v>
      </c>
      <c r="F1" s="41" t="s">
        <v>1</v>
      </c>
      <c r="G1" s="41" t="s">
        <v>1</v>
      </c>
      <c r="H1" s="41" t="s">
        <v>1</v>
      </c>
      <c r="I1" s="41"/>
      <c r="J1" s="41"/>
      <c r="K1" s="41"/>
      <c r="L1" s="41"/>
      <c r="M1" s="41"/>
    </row>
    <row r="2" spans="1:14" s="4" customFormat="1" x14ac:dyDescent="0.25">
      <c r="A2" s="77" t="s">
        <v>112</v>
      </c>
      <c r="B2" s="19"/>
      <c r="C2" s="42"/>
      <c r="D2" s="77">
        <v>0.5</v>
      </c>
      <c r="E2" s="77">
        <f>D2+1</f>
        <v>1.5</v>
      </c>
      <c r="F2" s="77">
        <f t="shared" ref="F2:H2" si="0">E2+1</f>
        <v>2.5</v>
      </c>
      <c r="G2" s="77">
        <f t="shared" si="0"/>
        <v>3.5</v>
      </c>
      <c r="H2" s="77">
        <f t="shared" si="0"/>
        <v>4.5</v>
      </c>
      <c r="I2" s="159"/>
      <c r="J2" s="159"/>
      <c r="K2" s="159"/>
      <c r="L2" s="159"/>
      <c r="M2" s="159"/>
      <c r="N2" s="159"/>
    </row>
    <row r="3" spans="1:14" s="4" customFormat="1" x14ac:dyDescent="0.25">
      <c r="B3" s="4" t="s">
        <v>179</v>
      </c>
      <c r="D3" s="8">
        <f>1/(1+$K$17)^D2</f>
        <v>0.97124377148302476</v>
      </c>
      <c r="E3" s="8">
        <f t="shared" ref="E3:H3" si="1">1/(1+$K$17)^E2</f>
        <v>0.91618829736463858</v>
      </c>
      <c r="F3" s="8">
        <f t="shared" si="1"/>
        <v>0.86425367232595574</v>
      </c>
      <c r="G3" s="8">
        <f t="shared" si="1"/>
        <v>0.81526298936300878</v>
      </c>
      <c r="H3" s="8">
        <f t="shared" si="1"/>
        <v>0.76904936954023517</v>
      </c>
      <c r="I3" s="8"/>
      <c r="J3" s="8"/>
      <c r="K3" s="8"/>
    </row>
    <row r="4" spans="1:14" s="4" customFormat="1" x14ac:dyDescent="0.25">
      <c r="B4" s="4" t="s">
        <v>180</v>
      </c>
      <c r="D4" s="4">
        <f>D3*'Free Cash Flow'!F15</f>
        <v>-101963.12725266068</v>
      </c>
      <c r="E4" s="4">
        <f>E3*'Free Cash Flow'!G15</f>
        <v>101904.27489676581</v>
      </c>
      <c r="F4" s="4">
        <f>F3*'Free Cash Flow'!H15</f>
        <v>128787.92539814241</v>
      </c>
      <c r="G4" s="4">
        <f>G3*'Free Cash Flow'!I15</f>
        <v>128147.80651718685</v>
      </c>
      <c r="H4" s="4">
        <f>H3*'Free Cash Flow'!J15</f>
        <v>127110.5732055429</v>
      </c>
      <c r="I4" s="4">
        <f>(H4*(1+K18))/(K17-K18)</f>
        <v>3712777.7171076452</v>
      </c>
    </row>
    <row r="5" spans="1:14" s="4" customFormat="1" x14ac:dyDescent="0.25">
      <c r="G5" s="147"/>
    </row>
    <row r="6" spans="1:14" s="4" customFormat="1" x14ac:dyDescent="0.25">
      <c r="A6" s="77" t="s">
        <v>113</v>
      </c>
      <c r="B6" s="19"/>
      <c r="C6" s="42"/>
      <c r="D6" s="86"/>
      <c r="E6" s="77" t="s">
        <v>169</v>
      </c>
      <c r="F6" s="19"/>
      <c r="G6" s="42"/>
      <c r="H6" s="86" t="s">
        <v>165</v>
      </c>
    </row>
    <row r="7" spans="1:14" s="4" customFormat="1" x14ac:dyDescent="0.25">
      <c r="B7" s="4" t="s">
        <v>114</v>
      </c>
      <c r="C7" s="4">
        <f>SUM(D4:H4)</f>
        <v>383987.45276497729</v>
      </c>
      <c r="E7" s="4" t="s">
        <v>114</v>
      </c>
      <c r="G7" s="4">
        <f>C7</f>
        <v>383987.45276497729</v>
      </c>
    </row>
    <row r="8" spans="1:14" s="4" customFormat="1" x14ac:dyDescent="0.25">
      <c r="B8" s="4" t="s">
        <v>115</v>
      </c>
      <c r="C8" s="4">
        <f>I4*H3</f>
        <v>2855309.3625846682</v>
      </c>
      <c r="E8" s="4" t="s">
        <v>170</v>
      </c>
      <c r="G8" s="4">
        <f>IncState!J22*'DCF Model'!H3+'DCF Model'!G10</f>
        <v>209970.63115837521</v>
      </c>
    </row>
    <row r="9" spans="1:14" s="4" customFormat="1" x14ac:dyDescent="0.25">
      <c r="B9" s="4" t="s">
        <v>116</v>
      </c>
      <c r="C9" s="4">
        <f>SUM(C7:C8)</f>
        <v>3239296.8153496454</v>
      </c>
      <c r="E9" s="4" t="s">
        <v>116</v>
      </c>
      <c r="G9" s="4">
        <f>SUM(G7:G8)</f>
        <v>593958.08392335253</v>
      </c>
    </row>
    <row r="10" spans="1:14" s="4" customFormat="1" x14ac:dyDescent="0.25">
      <c r="C10" s="85"/>
      <c r="E10" s="4" t="s">
        <v>117</v>
      </c>
      <c r="G10" s="85">
        <v>15</v>
      </c>
    </row>
    <row r="11" spans="1:14" s="4" customFormat="1" x14ac:dyDescent="0.25">
      <c r="I11" s="159"/>
    </row>
    <row r="12" spans="1:14" s="4" customFormat="1" x14ac:dyDescent="0.25">
      <c r="B12" s="27" t="s">
        <v>118</v>
      </c>
      <c r="C12" s="37">
        <f>MAIN!F7</f>
        <v>68111</v>
      </c>
      <c r="E12" s="27" t="s">
        <v>118</v>
      </c>
      <c r="F12" s="156"/>
      <c r="G12" s="37">
        <f>C12</f>
        <v>68111</v>
      </c>
      <c r="I12" s="159"/>
    </row>
    <row r="13" spans="1:14" s="4" customFormat="1" x14ac:dyDescent="0.25">
      <c r="B13" s="27" t="s">
        <v>119</v>
      </c>
      <c r="C13" s="37">
        <f>MAIN!F8</f>
        <v>2941482</v>
      </c>
      <c r="E13" s="27" t="s">
        <v>119</v>
      </c>
      <c r="F13" s="156"/>
      <c r="G13" s="37">
        <f>C13</f>
        <v>2941482</v>
      </c>
    </row>
    <row r="14" spans="1:14" s="4" customFormat="1" x14ac:dyDescent="0.25">
      <c r="B14" s="27" t="s">
        <v>120</v>
      </c>
      <c r="C14" s="79">
        <v>0</v>
      </c>
      <c r="E14" s="4" t="s">
        <v>120</v>
      </c>
      <c r="G14" s="79">
        <v>0</v>
      </c>
    </row>
    <row r="15" spans="1:14" s="4" customFormat="1" x14ac:dyDescent="0.25">
      <c r="B15" s="4" t="s">
        <v>121</v>
      </c>
      <c r="C15" s="66">
        <f>C9+C12-SUM(C13:C14)</f>
        <v>365925.81534964545</v>
      </c>
      <c r="E15" s="4" t="s">
        <v>121</v>
      </c>
      <c r="G15" s="66">
        <f>G9+G12-SUM(G13:G14)</f>
        <v>-2279412.9160766476</v>
      </c>
    </row>
    <row r="16" spans="1:14" s="4" customFormat="1" x14ac:dyDescent="0.25"/>
    <row r="17" spans="1:16" s="4" customFormat="1" x14ac:dyDescent="0.25">
      <c r="B17" s="4" t="s">
        <v>122</v>
      </c>
      <c r="C17" s="4">
        <f>MAIN!F5</f>
        <v>18882</v>
      </c>
      <c r="E17" s="4" t="s">
        <v>122</v>
      </c>
      <c r="G17" s="4">
        <f>C17</f>
        <v>18882</v>
      </c>
      <c r="I17" s="162" t="s">
        <v>100</v>
      </c>
      <c r="J17" s="163"/>
      <c r="K17" s="158">
        <f>WACC!E13</f>
        <v>6.0091876611772926E-2</v>
      </c>
    </row>
    <row r="18" spans="1:16" s="4" customFormat="1" x14ac:dyDescent="0.25">
      <c r="A18" s="4" t="s">
        <v>124</v>
      </c>
      <c r="B18" s="149" t="s">
        <v>123</v>
      </c>
      <c r="C18" s="157">
        <f>C15/C17</f>
        <v>19.379611023707522</v>
      </c>
      <c r="E18" s="149" t="s">
        <v>123</v>
      </c>
      <c r="F18" s="156"/>
      <c r="G18" s="157">
        <f>G15/G17</f>
        <v>-120.71882830614594</v>
      </c>
      <c r="I18" s="77" t="s">
        <v>101</v>
      </c>
      <c r="J18" s="77"/>
      <c r="K18" s="148">
        <v>2.5000000000000001E-2</v>
      </c>
    </row>
    <row r="19" spans="1:16" s="4" customFormat="1" x14ac:dyDescent="0.25">
      <c r="C19" s="21"/>
    </row>
    <row r="20" spans="1:16" s="4" customFormat="1" x14ac:dyDescent="0.25">
      <c r="A20" s="115" t="s">
        <v>145</v>
      </c>
      <c r="B20" s="19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212"/>
    </row>
    <row r="21" spans="1:16" s="4" customFormat="1" x14ac:dyDescent="0.25">
      <c r="B21" s="116"/>
      <c r="C21" s="116"/>
      <c r="D21" s="116"/>
      <c r="E21" s="116"/>
      <c r="F21" s="116"/>
      <c r="G21" s="116"/>
      <c r="H21" s="116"/>
      <c r="I21" s="116"/>
    </row>
    <row r="22" spans="1:16" s="4" customFormat="1" x14ac:dyDescent="0.25">
      <c r="B22" s="116"/>
      <c r="C22" s="116" t="s">
        <v>146</v>
      </c>
      <c r="D22" s="116"/>
      <c r="E22" s="117">
        <v>5.0000000000000001E-3</v>
      </c>
      <c r="F22" s="116"/>
      <c r="G22" s="116"/>
      <c r="J22" s="116" t="s">
        <v>146</v>
      </c>
      <c r="K22" s="116"/>
      <c r="L22" s="117">
        <v>5.0000000000000001E-3</v>
      </c>
    </row>
    <row r="23" spans="1:16" s="4" customFormat="1" x14ac:dyDescent="0.25">
      <c r="B23" s="116"/>
      <c r="C23" s="116" t="s">
        <v>147</v>
      </c>
      <c r="D23" s="116"/>
      <c r="E23" s="150">
        <v>2.5000000000000001E-3</v>
      </c>
      <c r="F23" s="116"/>
      <c r="G23" s="116"/>
      <c r="J23" s="116" t="s">
        <v>168</v>
      </c>
      <c r="K23" s="116"/>
      <c r="L23" s="155">
        <v>1</v>
      </c>
    </row>
    <row r="24" spans="1:16" x14ac:dyDescent="0.25">
      <c r="B24" s="243"/>
      <c r="C24" s="243"/>
      <c r="D24" s="243"/>
      <c r="E24" s="244"/>
      <c r="F24" s="243"/>
      <c r="G24" s="243"/>
      <c r="J24" s="243"/>
      <c r="K24" s="243"/>
      <c r="L24" s="244"/>
    </row>
    <row r="25" spans="1:16" x14ac:dyDescent="0.25">
      <c r="B25" s="243"/>
      <c r="C25" s="243"/>
      <c r="D25" s="243"/>
      <c r="E25" s="243"/>
      <c r="F25" s="243"/>
      <c r="H25" s="243"/>
      <c r="I25" s="245"/>
      <c r="P25" s="245"/>
    </row>
    <row r="26" spans="1:16" x14ac:dyDescent="0.25">
      <c r="B26" s="246"/>
      <c r="D26" s="243"/>
      <c r="E26" s="247"/>
      <c r="F26" s="248"/>
      <c r="G26" s="247"/>
      <c r="I26" s="243"/>
      <c r="J26" s="247"/>
    </row>
    <row r="27" spans="1:16" x14ac:dyDescent="0.25">
      <c r="B27" s="246"/>
      <c r="C27" s="246"/>
      <c r="E27" s="243"/>
      <c r="F27" s="248"/>
      <c r="G27" s="248"/>
      <c r="H27" s="248"/>
      <c r="I27" s="245"/>
      <c r="J27" s="245"/>
      <c r="N27" s="243"/>
      <c r="P27" s="245"/>
    </row>
    <row r="28" spans="1:16" x14ac:dyDescent="0.25">
      <c r="B28" s="246"/>
      <c r="C28" s="246"/>
      <c r="E28" s="249"/>
      <c r="F28" s="245"/>
      <c r="G28" s="245"/>
      <c r="H28" s="245"/>
      <c r="I28" s="245"/>
      <c r="J28" s="245"/>
      <c r="N28" s="249"/>
    </row>
    <row r="29" spans="1:16" x14ac:dyDescent="0.25">
      <c r="E29" s="250"/>
      <c r="F29" s="245"/>
      <c r="G29" s="245"/>
      <c r="H29" s="245"/>
      <c r="I29" s="245"/>
      <c r="J29" s="245"/>
      <c r="N29" s="249"/>
    </row>
    <row r="30" spans="1:16" x14ac:dyDescent="0.25">
      <c r="F30" s="245"/>
      <c r="G30" s="245"/>
      <c r="H30" s="245"/>
      <c r="I30" s="245"/>
      <c r="J30" s="245"/>
      <c r="K30" s="249"/>
    </row>
    <row r="31" spans="1:16" x14ac:dyDescent="0.25">
      <c r="F31" s="245"/>
      <c r="G31" s="245"/>
      <c r="H31" s="245"/>
      <c r="I31" s="245"/>
      <c r="J31" s="245"/>
      <c r="K31" s="249"/>
    </row>
    <row r="32" spans="1:16" x14ac:dyDescent="0.25">
      <c r="E32" s="251"/>
      <c r="F32" s="245"/>
      <c r="G32" s="245"/>
      <c r="H32" s="245"/>
      <c r="I32" s="245"/>
      <c r="J32" s="245"/>
      <c r="K32" s="249"/>
      <c r="L32" s="251"/>
    </row>
    <row r="33" spans="2:16" x14ac:dyDescent="0.25">
      <c r="E33" s="250"/>
      <c r="F33" s="245"/>
      <c r="G33" s="245"/>
      <c r="H33" s="245"/>
      <c r="I33" s="245"/>
      <c r="J33" s="245"/>
      <c r="K33" s="243"/>
    </row>
    <row r="34" spans="2:16" x14ac:dyDescent="0.25">
      <c r="E34" s="250"/>
      <c r="F34" s="245"/>
      <c r="G34" s="245"/>
      <c r="H34" s="245"/>
      <c r="I34" s="245"/>
      <c r="J34" s="245"/>
      <c r="K34" s="243"/>
    </row>
    <row r="35" spans="2:16" x14ac:dyDescent="0.25">
      <c r="B35" s="243"/>
      <c r="C35" s="243"/>
      <c r="D35" s="243"/>
      <c r="E35" s="243"/>
      <c r="F35" s="252"/>
      <c r="G35" s="243"/>
    </row>
    <row r="36" spans="2:16" x14ac:dyDescent="0.25">
      <c r="B36" s="243"/>
      <c r="C36" s="243"/>
      <c r="D36" s="243"/>
      <c r="E36" s="243"/>
      <c r="F36" s="248"/>
      <c r="G36" s="248"/>
      <c r="H36" s="248"/>
      <c r="I36" s="245"/>
      <c r="J36" s="245"/>
      <c r="P36" s="245"/>
    </row>
    <row r="37" spans="2:16" x14ac:dyDescent="0.25">
      <c r="F37" s="245"/>
      <c r="G37" s="245"/>
      <c r="H37" s="245"/>
      <c r="I37" s="245"/>
      <c r="J37" s="245"/>
      <c r="M37" s="245"/>
    </row>
    <row r="38" spans="2:16" x14ac:dyDescent="0.25">
      <c r="F38" s="245"/>
      <c r="G38" s="245"/>
      <c r="H38" s="245"/>
      <c r="I38" s="245"/>
      <c r="J38" s="245"/>
    </row>
    <row r="39" spans="2:16" x14ac:dyDescent="0.25">
      <c r="F39" s="245"/>
      <c r="G39" s="245"/>
      <c r="H39" s="245"/>
      <c r="I39" s="245"/>
      <c r="J39" s="245"/>
    </row>
    <row r="40" spans="2:16" x14ac:dyDescent="0.25">
      <c r="F40" s="245"/>
      <c r="G40" s="245"/>
      <c r="H40" s="245"/>
      <c r="I40" s="245"/>
      <c r="J40" s="245"/>
    </row>
    <row r="41" spans="2:16" x14ac:dyDescent="0.25">
      <c r="E41" s="251"/>
      <c r="F41" s="245"/>
      <c r="G41" s="245"/>
      <c r="H41" s="245"/>
      <c r="I41" s="245"/>
      <c r="J41" s="245"/>
      <c r="L41" s="251"/>
    </row>
    <row r="42" spans="2:16" x14ac:dyDescent="0.25">
      <c r="F42" s="245"/>
      <c r="G42" s="245"/>
      <c r="H42" s="245"/>
      <c r="I42" s="245"/>
      <c r="J42" s="245"/>
    </row>
    <row r="43" spans="2:16" x14ac:dyDescent="0.25">
      <c r="F43" s="245"/>
      <c r="G43" s="245"/>
      <c r="H43" s="245"/>
      <c r="I43" s="245"/>
      <c r="J43" s="245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9B163E-8FD9-4F0C-B1E1-F38F6A6548CE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88a26cf8-717e-46a4-ac0d-03f11284dc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2025-12-11T19:34:43Z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