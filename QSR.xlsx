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1128" documentId="13_ncr:1_{737629C3-00B6-4222-9DFA-3A0B437B9505}" xr6:coauthVersionLast="47" xr6:coauthVersionMax="47" xr10:uidLastSave="{1304CA6A-7846-4174-94A0-C5032CA5B399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3" l="1"/>
  <c r="J8" i="13"/>
  <c r="H8" i="13"/>
  <c r="G8" i="13"/>
  <c r="K8" i="12"/>
  <c r="K11" i="12" s="1"/>
  <c r="K5" i="3" s="1"/>
  <c r="K6" i="3" s="1"/>
  <c r="G17" i="13"/>
  <c r="H17" i="13" s="1"/>
  <c r="I17" i="13" s="1"/>
  <c r="J17" i="13" s="1"/>
  <c r="F17" i="13"/>
  <c r="K10" i="12"/>
  <c r="I30" i="12"/>
  <c r="I31" i="12"/>
  <c r="I28" i="12"/>
  <c r="I27" i="12"/>
  <c r="I29" i="12"/>
  <c r="L26" i="12"/>
  <c r="J26" i="12"/>
  <c r="C31" i="12"/>
  <c r="C30" i="12"/>
  <c r="C27" i="12"/>
  <c r="C28" i="12"/>
  <c r="F26" i="12"/>
  <c r="D26" i="12"/>
  <c r="G17" i="12"/>
  <c r="G14" i="12"/>
  <c r="G13" i="12"/>
  <c r="G12" i="12"/>
  <c r="F5" i="3"/>
  <c r="F6" i="3"/>
  <c r="C17" i="12"/>
  <c r="C13" i="12"/>
  <c r="C12" i="12"/>
  <c r="G5" i="10"/>
  <c r="H5" i="10"/>
  <c r="I5" i="10"/>
  <c r="J5" i="10"/>
  <c r="G9" i="10"/>
  <c r="H9" i="10"/>
  <c r="I9" i="10"/>
  <c r="J9" i="10"/>
  <c r="G5" i="9"/>
  <c r="H5" i="9"/>
  <c r="I5" i="9"/>
  <c r="J5" i="9"/>
  <c r="G15" i="9"/>
  <c r="H15" i="9"/>
  <c r="I15" i="9"/>
  <c r="J15" i="9"/>
  <c r="G16" i="9"/>
  <c r="H16" i="9"/>
  <c r="I16" i="9"/>
  <c r="J16" i="9"/>
  <c r="G23" i="8"/>
  <c r="H23" i="8"/>
  <c r="I23" i="8"/>
  <c r="J23" i="8"/>
  <c r="G34" i="8"/>
  <c r="H34" i="8"/>
  <c r="I34" i="8"/>
  <c r="J34" i="8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H28" i="7"/>
  <c r="I28" i="7"/>
  <c r="J28" i="7"/>
  <c r="G29" i="7"/>
  <c r="H29" i="7"/>
  <c r="I29" i="7"/>
  <c r="J29" i="7"/>
  <c r="G38" i="7"/>
  <c r="H38" i="7"/>
  <c r="I38" i="7"/>
  <c r="J38" i="7"/>
  <c r="G39" i="7"/>
  <c r="H39" i="7"/>
  <c r="I39" i="7"/>
  <c r="J39" i="7"/>
  <c r="F29" i="7"/>
  <c r="F28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4" i="6"/>
  <c r="H24" i="6"/>
  <c r="I24" i="6"/>
  <c r="J24" i="6"/>
  <c r="G25" i="6"/>
  <c r="H25" i="6"/>
  <c r="I25" i="6"/>
  <c r="J25" i="6"/>
  <c r="G26" i="6"/>
  <c r="G27" i="6"/>
  <c r="G30" i="6"/>
  <c r="H30" i="6"/>
  <c r="I30" i="6"/>
  <c r="J30" i="6"/>
  <c r="G32" i="6"/>
  <c r="H32" i="6"/>
  <c r="I32" i="6"/>
  <c r="J32" i="6"/>
  <c r="G10" i="5"/>
  <c r="H10" i="5"/>
  <c r="H18" i="5" s="1"/>
  <c r="I10" i="5"/>
  <c r="I18" i="5" s="1"/>
  <c r="J10" i="5"/>
  <c r="J18" i="5" s="1"/>
  <c r="G11" i="5"/>
  <c r="H11" i="5"/>
  <c r="I11" i="5"/>
  <c r="J11" i="5"/>
  <c r="G16" i="5"/>
  <c r="H16" i="5"/>
  <c r="I16" i="5"/>
  <c r="J16" i="5"/>
  <c r="G18" i="5"/>
  <c r="F9" i="10"/>
  <c r="F8" i="10"/>
  <c r="F21" i="9"/>
  <c r="B22" i="9"/>
  <c r="F16" i="9"/>
  <c r="F15" i="9"/>
  <c r="F5" i="9"/>
  <c r="F4" i="9"/>
  <c r="E25" i="5"/>
  <c r="E24" i="5"/>
  <c r="E23" i="5"/>
  <c r="E21" i="5"/>
  <c r="E22" i="5"/>
  <c r="E20" i="5"/>
  <c r="E19" i="5"/>
  <c r="F16" i="5"/>
  <c r="F13" i="5"/>
  <c r="E17" i="5"/>
  <c r="F34" i="8"/>
  <c r="F32" i="6"/>
  <c r="F27" i="6"/>
  <c r="F26" i="6"/>
  <c r="F25" i="6"/>
  <c r="F20" i="6"/>
  <c r="F19" i="6"/>
  <c r="F18" i="6"/>
  <c r="F17" i="6"/>
  <c r="E20" i="6"/>
  <c r="H32" i="13"/>
  <c r="G32" i="13"/>
  <c r="I32" i="13"/>
  <c r="J32" i="13" s="1"/>
  <c r="F32" i="13"/>
  <c r="F39" i="7"/>
  <c r="F38" i="7"/>
  <c r="F26" i="7"/>
  <c r="F25" i="7"/>
  <c r="F22" i="7"/>
  <c r="G11" i="13"/>
  <c r="H11" i="13"/>
  <c r="I11" i="13"/>
  <c r="J11" i="13"/>
  <c r="F11" i="13"/>
  <c r="G12" i="13"/>
  <c r="H12" i="13"/>
  <c r="I12" i="13"/>
  <c r="J12" i="13"/>
  <c r="F12" i="13"/>
  <c r="P37" i="32"/>
  <c r="P36" i="32" s="1"/>
  <c r="S27" i="32"/>
  <c r="F7" i="13"/>
  <c r="Q39" i="32"/>
  <c r="O39" i="32"/>
  <c r="N39" i="32"/>
  <c r="M39" i="32"/>
  <c r="X35" i="32"/>
  <c r="X34" i="32" s="1"/>
  <c r="Y35" i="32"/>
  <c r="Y34" i="32" s="1"/>
  <c r="W34" i="32"/>
  <c r="W35" i="32"/>
  <c r="Y31" i="32"/>
  <c r="Y29" i="32"/>
  <c r="X31" i="32"/>
  <c r="X29" i="32"/>
  <c r="W31" i="32"/>
  <c r="Y30" i="32"/>
  <c r="X30" i="32"/>
  <c r="W30" i="32"/>
  <c r="W29" i="32"/>
  <c r="R37" i="32"/>
  <c r="R35" i="32"/>
  <c r="T33" i="32"/>
  <c r="S33" i="32"/>
  <c r="R33" i="32"/>
  <c r="R30" i="32"/>
  <c r="U29" i="32"/>
  <c r="T29" i="32"/>
  <c r="S29" i="32"/>
  <c r="R29" i="32"/>
  <c r="R31" i="32" s="1"/>
  <c r="V29" i="32" s="1"/>
  <c r="P34" i="32"/>
  <c r="P35" i="32"/>
  <c r="P33" i="32"/>
  <c r="P31" i="32"/>
  <c r="Q31" i="32" s="1"/>
  <c r="P30" i="32"/>
  <c r="P29" i="32"/>
  <c r="X25" i="32"/>
  <c r="Y25" i="32"/>
  <c r="W25" i="32"/>
  <c r="R25" i="32"/>
  <c r="W10" i="32"/>
  <c r="W8" i="32"/>
  <c r="X8" i="32" s="1"/>
  <c r="W6" i="32"/>
  <c r="X4" i="32"/>
  <c r="Y4" i="32"/>
  <c r="W4" i="32"/>
  <c r="G6" i="13"/>
  <c r="F6" i="13"/>
  <c r="V12" i="32"/>
  <c r="U12" i="32"/>
  <c r="T12" i="32"/>
  <c r="S12" i="32"/>
  <c r="R12" i="32"/>
  <c r="P12" i="32"/>
  <c r="R24" i="32"/>
  <c r="W7" i="32"/>
  <c r="V10" i="32"/>
  <c r="V8" i="32"/>
  <c r="V6" i="32"/>
  <c r="V4" i="32"/>
  <c r="V9" i="32"/>
  <c r="V11" i="32" s="1"/>
  <c r="V7" i="32"/>
  <c r="V5" i="32"/>
  <c r="V3" i="32"/>
  <c r="S25" i="32"/>
  <c r="Q25" i="32"/>
  <c r="U9" i="32"/>
  <c r="T9" i="32"/>
  <c r="S9" i="32"/>
  <c r="R9" i="32"/>
  <c r="U7" i="32"/>
  <c r="T7" i="32"/>
  <c r="S7" i="32"/>
  <c r="R7" i="32"/>
  <c r="U5" i="32"/>
  <c r="T5" i="32"/>
  <c r="S5" i="32"/>
  <c r="S11" i="32" s="1"/>
  <c r="R5" i="32"/>
  <c r="R11" i="32" s="1"/>
  <c r="U3" i="32"/>
  <c r="T3" i="32"/>
  <c r="S3" i="32"/>
  <c r="R3" i="32"/>
  <c r="P9" i="32"/>
  <c r="P7" i="32"/>
  <c r="Q7" i="32" s="1"/>
  <c r="P5" i="32"/>
  <c r="Q5" i="32" s="1"/>
  <c r="P3" i="32"/>
  <c r="S10" i="32"/>
  <c r="T10" i="32" s="1"/>
  <c r="U10" i="32" s="1"/>
  <c r="S8" i="32"/>
  <c r="T8" i="32" s="1"/>
  <c r="U8" i="32" s="1"/>
  <c r="S6" i="32"/>
  <c r="T6" i="32" s="1"/>
  <c r="T4" i="32"/>
  <c r="U4" i="32"/>
  <c r="S4" i="32"/>
  <c r="P25" i="32"/>
  <c r="Q3" i="32"/>
  <c r="P10" i="32"/>
  <c r="Q9" i="32"/>
  <c r="P4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O10" i="32"/>
  <c r="N10" i="32"/>
  <c r="M10" i="32"/>
  <c r="O8" i="32"/>
  <c r="N8" i="32"/>
  <c r="M8" i="32"/>
  <c r="O6" i="32"/>
  <c r="N6" i="32"/>
  <c r="M6" i="32"/>
  <c r="O4" i="32"/>
  <c r="N4" i="32"/>
  <c r="M4" i="32"/>
  <c r="K10" i="32"/>
  <c r="J10" i="32"/>
  <c r="I10" i="32"/>
  <c r="K8" i="32"/>
  <c r="J8" i="32"/>
  <c r="I8" i="32"/>
  <c r="K6" i="32"/>
  <c r="J6" i="32"/>
  <c r="I6" i="32"/>
  <c r="K4" i="32"/>
  <c r="J4" i="32"/>
  <c r="I4" i="32"/>
  <c r="H4" i="32"/>
  <c r="Q29" i="32"/>
  <c r="L29" i="32"/>
  <c r="L31" i="32"/>
  <c r="K30" i="32"/>
  <c r="J30" i="32"/>
  <c r="I30" i="32"/>
  <c r="H30" i="32"/>
  <c r="N30" i="32"/>
  <c r="O30" i="32"/>
  <c r="Q22" i="32"/>
  <c r="Q20" i="32"/>
  <c r="Q18" i="32"/>
  <c r="Q16" i="32"/>
  <c r="Q14" i="32"/>
  <c r="L22" i="32"/>
  <c r="L20" i="32"/>
  <c r="L18" i="32"/>
  <c r="L16" i="32"/>
  <c r="L14" i="32"/>
  <c r="L9" i="32"/>
  <c r="L7" i="32"/>
  <c r="L5" i="32"/>
  <c r="L3" i="32"/>
  <c r="G22" i="32"/>
  <c r="G20" i="32"/>
  <c r="G18" i="32"/>
  <c r="G16" i="32"/>
  <c r="G14" i="32"/>
  <c r="G5" i="32"/>
  <c r="G7" i="32"/>
  <c r="G9" i="32"/>
  <c r="G11" i="32" s="1"/>
  <c r="G3" i="32"/>
  <c r="M30" i="32"/>
  <c r="N37" i="32"/>
  <c r="M37" i="32"/>
  <c r="K37" i="32"/>
  <c r="J37" i="32"/>
  <c r="I37" i="32"/>
  <c r="H37" i="32"/>
  <c r="O37" i="32"/>
  <c r="B37" i="32"/>
  <c r="M11" i="32"/>
  <c r="F11" i="32"/>
  <c r="E11" i="32"/>
  <c r="D11" i="32"/>
  <c r="C11" i="32"/>
  <c r="A1" i="32"/>
  <c r="C32" i="13"/>
  <c r="D32" i="13"/>
  <c r="E32" i="13"/>
  <c r="C35" i="8"/>
  <c r="C34" i="8"/>
  <c r="C30" i="8"/>
  <c r="C23" i="8"/>
  <c r="C22" i="8"/>
  <c r="D35" i="8"/>
  <c r="D34" i="8"/>
  <c r="E35" i="8"/>
  <c r="D31" i="8"/>
  <c r="E31" i="8"/>
  <c r="E34" i="8"/>
  <c r="D30" i="8"/>
  <c r="E30" i="8"/>
  <c r="D23" i="8"/>
  <c r="D22" i="8"/>
  <c r="E24" i="8"/>
  <c r="E23" i="8"/>
  <c r="F23" i="8" s="1"/>
  <c r="E22" i="8"/>
  <c r="E9" i="5" s="1"/>
  <c r="F6" i="5" s="1"/>
  <c r="D15" i="8"/>
  <c r="D16" i="8" s="1"/>
  <c r="C15" i="8"/>
  <c r="C16" i="8" s="1"/>
  <c r="E15" i="8"/>
  <c r="D35" i="7"/>
  <c r="C35" i="7"/>
  <c r="E35" i="7"/>
  <c r="C29" i="7"/>
  <c r="D29" i="7"/>
  <c r="E29" i="7"/>
  <c r="C18" i="7"/>
  <c r="D18" i="7"/>
  <c r="E18" i="7"/>
  <c r="F8" i="3"/>
  <c r="F7" i="3"/>
  <c r="I17" i="6" l="1"/>
  <c r="I20" i="6" s="1"/>
  <c r="H26" i="6"/>
  <c r="H27" i="6" s="1"/>
  <c r="E16" i="8"/>
  <c r="E25" i="13"/>
  <c r="F25" i="13" s="1"/>
  <c r="F6" i="6" s="1"/>
  <c r="T27" i="32"/>
  <c r="S37" i="32"/>
  <c r="P38" i="32"/>
  <c r="S35" i="32"/>
  <c r="S36" i="32"/>
  <c r="R36" i="32"/>
  <c r="R34" i="32"/>
  <c r="R38" i="32" s="1"/>
  <c r="R39" i="32" s="1"/>
  <c r="S30" i="32"/>
  <c r="S24" i="32"/>
  <c r="T25" i="32"/>
  <c r="W9" i="32"/>
  <c r="X10" i="32"/>
  <c r="Y10" i="32" s="1"/>
  <c r="Y8" i="32"/>
  <c r="X7" i="32"/>
  <c r="Y7" i="32" s="1"/>
  <c r="X6" i="32"/>
  <c r="Y6" i="32" s="1"/>
  <c r="W5" i="32"/>
  <c r="X5" i="32" s="1"/>
  <c r="Y5" i="32" s="1"/>
  <c r="W3" i="32"/>
  <c r="W11" i="32"/>
  <c r="U6" i="32"/>
  <c r="U11" i="32" s="1"/>
  <c r="T11" i="32"/>
  <c r="P11" i="32"/>
  <c r="P24" i="32" s="1"/>
  <c r="Q24" i="32" s="1"/>
  <c r="Q8" i="32"/>
  <c r="Q4" i="32"/>
  <c r="L10" i="32"/>
  <c r="Q10" i="32"/>
  <c r="L6" i="32"/>
  <c r="L4" i="32"/>
  <c r="Q6" i="32"/>
  <c r="Q11" i="32" s="1"/>
  <c r="L8" i="32"/>
  <c r="O11" i="32"/>
  <c r="O24" i="32" s="1"/>
  <c r="N11" i="32"/>
  <c r="N24" i="32" s="1"/>
  <c r="K11" i="32"/>
  <c r="K12" i="32" s="1"/>
  <c r="J11" i="32"/>
  <c r="J12" i="32" s="1"/>
  <c r="I11" i="32"/>
  <c r="I12" i="32" s="1"/>
  <c r="H11" i="32"/>
  <c r="Q30" i="32"/>
  <c r="L30" i="32"/>
  <c r="M24" i="32"/>
  <c r="G24" i="32"/>
  <c r="F24" i="32"/>
  <c r="K33" i="32"/>
  <c r="E24" i="32"/>
  <c r="J33" i="32"/>
  <c r="J36" i="32" s="1"/>
  <c r="D24" i="32"/>
  <c r="I33" i="32"/>
  <c r="I36" i="32" s="1"/>
  <c r="C24" i="32"/>
  <c r="H33" i="32"/>
  <c r="D17" i="13"/>
  <c r="D38" i="13" s="1"/>
  <c r="C17" i="13"/>
  <c r="C38" i="13" s="1"/>
  <c r="E14" i="13"/>
  <c r="D46" i="13"/>
  <c r="D14" i="13"/>
  <c r="E52" i="13"/>
  <c r="F52" i="13" s="1"/>
  <c r="F10" i="8" s="1"/>
  <c r="E12" i="13"/>
  <c r="D10" i="13"/>
  <c r="E10" i="13"/>
  <c r="D33" i="13"/>
  <c r="E33" i="13"/>
  <c r="F33" i="13" s="1"/>
  <c r="G33" i="13" s="1"/>
  <c r="H33" i="13" s="1"/>
  <c r="I33" i="13" s="1"/>
  <c r="J33" i="13" s="1"/>
  <c r="E54" i="13"/>
  <c r="D54" i="13"/>
  <c r="C54" i="13"/>
  <c r="E53" i="13"/>
  <c r="D53" i="13"/>
  <c r="C53" i="13"/>
  <c r="C52" i="13"/>
  <c r="E48" i="13"/>
  <c r="D48" i="13"/>
  <c r="C48" i="13"/>
  <c r="E47" i="13"/>
  <c r="F47" i="13" s="1"/>
  <c r="D47" i="13"/>
  <c r="C47" i="13"/>
  <c r="C46" i="13"/>
  <c r="E45" i="13"/>
  <c r="D45" i="13"/>
  <c r="C45" i="13"/>
  <c r="E44" i="13"/>
  <c r="D44" i="13"/>
  <c r="C44" i="13"/>
  <c r="E17" i="13"/>
  <c r="E38" i="13" s="1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B38" i="13"/>
  <c r="D2" i="8"/>
  <c r="E2" i="8" s="1"/>
  <c r="E14" i="8" s="1"/>
  <c r="D2" i="7"/>
  <c r="E2" i="7" s="1"/>
  <c r="F2" i="7" s="1"/>
  <c r="G2" i="7" s="1"/>
  <c r="H2" i="7" s="1"/>
  <c r="I2" i="7" s="1"/>
  <c r="J2" i="7" s="1"/>
  <c r="E2" i="6"/>
  <c r="F2" i="6" s="1"/>
  <c r="D2" i="6"/>
  <c r="D11" i="6" s="1"/>
  <c r="D16" i="6" s="1"/>
  <c r="D24" i="6" s="1"/>
  <c r="C21" i="13"/>
  <c r="C30" i="13" s="1"/>
  <c r="C36" i="13" s="1"/>
  <c r="C42" i="13" s="1"/>
  <c r="C50" i="13" s="1"/>
  <c r="D2" i="13"/>
  <c r="E2" i="13" s="1"/>
  <c r="G8" i="7"/>
  <c r="H8" i="7"/>
  <c r="I8" i="7"/>
  <c r="J8" i="7"/>
  <c r="G9" i="7"/>
  <c r="H9" i="7"/>
  <c r="I9" i="7"/>
  <c r="J9" i="7"/>
  <c r="A1" i="10"/>
  <c r="C20" i="8"/>
  <c r="D20" i="8"/>
  <c r="E20" i="8"/>
  <c r="D25" i="8"/>
  <c r="C25" i="8"/>
  <c r="E25" i="8"/>
  <c r="E32" i="8"/>
  <c r="C32" i="8"/>
  <c r="D32" i="8"/>
  <c r="C36" i="8"/>
  <c r="D36" i="8"/>
  <c r="E36" i="8"/>
  <c r="C10" i="5"/>
  <c r="C18" i="5" s="1"/>
  <c r="D2" i="5"/>
  <c r="E2" i="5" s="1"/>
  <c r="G10" i="13"/>
  <c r="G4" i="7" s="1"/>
  <c r="F3" i="5"/>
  <c r="C11" i="6"/>
  <c r="C30" i="6" s="1"/>
  <c r="F24" i="13"/>
  <c r="F23" i="13"/>
  <c r="F4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4" i="8"/>
  <c r="C14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G9" i="6"/>
  <c r="H9" i="6"/>
  <c r="I9" i="6"/>
  <c r="J9" i="6"/>
  <c r="J8" i="6"/>
  <c r="I8" i="6"/>
  <c r="H8" i="6"/>
  <c r="G8" i="6"/>
  <c r="E2" i="12"/>
  <c r="F2" i="12" s="1"/>
  <c r="G2" i="12" s="1"/>
  <c r="H2" i="12" s="1"/>
  <c r="F8" i="7"/>
  <c r="J17" i="6" l="1"/>
  <c r="J20" i="6" s="1"/>
  <c r="I26" i="6"/>
  <c r="I27" i="6" s="1"/>
  <c r="U27" i="32"/>
  <c r="U37" i="32" s="1"/>
  <c r="T37" i="32"/>
  <c r="T36" i="32" s="1"/>
  <c r="P39" i="32"/>
  <c r="U33" i="32"/>
  <c r="S34" i="32"/>
  <c r="S38" i="32" s="1"/>
  <c r="S39" i="32" s="1"/>
  <c r="T35" i="32"/>
  <c r="S31" i="32"/>
  <c r="T30" i="32"/>
  <c r="T24" i="32"/>
  <c r="U25" i="32"/>
  <c r="U24" i="32" s="1"/>
  <c r="X9" i="32"/>
  <c r="Y9" i="32" s="1"/>
  <c r="X3" i="32"/>
  <c r="W12" i="32"/>
  <c r="H6" i="13" s="1"/>
  <c r="L11" i="32"/>
  <c r="L12" i="32" s="1"/>
  <c r="Q12" i="32"/>
  <c r="N12" i="32"/>
  <c r="O12" i="32"/>
  <c r="H12" i="32"/>
  <c r="M12" i="32"/>
  <c r="Q34" i="32"/>
  <c r="Q35" i="32" s="1"/>
  <c r="V34" i="32"/>
  <c r="K24" i="32"/>
  <c r="K34" i="32"/>
  <c r="J24" i="32"/>
  <c r="J34" i="32"/>
  <c r="O33" i="32"/>
  <c r="O34" i="32"/>
  <c r="O35" i="32" s="1"/>
  <c r="N34" i="32"/>
  <c r="N35" i="32" s="1"/>
  <c r="I24" i="32"/>
  <c r="I34" i="32"/>
  <c r="N33" i="32"/>
  <c r="M34" i="32"/>
  <c r="M35" i="32" s="1"/>
  <c r="H24" i="32"/>
  <c r="H34" i="32"/>
  <c r="M33" i="32"/>
  <c r="L24" i="32"/>
  <c r="L34" i="32"/>
  <c r="H36" i="32"/>
  <c r="L33" i="32"/>
  <c r="K36" i="32"/>
  <c r="C39" i="8"/>
  <c r="D39" i="8"/>
  <c r="G24" i="13"/>
  <c r="E11" i="11"/>
  <c r="C23" i="7"/>
  <c r="C34" i="7"/>
  <c r="F11" i="7"/>
  <c r="F35" i="7" s="1"/>
  <c r="F36" i="7" s="1"/>
  <c r="D11" i="13"/>
  <c r="D52" i="13"/>
  <c r="D19" i="7"/>
  <c r="D23" i="7" s="1"/>
  <c r="E46" i="13"/>
  <c r="F46" i="13" s="1"/>
  <c r="F6" i="8" s="1"/>
  <c r="E11" i="13"/>
  <c r="E10" i="11"/>
  <c r="E9" i="11" s="1"/>
  <c r="F9" i="3"/>
  <c r="D21" i="13"/>
  <c r="D30" i="13" s="1"/>
  <c r="D36" i="13" s="1"/>
  <c r="D42" i="13" s="1"/>
  <c r="D50" i="13" s="1"/>
  <c r="F2" i="13"/>
  <c r="E21" i="13"/>
  <c r="E30" i="13" s="1"/>
  <c r="E36" i="13" s="1"/>
  <c r="E42" i="13" s="1"/>
  <c r="E50" i="13" s="1"/>
  <c r="F2" i="8"/>
  <c r="F11" i="6"/>
  <c r="F30" i="6" s="1"/>
  <c r="G2" i="6"/>
  <c r="E11" i="6"/>
  <c r="E16" i="6" s="1"/>
  <c r="E24" i="6" s="1"/>
  <c r="E30" i="6"/>
  <c r="F5" i="6"/>
  <c r="F21" i="6" s="1"/>
  <c r="F22" i="6" s="1"/>
  <c r="F28" i="6" s="1"/>
  <c r="G25" i="13"/>
  <c r="G6" i="6" s="1"/>
  <c r="G52" i="13"/>
  <c r="G13" i="13"/>
  <c r="G23" i="13"/>
  <c r="G4" i="6" s="1"/>
  <c r="D10" i="5"/>
  <c r="D18" i="5" s="1"/>
  <c r="E10" i="5"/>
  <c r="E18" i="5" s="1"/>
  <c r="F2" i="5"/>
  <c r="D30" i="6"/>
  <c r="D27" i="8"/>
  <c r="C16" i="6"/>
  <c r="C24" i="6" s="1"/>
  <c r="E39" i="8"/>
  <c r="E27" i="8"/>
  <c r="C27" i="8"/>
  <c r="F4" i="5"/>
  <c r="F7" i="8"/>
  <c r="G47" i="13"/>
  <c r="F44" i="13"/>
  <c r="F53" i="13"/>
  <c r="F45" i="13"/>
  <c r="E19" i="7"/>
  <c r="E23" i="7" s="1"/>
  <c r="F48" i="13"/>
  <c r="F54" i="13"/>
  <c r="F15" i="5" l="1"/>
  <c r="F14" i="9"/>
  <c r="F17" i="9" s="1"/>
  <c r="J26" i="6"/>
  <c r="J27" i="6" s="1"/>
  <c r="G4" i="5"/>
  <c r="H4" i="5" s="1"/>
  <c r="I4" i="5" s="1"/>
  <c r="J4" i="5" s="1"/>
  <c r="F8" i="5"/>
  <c r="U36" i="32"/>
  <c r="V36" i="32" s="1"/>
  <c r="V27" i="32" s="1"/>
  <c r="V33" i="32"/>
  <c r="V38" i="32" s="1"/>
  <c r="T34" i="32"/>
  <c r="T38" i="32" s="1"/>
  <c r="T39" i="32" s="1"/>
  <c r="U35" i="32"/>
  <c r="T31" i="32"/>
  <c r="U30" i="32"/>
  <c r="U31" i="32" s="1"/>
  <c r="V31" i="32" s="1"/>
  <c r="V30" i="32" s="1"/>
  <c r="V35" i="32" s="1"/>
  <c r="V24" i="32"/>
  <c r="V25" i="32" s="1"/>
  <c r="X11" i="32"/>
  <c r="Y3" i="32"/>
  <c r="Y11" i="32" s="1"/>
  <c r="H10" i="13"/>
  <c r="H4" i="7" s="1"/>
  <c r="H35" i="32"/>
  <c r="H38" i="32"/>
  <c r="M36" i="32"/>
  <c r="M38" i="32"/>
  <c r="L38" i="32"/>
  <c r="L35" i="32"/>
  <c r="J35" i="32"/>
  <c r="J38" i="32"/>
  <c r="I35" i="32"/>
  <c r="I38" i="32"/>
  <c r="N36" i="32"/>
  <c r="Q33" i="32"/>
  <c r="Q38" i="32" s="1"/>
  <c r="N38" i="32"/>
  <c r="K35" i="32"/>
  <c r="K38" i="32"/>
  <c r="O36" i="32"/>
  <c r="L36" i="32"/>
  <c r="L27" i="32" s="1"/>
  <c r="L37" i="32" s="1"/>
  <c r="G5" i="6"/>
  <c r="G21" i="6" s="1"/>
  <c r="G22" i="6" s="1"/>
  <c r="G28" i="6" s="1"/>
  <c r="H24" i="13"/>
  <c r="C41" i="8"/>
  <c r="D41" i="8"/>
  <c r="C41" i="7"/>
  <c r="C40" i="7"/>
  <c r="F38" i="13"/>
  <c r="D31" i="7"/>
  <c r="G46" i="13"/>
  <c r="H46" i="13" s="1"/>
  <c r="H6" i="8" s="1"/>
  <c r="G2" i="13"/>
  <c r="F21" i="13"/>
  <c r="F30" i="13" s="1"/>
  <c r="F36" i="13" s="1"/>
  <c r="F42" i="13" s="1"/>
  <c r="F50" i="13" s="1"/>
  <c r="G38" i="13"/>
  <c r="F14" i="8"/>
  <c r="G2" i="8"/>
  <c r="H2" i="6"/>
  <c r="G11" i="6"/>
  <c r="F16" i="6"/>
  <c r="F24" i="6" s="1"/>
  <c r="E41" i="8"/>
  <c r="H25" i="13"/>
  <c r="I25" i="13" s="1"/>
  <c r="H23" i="13"/>
  <c r="H13" i="13"/>
  <c r="G7" i="7"/>
  <c r="G10" i="8"/>
  <c r="H52" i="13"/>
  <c r="G2" i="5"/>
  <c r="F10" i="5"/>
  <c r="F18" i="5" s="1"/>
  <c r="G3" i="5"/>
  <c r="H4" i="6"/>
  <c r="I23" i="13"/>
  <c r="F5" i="8"/>
  <c r="G45" i="13"/>
  <c r="G44" i="13"/>
  <c r="H44" i="13" s="1"/>
  <c r="I44" i="13" s="1"/>
  <c r="J44" i="13" s="1"/>
  <c r="F4" i="8"/>
  <c r="F12" i="8"/>
  <c r="G54" i="13"/>
  <c r="G48" i="13"/>
  <c r="F8" i="8"/>
  <c r="E31" i="7"/>
  <c r="F11" i="8"/>
  <c r="G53" i="13"/>
  <c r="G7" i="8"/>
  <c r="H47" i="13"/>
  <c r="F21" i="7" l="1"/>
  <c r="G11" i="7"/>
  <c r="G35" i="7" s="1"/>
  <c r="G36" i="7" s="1"/>
  <c r="V37" i="32"/>
  <c r="W27" i="32"/>
  <c r="V39" i="32"/>
  <c r="G7" i="13" s="1"/>
  <c r="W33" i="32"/>
  <c r="U34" i="32"/>
  <c r="U38" i="32" s="1"/>
  <c r="U39" i="32" s="1"/>
  <c r="W24" i="32"/>
  <c r="X12" i="32"/>
  <c r="I6" i="13" s="1"/>
  <c r="Y12" i="32"/>
  <c r="J6" i="13" s="1"/>
  <c r="Q36" i="32"/>
  <c r="Q27" i="32" s="1"/>
  <c r="Q37" i="32" s="1"/>
  <c r="O38" i="32"/>
  <c r="H5" i="6"/>
  <c r="H21" i="6" s="1"/>
  <c r="H22" i="6" s="1"/>
  <c r="H28" i="6" s="1"/>
  <c r="I24" i="13"/>
  <c r="I46" i="13"/>
  <c r="G6" i="8"/>
  <c r="D34" i="7"/>
  <c r="D16" i="13"/>
  <c r="E34" i="7"/>
  <c r="E16" i="13"/>
  <c r="F16" i="13" s="1"/>
  <c r="H2" i="13"/>
  <c r="G21" i="13"/>
  <c r="G30" i="13" s="1"/>
  <c r="G36" i="13" s="1"/>
  <c r="G42" i="13" s="1"/>
  <c r="G50" i="13" s="1"/>
  <c r="H11" i="7"/>
  <c r="H35" i="7" s="1"/>
  <c r="H36" i="7" s="1"/>
  <c r="G14" i="8"/>
  <c r="H2" i="8"/>
  <c r="I2" i="6"/>
  <c r="H11" i="6"/>
  <c r="H6" i="6"/>
  <c r="H10" i="8"/>
  <c r="I52" i="13"/>
  <c r="G5" i="7"/>
  <c r="I13" i="13"/>
  <c r="H7" i="7"/>
  <c r="G6" i="7"/>
  <c r="H2" i="5"/>
  <c r="I4" i="6"/>
  <c r="J23" i="13"/>
  <c r="H3" i="5"/>
  <c r="J25" i="13"/>
  <c r="I6" i="6"/>
  <c r="H53" i="13"/>
  <c r="G11" i="8"/>
  <c r="F5" i="7"/>
  <c r="H48" i="13"/>
  <c r="G8" i="8"/>
  <c r="H54" i="13"/>
  <c r="G12" i="8"/>
  <c r="I47" i="13"/>
  <c r="H7" i="8"/>
  <c r="F6" i="7"/>
  <c r="G4" i="8"/>
  <c r="H45" i="13"/>
  <c r="G5" i="8"/>
  <c r="G14" i="9" l="1"/>
  <c r="G17" i="9" s="1"/>
  <c r="G15" i="5"/>
  <c r="H14" i="9"/>
  <c r="H17" i="9" s="1"/>
  <c r="H15" i="5"/>
  <c r="H38" i="13"/>
  <c r="W37" i="32"/>
  <c r="W36" i="32" s="1"/>
  <c r="W38" i="32" s="1"/>
  <c r="X27" i="32"/>
  <c r="Y24" i="32"/>
  <c r="X24" i="32"/>
  <c r="I10" i="13"/>
  <c r="I4" i="7" s="1"/>
  <c r="J10" i="13"/>
  <c r="J4" i="7" s="1"/>
  <c r="J24" i="13"/>
  <c r="J5" i="6" s="1"/>
  <c r="J21" i="6" s="1"/>
  <c r="J22" i="6" s="1"/>
  <c r="J28" i="6" s="1"/>
  <c r="I5" i="6"/>
  <c r="I21" i="6" s="1"/>
  <c r="I22" i="6" s="1"/>
  <c r="I28" i="6" s="1"/>
  <c r="J46" i="13"/>
  <c r="J6" i="8" s="1"/>
  <c r="I6" i="8"/>
  <c r="D40" i="7"/>
  <c r="D41" i="7"/>
  <c r="E40" i="7"/>
  <c r="E41" i="7"/>
  <c r="G16" i="13"/>
  <c r="F5" i="10"/>
  <c r="E4" i="11"/>
  <c r="L4" i="11" s="1"/>
  <c r="L5" i="11" s="1"/>
  <c r="L6" i="11" s="1"/>
  <c r="L7" i="11" s="1"/>
  <c r="I2" i="13"/>
  <c r="H21" i="13"/>
  <c r="H30" i="13" s="1"/>
  <c r="H36" i="13" s="1"/>
  <c r="H42" i="13" s="1"/>
  <c r="H50" i="13" s="1"/>
  <c r="I38" i="13"/>
  <c r="I11" i="7"/>
  <c r="I35" i="7" s="1"/>
  <c r="I36" i="7" s="1"/>
  <c r="I2" i="8"/>
  <c r="H14" i="8"/>
  <c r="J2" i="6"/>
  <c r="J11" i="6" s="1"/>
  <c r="I11" i="6"/>
  <c r="H6" i="7"/>
  <c r="J13" i="13"/>
  <c r="I7" i="7"/>
  <c r="H5" i="7"/>
  <c r="J52" i="13"/>
  <c r="I10" i="8"/>
  <c r="I2" i="5"/>
  <c r="I3" i="5"/>
  <c r="J4" i="6"/>
  <c r="J6" i="6"/>
  <c r="F18" i="13"/>
  <c r="J47" i="13"/>
  <c r="I7" i="8"/>
  <c r="H12" i="8"/>
  <c r="I54" i="13"/>
  <c r="I48" i="13"/>
  <c r="H8" i="8"/>
  <c r="I45" i="13"/>
  <c r="H5" i="8"/>
  <c r="H4" i="8"/>
  <c r="I53" i="13"/>
  <c r="H11" i="8"/>
  <c r="I14" i="9" l="1"/>
  <c r="I17" i="9" s="1"/>
  <c r="I15" i="5"/>
  <c r="W39" i="32"/>
  <c r="H7" i="13" s="1"/>
  <c r="X33" i="32"/>
  <c r="X37" i="32"/>
  <c r="X36" i="32" s="1"/>
  <c r="Y27" i="32"/>
  <c r="Y37" i="32" s="1"/>
  <c r="G10" i="7"/>
  <c r="H16" i="13"/>
  <c r="J2" i="13"/>
  <c r="J21" i="13" s="1"/>
  <c r="J30" i="13" s="1"/>
  <c r="J36" i="13" s="1"/>
  <c r="J42" i="13" s="1"/>
  <c r="J50" i="13" s="1"/>
  <c r="I21" i="13"/>
  <c r="I30" i="13" s="1"/>
  <c r="I36" i="13" s="1"/>
  <c r="I42" i="13" s="1"/>
  <c r="I50" i="13" s="1"/>
  <c r="J38" i="13"/>
  <c r="J11" i="7"/>
  <c r="J35" i="7" s="1"/>
  <c r="J36" i="7" s="1"/>
  <c r="G18" i="13"/>
  <c r="G39" i="13" s="1"/>
  <c r="F39" i="13"/>
  <c r="I14" i="8"/>
  <c r="J2" i="8"/>
  <c r="J14" i="8" s="1"/>
  <c r="J10" i="8"/>
  <c r="I5" i="7"/>
  <c r="J7" i="7"/>
  <c r="I6" i="7"/>
  <c r="J2" i="5"/>
  <c r="J3" i="5"/>
  <c r="I4" i="8"/>
  <c r="F19" i="13"/>
  <c r="I5" i="8"/>
  <c r="J45" i="13"/>
  <c r="J48" i="13"/>
  <c r="I8" i="8"/>
  <c r="I12" i="8"/>
  <c r="J54" i="13"/>
  <c r="J7" i="8"/>
  <c r="J53" i="13"/>
  <c r="I11" i="8"/>
  <c r="F10" i="7"/>
  <c r="E12" i="11"/>
  <c r="F12" i="7"/>
  <c r="J14" i="9" l="1"/>
  <c r="J17" i="9" s="1"/>
  <c r="K7" i="12"/>
  <c r="J15" i="5"/>
  <c r="X38" i="32"/>
  <c r="H10" i="7"/>
  <c r="I16" i="13"/>
  <c r="G12" i="7"/>
  <c r="G19" i="13"/>
  <c r="F40" i="13"/>
  <c r="H18" i="13"/>
  <c r="H39" i="13" s="1"/>
  <c r="J6" i="7"/>
  <c r="J5" i="7"/>
  <c r="J8" i="8"/>
  <c r="M4" i="11"/>
  <c r="J12" i="8"/>
  <c r="J11" i="8"/>
  <c r="J5" i="8"/>
  <c r="F13" i="7"/>
  <c r="J4" i="8"/>
  <c r="X39" i="32" l="1"/>
  <c r="I7" i="13" s="1"/>
  <c r="Y33" i="32"/>
  <c r="Y36" i="32" s="1"/>
  <c r="Y38" i="32" s="1"/>
  <c r="Y39" i="32" s="1"/>
  <c r="J7" i="13" s="1"/>
  <c r="G40" i="13"/>
  <c r="G13" i="7"/>
  <c r="I18" i="13"/>
  <c r="J18" i="13" s="1"/>
  <c r="J39" i="13" s="1"/>
  <c r="H19" i="13"/>
  <c r="H12" i="7"/>
  <c r="J16" i="13"/>
  <c r="J10" i="7" s="1"/>
  <c r="I10" i="7"/>
  <c r="M5" i="11"/>
  <c r="I39" i="13" l="1"/>
  <c r="I12" i="7"/>
  <c r="H40" i="13"/>
  <c r="H13" i="7"/>
  <c r="I19" i="13"/>
  <c r="I13" i="7" s="1"/>
  <c r="J12" i="7"/>
  <c r="M6" i="11"/>
  <c r="M7" i="11"/>
  <c r="I40" i="13" l="1"/>
  <c r="J19" i="13"/>
  <c r="J40" i="13" s="1"/>
  <c r="J13" i="7"/>
  <c r="M9" i="11"/>
  <c r="M11" i="11" s="1"/>
  <c r="E8" i="11" s="1"/>
  <c r="E13" i="11" s="1"/>
  <c r="K17" i="12" s="1"/>
  <c r="D3" i="12" l="1"/>
  <c r="H3" i="12"/>
  <c r="G3" i="12"/>
  <c r="F3" i="12"/>
  <c r="E3" i="12"/>
  <c r="F10" i="13" l="1"/>
  <c r="F4" i="7" l="1"/>
  <c r="F16" i="7" s="1"/>
  <c r="F24" i="8" l="1"/>
  <c r="F15" i="8"/>
  <c r="F17" i="8"/>
  <c r="F20" i="5" s="1"/>
  <c r="F19" i="8"/>
  <c r="F22" i="5" s="1"/>
  <c r="F18" i="8"/>
  <c r="F21" i="5" s="1"/>
  <c r="F7" i="5"/>
  <c r="F3" i="10"/>
  <c r="F17" i="7"/>
  <c r="F18" i="7"/>
  <c r="F31" i="8"/>
  <c r="F24" i="5" s="1"/>
  <c r="F35" i="8"/>
  <c r="G16" i="7"/>
  <c r="F7" i="9" l="1"/>
  <c r="F11" i="10" s="1"/>
  <c r="F19" i="5"/>
  <c r="F9" i="5"/>
  <c r="F11" i="9"/>
  <c r="F12" i="9" s="1"/>
  <c r="F13" i="10" s="1"/>
  <c r="F36" i="8"/>
  <c r="F8" i="9"/>
  <c r="F12" i="10" s="1"/>
  <c r="G35" i="8"/>
  <c r="G31" i="8"/>
  <c r="G24" i="5" s="1"/>
  <c r="G24" i="8"/>
  <c r="G7" i="9" s="1"/>
  <c r="G11" i="10" s="1"/>
  <c r="G19" i="8"/>
  <c r="G22" i="5" s="1"/>
  <c r="G18" i="8"/>
  <c r="G21" i="5" s="1"/>
  <c r="G17" i="8"/>
  <c r="G20" i="5" s="1"/>
  <c r="G15" i="8"/>
  <c r="G3" i="10"/>
  <c r="G18" i="7"/>
  <c r="G17" i="7"/>
  <c r="H16" i="7"/>
  <c r="G7" i="5"/>
  <c r="F30" i="8"/>
  <c r="F19" i="7"/>
  <c r="G6" i="5" l="1"/>
  <c r="F22" i="8"/>
  <c r="G8" i="9"/>
  <c r="G12" i="10" s="1"/>
  <c r="G36" i="8"/>
  <c r="G19" i="5"/>
  <c r="H18" i="7"/>
  <c r="H17" i="7"/>
  <c r="H30" i="8" s="1"/>
  <c r="I16" i="7"/>
  <c r="H7" i="5"/>
  <c r="H11" i="9" s="1"/>
  <c r="H12" i="9" s="1"/>
  <c r="H13" i="10" s="1"/>
  <c r="H35" i="8"/>
  <c r="H31" i="8"/>
  <c r="H24" i="5" s="1"/>
  <c r="H24" i="8"/>
  <c r="H19" i="8"/>
  <c r="H22" i="5" s="1"/>
  <c r="H18" i="8"/>
  <c r="H21" i="5" s="1"/>
  <c r="H17" i="8"/>
  <c r="H20" i="5" s="1"/>
  <c r="H15" i="8"/>
  <c r="H3" i="10"/>
  <c r="G11" i="9"/>
  <c r="G12" i="9" s="1"/>
  <c r="G13" i="10" s="1"/>
  <c r="F18" i="10"/>
  <c r="F23" i="5"/>
  <c r="F25" i="5" s="1"/>
  <c r="F31" i="7"/>
  <c r="F33" i="7" s="1"/>
  <c r="F34" i="7" s="1"/>
  <c r="F4" i="10"/>
  <c r="F7" i="10" s="1"/>
  <c r="F23" i="7"/>
  <c r="G30" i="8"/>
  <c r="G19" i="7"/>
  <c r="F17" i="10" l="1"/>
  <c r="F19" i="10" s="1"/>
  <c r="F20" i="10" s="1"/>
  <c r="F25" i="8"/>
  <c r="H18" i="10"/>
  <c r="H23" i="5"/>
  <c r="J16" i="7"/>
  <c r="I17" i="7"/>
  <c r="I18" i="7"/>
  <c r="I7" i="5"/>
  <c r="I11" i="9" s="1"/>
  <c r="I12" i="9" s="1"/>
  <c r="I13" i="10" s="1"/>
  <c r="I35" i="8"/>
  <c r="I31" i="8"/>
  <c r="I24" i="5" s="1"/>
  <c r="I24" i="8"/>
  <c r="I7" i="9" s="1"/>
  <c r="I11" i="10" s="1"/>
  <c r="I19" i="8"/>
  <c r="I22" i="5" s="1"/>
  <c r="I18" i="8"/>
  <c r="I21" i="5" s="1"/>
  <c r="I17" i="8"/>
  <c r="I20" i="5" s="1"/>
  <c r="I15" i="8"/>
  <c r="I3" i="10"/>
  <c r="H8" i="9"/>
  <c r="H12" i="10" s="1"/>
  <c r="H36" i="8"/>
  <c r="H7" i="9"/>
  <c r="H11" i="10" s="1"/>
  <c r="H19" i="5"/>
  <c r="F26" i="5"/>
  <c r="F6" i="9" s="1"/>
  <c r="F10" i="10" s="1"/>
  <c r="F3" i="9"/>
  <c r="F41" i="7"/>
  <c r="F14" i="5"/>
  <c r="F17" i="5" s="1"/>
  <c r="F40" i="7"/>
  <c r="F15" i="10"/>
  <c r="D4" i="12" s="1"/>
  <c r="G23" i="5"/>
  <c r="G25" i="5" s="1"/>
  <c r="G26" i="5" s="1"/>
  <c r="G6" i="9" s="1"/>
  <c r="G10" i="10" s="1"/>
  <c r="G18" i="10"/>
  <c r="G4" i="10"/>
  <c r="G7" i="10" s="1"/>
  <c r="G31" i="7"/>
  <c r="G33" i="7" s="1"/>
  <c r="G34" i="7" s="1"/>
  <c r="H19" i="7"/>
  <c r="G8" i="5"/>
  <c r="F9" i="9" l="1"/>
  <c r="F19" i="9" s="1"/>
  <c r="F22" i="9" s="1"/>
  <c r="F23" i="9" s="1"/>
  <c r="G21" i="7"/>
  <c r="G9" i="5"/>
  <c r="J17" i="7"/>
  <c r="J18" i="7"/>
  <c r="J7" i="5"/>
  <c r="J11" i="9" s="1"/>
  <c r="J12" i="9" s="1"/>
  <c r="J13" i="10" s="1"/>
  <c r="J35" i="8"/>
  <c r="J31" i="8"/>
  <c r="J24" i="5" s="1"/>
  <c r="J24" i="8"/>
  <c r="J7" i="9" s="1"/>
  <c r="J11" i="10" s="1"/>
  <c r="J19" i="8"/>
  <c r="J22" i="5" s="1"/>
  <c r="J18" i="8"/>
  <c r="J21" i="5" s="1"/>
  <c r="J17" i="8"/>
  <c r="J20" i="5" s="1"/>
  <c r="J15" i="8"/>
  <c r="J3" i="10"/>
  <c r="I30" i="8"/>
  <c r="I19" i="7"/>
  <c r="I8" i="9"/>
  <c r="I12" i="10" s="1"/>
  <c r="I36" i="8"/>
  <c r="I19" i="5"/>
  <c r="F38" i="8"/>
  <c r="G13" i="5"/>
  <c r="G3" i="9"/>
  <c r="G40" i="7"/>
  <c r="G41" i="7"/>
  <c r="G14" i="5"/>
  <c r="H4" i="10"/>
  <c r="H7" i="10" s="1"/>
  <c r="H31" i="7"/>
  <c r="H33" i="7" s="1"/>
  <c r="H34" i="7" s="1"/>
  <c r="H25" i="5"/>
  <c r="G4" i="9" l="1"/>
  <c r="G8" i="10" s="1"/>
  <c r="G15" i="10" s="1"/>
  <c r="E4" i="12" s="1"/>
  <c r="G23" i="7"/>
  <c r="G9" i="9"/>
  <c r="G19" i="9" s="1"/>
  <c r="G22" i="9" s="1"/>
  <c r="G22" i="8"/>
  <c r="H6" i="5"/>
  <c r="H8" i="5" s="1"/>
  <c r="F16" i="8"/>
  <c r="F29" i="8"/>
  <c r="F32" i="8" s="1"/>
  <c r="F39" i="8" s="1"/>
  <c r="J30" i="8"/>
  <c r="J19" i="7"/>
  <c r="J8" i="9"/>
  <c r="J12" i="10" s="1"/>
  <c r="J36" i="8"/>
  <c r="J19" i="5"/>
  <c r="I18" i="10"/>
  <c r="I23" i="5"/>
  <c r="I25" i="5" s="1"/>
  <c r="I26" i="5" s="1"/>
  <c r="I6" i="9" s="1"/>
  <c r="I10" i="10" s="1"/>
  <c r="I31" i="7"/>
  <c r="I33" i="7" s="1"/>
  <c r="I34" i="7" s="1"/>
  <c r="I4" i="10"/>
  <c r="I7" i="10" s="1"/>
  <c r="H3" i="9"/>
  <c r="H40" i="7"/>
  <c r="H41" i="7"/>
  <c r="H14" i="5"/>
  <c r="H26" i="5"/>
  <c r="H6" i="9" s="1"/>
  <c r="H10" i="10" s="1"/>
  <c r="G17" i="5"/>
  <c r="G17" i="10" l="1"/>
  <c r="G19" i="10" s="1"/>
  <c r="G20" i="10" s="1"/>
  <c r="G25" i="8"/>
  <c r="F20" i="8"/>
  <c r="F27" i="8" s="1"/>
  <c r="F41" i="8" s="1"/>
  <c r="G21" i="9"/>
  <c r="G23" i="9" s="1"/>
  <c r="F31" i="6"/>
  <c r="F33" i="6" s="1"/>
  <c r="H21" i="7"/>
  <c r="H9" i="5"/>
  <c r="J18" i="10"/>
  <c r="J23" i="5"/>
  <c r="J25" i="5" s="1"/>
  <c r="J26" i="5" s="1"/>
  <c r="J6" i="9" s="1"/>
  <c r="J10" i="10" s="1"/>
  <c r="J31" i="7"/>
  <c r="J33" i="7" s="1"/>
  <c r="J34" i="7" s="1"/>
  <c r="J4" i="10"/>
  <c r="J7" i="10" s="1"/>
  <c r="I3" i="9"/>
  <c r="I41" i="7"/>
  <c r="I14" i="5"/>
  <c r="I40" i="7"/>
  <c r="H13" i="5"/>
  <c r="H17" i="5" s="1"/>
  <c r="G38" i="8"/>
  <c r="G29" i="8" l="1"/>
  <c r="G32" i="8" s="1"/>
  <c r="G39" i="8" s="1"/>
  <c r="G16" i="8"/>
  <c r="H4" i="9"/>
  <c r="H23" i="7"/>
  <c r="H22" i="8"/>
  <c r="I6" i="5"/>
  <c r="I8" i="5" s="1"/>
  <c r="J3" i="9"/>
  <c r="J40" i="7"/>
  <c r="J41" i="7"/>
  <c r="J14" i="5"/>
  <c r="H38" i="8"/>
  <c r="I13" i="5"/>
  <c r="I17" i="5" s="1"/>
  <c r="H21" i="9" l="1"/>
  <c r="G20" i="8"/>
  <c r="G27" i="8" s="1"/>
  <c r="G41" i="8" s="1"/>
  <c r="G31" i="6"/>
  <c r="G33" i="6" s="1"/>
  <c r="H8" i="10"/>
  <c r="H15" i="10" s="1"/>
  <c r="F4" i="12" s="1"/>
  <c r="H9" i="9"/>
  <c r="H19" i="9" s="1"/>
  <c r="H22" i="9" s="1"/>
  <c r="H17" i="10"/>
  <c r="H19" i="10" s="1"/>
  <c r="H20" i="10" s="1"/>
  <c r="H25" i="8"/>
  <c r="I38" i="8"/>
  <c r="J13" i="5"/>
  <c r="J17" i="5" s="1"/>
  <c r="J38" i="8" s="1"/>
  <c r="I21" i="7"/>
  <c r="I9" i="5"/>
  <c r="H23" i="9" l="1"/>
  <c r="I23" i="7"/>
  <c r="I4" i="9"/>
  <c r="J6" i="5"/>
  <c r="I22" i="8"/>
  <c r="H16" i="8" l="1"/>
  <c r="H31" i="6" s="1"/>
  <c r="H33" i="6" s="1"/>
  <c r="H29" i="8"/>
  <c r="H32" i="8" s="1"/>
  <c r="H39" i="8" s="1"/>
  <c r="I9" i="9"/>
  <c r="I19" i="9" s="1"/>
  <c r="I22" i="9" s="1"/>
  <c r="I8" i="10"/>
  <c r="I15" i="10" s="1"/>
  <c r="G4" i="12" s="1"/>
  <c r="J8" i="5"/>
  <c r="I17" i="10"/>
  <c r="I19" i="10" s="1"/>
  <c r="I20" i="10" s="1"/>
  <c r="I25" i="8"/>
  <c r="H20" i="8" l="1"/>
  <c r="H27" i="8" s="1"/>
  <c r="H41" i="8" s="1"/>
  <c r="I21" i="9"/>
  <c r="I23" i="9" s="1"/>
  <c r="J21" i="7"/>
  <c r="J9" i="5"/>
  <c r="J22" i="8" s="1"/>
  <c r="I29" i="8" l="1"/>
  <c r="I32" i="8" s="1"/>
  <c r="I39" i="8" s="1"/>
  <c r="I16" i="8"/>
  <c r="J23" i="7"/>
  <c r="G8" i="12" s="1"/>
  <c r="J4" i="9"/>
  <c r="J25" i="8"/>
  <c r="J17" i="10"/>
  <c r="J19" i="10" s="1"/>
  <c r="J20" i="10" s="1"/>
  <c r="I20" i="8" l="1"/>
  <c r="I27" i="8" s="1"/>
  <c r="I41" i="8" s="1"/>
  <c r="I31" i="6"/>
  <c r="I33" i="6" s="1"/>
  <c r="J21" i="9"/>
  <c r="J9" i="9"/>
  <c r="J19" i="9" s="1"/>
  <c r="J22" i="9" s="1"/>
  <c r="J8" i="10"/>
  <c r="J15" i="10" s="1"/>
  <c r="H4" i="12" s="1"/>
  <c r="C7" i="12" l="1"/>
  <c r="G7" i="12" s="1"/>
  <c r="G9" i="12" s="1"/>
  <c r="G15" i="12" s="1"/>
  <c r="G18" i="12" s="1"/>
  <c r="I4" i="12"/>
  <c r="C8" i="12" s="1"/>
  <c r="J23" i="9"/>
  <c r="I26" i="12" l="1"/>
  <c r="I5" i="3"/>
  <c r="J16" i="8"/>
  <c r="J29" i="8"/>
  <c r="J32" i="8" s="1"/>
  <c r="J39" i="8" s="1"/>
  <c r="C9" i="12"/>
  <c r="C15" i="12" s="1"/>
  <c r="C18" i="12" s="1"/>
  <c r="J5" i="3" s="1"/>
  <c r="J6" i="3" s="1"/>
  <c r="L5" i="3" l="1"/>
  <c r="L6" i="3" s="1"/>
  <c r="I6" i="3"/>
  <c r="C26" i="12"/>
  <c r="J20" i="8"/>
  <c r="J27" i="8" s="1"/>
  <c r="J41" i="8" s="1"/>
  <c r="J31" i="6"/>
  <c r="J3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  <author>Alan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  <comment ref="F5" authorId="1" shapeId="0" xr:uid="{04C0B9D3-630E-4267-A001-436441AB55C2}">
      <text>
        <r>
          <rPr>
            <b/>
            <sz val="9"/>
            <color indexed="81"/>
            <rFont val="Tahoma"/>
            <family val="2"/>
          </rPr>
          <t>Alan:</t>
        </r>
        <r>
          <rPr>
            <sz val="9"/>
            <color indexed="81"/>
            <rFont val="Tahoma"/>
            <family val="2"/>
          </rPr>
          <t xml:space="preserve">
Class A + B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<sst xmlns="http://schemas.openxmlformats.org/spreadsheetml/2006/main" count="440" uniqueCount="249">
  <si>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</si>
  <si>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</si>
  <si>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</si>
  <si>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</si>
  <si>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</si>
  <si>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</si>
  <si>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</si>
  <si>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</si>
  <si>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</si>
  <si>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</si>
  <si>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</si>
  <si>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</si>
  <si>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</si>
  <si>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</si>
  <si>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</si>
  <si>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</si>
  <si>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</si>
  <si>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</si>
  <si>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</si>
  <si>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</si>
  <si>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</si>
  <si>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</si>
  <si>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</si>
  <si>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</si>
  <si>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</si>
  <si>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</si>
  <si>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</si>
  <si>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</si>
  <si>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</si>
  <si>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</si>
  <si>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</si>
  <si>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</si>
  <si>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</si>
  <si>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</si>
  <si>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</si>
  <si>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</si>
  <si>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</si>
  <si>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</si>
  <si>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</si>
  <si>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</si>
  <si>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</si>
  <si>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</si>
  <si>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</si>
  <si>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</si>
  <si>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</si>
  <si>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</si>
  <si>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</si>
  <si>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</si>
  <si>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</si>
  <si>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</si>
  <si>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</si>
  <si>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</si>
  <si>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</si>
  <si>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</si>
  <si>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</si>
  <si>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</si>
  <si>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</si>
  <si>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</si>
  <si>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</si>
  <si>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</si>
  <si>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</si>
  <si>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</si>
  <si>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</si>
  <si>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</si>
  <si>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</si>
  <si>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</si>
  <si>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</si>
  <si>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</si>
  <si>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</si>
  <si>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</si>
  <si>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</si>
  <si>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</si>
  <si>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</si>
  <si>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</si>
  <si>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</si>
  <si>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</si>
  <si>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</si>
  <si>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</si>
  <si>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</si>
  <si>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</si>
  <si>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</si>
  <si>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</si>
  <si>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</si>
  <si>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</si>
  <si>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</si>
  <si>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</si>
  <si>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</si>
  <si>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</si>
  <si>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</si>
  <si>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</si>
  <si>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</si>
  <si>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</si>
  <si>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</si>
  <si>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</si>
  <si>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</si>
  <si>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</si>
  <si>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</si>
  <si>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</si>
  <si>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</si>
  <si>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</si>
  <si>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</si>
  <si>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</si>
  <si>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</si>
  <si>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</si>
  <si>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</si>
  <si>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</si>
  <si>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</si>
  <si>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</si>
  <si>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</si>
  <si>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</si>
  <si>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</si>
  <si>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</si>
  <si>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</si>
  <si>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</si>
  <si>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</si>
  <si>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</si>
  <si>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</si>
  <si>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</si>
  <si>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</si>
  <si>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</si>
  <si>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</si>
  <si>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</si>
  <si>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</si>
  <si>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</si>
  <si>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</si>
  <si>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</si>
  <si>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</si>
  <si>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</si>
  <si>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Pessimistic Case</t>
  </si>
  <si>
    <t>Balance Sheet - Assets</t>
  </si>
  <si>
    <t>Balance Sheet - Liabilities</t>
  </si>
  <si>
    <t>Operating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</si>
  <si>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</si>
  <si>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</si>
  <si>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</si>
  <si>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</si>
  <si>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</si>
  <si>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</si>
  <si>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</si>
  <si>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</si>
  <si>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</si>
  <si>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</si>
  <si>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</si>
  <si>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</si>
  <si>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</si>
  <si>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</si>
  <si>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</si>
  <si>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</si>
  <si>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</si>
  <si>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</si>
  <si>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</si>
  <si>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</si>
  <si>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</si>
  <si>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</si>
  <si>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</si>
  <si>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</si>
  <si>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</si>
  <si>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</si>
  <si>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</si>
  <si>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</si>
  <si>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</si>
  <si>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</si>
  <si>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</si>
  <si>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</si>
  <si>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</si>
  <si>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</si>
  <si>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</si>
  <si>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</si>
  <si>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</si>
  <si>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</si>
  <si>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</si>
  <si>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</si>
  <si>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</si>
  <si>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</si>
  <si>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</si>
  <si>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</si>
  <si>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</si>
  <si>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</si>
  <si>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</si>
  <si>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</si>
  <si>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</si>
  <si>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</si>
  <si>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</si>
  <si>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Resturant Brands International Inc</t>
  </si>
  <si>
    <t>Individual Resturants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</si>
  <si>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</si>
  <si>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</si>
  <si>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</si>
  <si>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</si>
  <si>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</si>
  <si>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</si>
  <si>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</si>
  <si>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</si>
  <si>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</si>
  <si>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</si>
  <si>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</si>
  <si>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Q425E</t>
  </si>
  <si>
    <t>2025E</t>
  </si>
  <si>
    <t>Q126E</t>
  </si>
  <si>
    <t>Q226E</t>
  </si>
  <si>
    <t>Q326E</t>
  </si>
  <si>
    <t>Q426E</t>
  </si>
  <si>
    <t>2026E</t>
  </si>
  <si>
    <t>2027E</t>
  </si>
  <si>
    <t>2028E</t>
  </si>
  <si>
    <t>2029E</t>
  </si>
  <si>
    <t>Supply chain sales</t>
  </si>
  <si>
    <t>Company resturant sales</t>
  </si>
  <si>
    <t>Franchise and property revenues</t>
  </si>
  <si>
    <t>Advertising revenues &amp; other</t>
  </si>
  <si>
    <t>Revenues</t>
  </si>
  <si>
    <t>Company resturant expenses</t>
  </si>
  <si>
    <t>Franchise and property expenses</t>
  </si>
  <si>
    <t>Advertising expenses</t>
  </si>
  <si>
    <t>Operating Income</t>
  </si>
  <si>
    <t>Comparable Sales Analysis</t>
  </si>
  <si>
    <t>Comps margins</t>
  </si>
  <si>
    <t>y/y Beginning resturant</t>
  </si>
  <si>
    <t>Net Additions</t>
  </si>
  <si>
    <t>y/y Ending resturant</t>
  </si>
  <si>
    <t>New additions Impact</t>
  </si>
  <si>
    <t>Margin%</t>
  </si>
  <si>
    <t>Prior year revenue</t>
  </si>
  <si>
    <t>Implied ending revenue</t>
  </si>
  <si>
    <t>Comp impact</t>
  </si>
  <si>
    <t>n/a</t>
  </si>
  <si>
    <t>Margin %</t>
  </si>
  <si>
    <t>Revenue Model</t>
  </si>
  <si>
    <t>Comps Model</t>
  </si>
  <si>
    <t>(inc) / dec in LT assets</t>
  </si>
  <si>
    <t>inc / (dec) in LT liabilities</t>
  </si>
  <si>
    <t>CFFO</t>
  </si>
  <si>
    <t>CFFI</t>
  </si>
  <si>
    <t>Dividends Paid</t>
  </si>
  <si>
    <t>Debt issuance / (repayments)</t>
  </si>
  <si>
    <t>CFFF</t>
  </si>
  <si>
    <t>Net changes In cash</t>
  </si>
  <si>
    <t>Beginning cash</t>
  </si>
  <si>
    <t>Ending cash</t>
  </si>
  <si>
    <t>Net operating assets</t>
  </si>
  <si>
    <t>Net operating liabilities (excluding long term)</t>
  </si>
  <si>
    <t>ROIC</t>
  </si>
  <si>
    <t>Net working capital</t>
  </si>
  <si>
    <t>LTGR</t>
  </si>
  <si>
    <t>Exit Mult.</t>
  </si>
  <si>
    <t>DDM</t>
  </si>
  <si>
    <t>Average</t>
  </si>
  <si>
    <t>Dividend Discount Model</t>
  </si>
  <si>
    <t>FY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</si>
</sst>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8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25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2" fontId="38" fillId="0" borderId="0" xfId="57" applyNumberFormat="1" applyFont="1" applyBorder="1"/>
    <xf numFmtId="2" fontId="38" fillId="0" borderId="18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0" borderId="0" xfId="0" applyNumberFormat="1" applyFont="1"/>
    <xf numFmtId="37" fontId="39" fillId="0" borderId="0" xfId="0" applyNumberFormat="1" applyFont="1"/>
    <xf numFmtId="37" fontId="45" fillId="0" borderId="0" xfId="0" applyNumberFormat="1" applyFont="1"/>
    <xf numFmtId="37" fontId="39" fillId="0" borderId="18" xfId="0" applyNumberFormat="1" applyFont="1" applyBorder="1"/>
    <xf numFmtId="37" fontId="45" fillId="0" borderId="18" xfId="0" applyNumberFormat="1" applyFont="1" applyBorder="1"/>
    <xf numFmtId="37" fontId="39" fillId="0" borderId="21" xfId="0" applyNumberFormat="1" applyFont="1" applyBorder="1"/>
    <xf numFmtId="37" fontId="45" fillId="0" borderId="21" xfId="0" applyNumberFormat="1" applyFont="1" applyBorder="1"/>
    <xf numFmtId="37" fontId="39" fillId="0" borderId="23" xfId="0" applyNumberFormat="1" applyFont="1" applyBorder="1"/>
    <xf numFmtId="37" fontId="45" fillId="0" borderId="23" xfId="0" applyNumberFormat="1" applyFont="1" applyBorder="1"/>
    <xf numFmtId="1" fontId="39" fillId="0" borderId="0" xfId="0" applyNumberFormat="1" applyFont="1"/>
    <xf numFmtId="9" fontId="39" fillId="0" borderId="18" xfId="0" applyNumberFormat="1" applyFont="1" applyBorder="1"/>
    <xf numFmtId="1" fontId="39" fillId="0" borderId="18" xfId="0" applyNumberFormat="1" applyFont="1" applyBorder="1"/>
    <xf numFmtId="173" fontId="39" fillId="0" borderId="21" xfId="0" applyNumberFormat="1" applyFont="1" applyBorder="1"/>
    <xf numFmtId="9" fontId="39" fillId="0" borderId="21" xfId="0" applyNumberFormat="1" applyFont="1" applyBorder="1"/>
    <xf numFmtId="1" fontId="39" fillId="0" borderId="21" xfId="0" applyNumberFormat="1" applyFont="1" applyBorder="1"/>
    <xf numFmtId="9" fontId="39" fillId="0" borderId="0" xfId="0" applyNumberFormat="1" applyFont="1" applyAlignment="1">
      <alignment horizontal="right"/>
    </xf>
    <xf numFmtId="9" fontId="39" fillId="0" borderId="21" xfId="0" applyNumberFormat="1" applyFont="1" applyBorder="1" applyAlignment="1">
      <alignment horizontal="right"/>
    </xf>
    <xf numFmtId="9" fontId="39" fillId="0" borderId="0" xfId="0" applyNumberFormat="1" applyFont="1" applyBorder="1"/>
    <xf numFmtId="9" fontId="40" fillId="0" borderId="0" xfId="0" applyNumberFormat="1" applyFont="1"/>
    <xf numFmtId="9" fontId="40" fillId="0" borderId="21" xfId="0" applyNumberFormat="1" applyFont="1" applyBorder="1"/>
    <xf numFmtId="9" fontId="40" fillId="0" borderId="18" xfId="0" applyNumberFormat="1" applyFont="1" applyBorder="1"/>
    <xf numFmtId="9" fontId="37" fillId="43" borderId="18" xfId="0" applyNumberFormat="1" applyFont="1" applyFill="1" applyBorder="1"/>
    <xf numFmtId="9" fontId="37" fillId="43" borderId="0" xfId="0" applyNumberFormat="1" applyFont="1" applyFill="1" applyBorder="1"/>
    <xf numFmtId="37" fontId="39" fillId="0" borderId="0" xfId="0" applyNumberFormat="1" applyFont="1" applyBorder="1"/>
    <xf numFmtId="178" fontId="33" fillId="42" borderId="18" xfId="0" applyNumberFormat="1" applyFont="1" applyFill="1" applyBorder="1" applyAlignment="1">
      <alignment horizontal="right"/>
    </xf>
    <xf numFmtId="37" fontId="45" fillId="0" borderId="0" xfId="0" applyNumberFormat="1" applyFont="1" applyBorder="1"/>
    <xf numFmtId="37" fontId="39" fillId="0" borderId="21" xfId="0" applyNumberFormat="1" applyFont="1" applyFill="1" applyBorder="1"/>
    <xf numFmtId="9" fontId="39" fillId="0" borderId="21" xfId="0" applyNumberFormat="1" applyFont="1" applyFill="1" applyBorder="1"/>
    <xf numFmtId="9" fontId="37" fillId="43" borderId="23" xfId="0" applyNumberFormat="1" applyFont="1" applyFill="1" applyBorder="1"/>
    <xf numFmtId="9" fontId="39" fillId="0" borderId="17" xfId="0" applyNumberFormat="1" applyFont="1" applyBorder="1"/>
    <xf numFmtId="9" fontId="39" fillId="0" borderId="22" xfId="0" applyNumberFormat="1" applyFont="1" applyBorder="1"/>
    <xf numFmtId="167" fontId="45" fillId="0" borderId="21" xfId="0" applyFont="1" applyBorder="1"/>
    <xf numFmtId="3" fontId="45" fillId="0" borderId="0" xfId="0" applyNumberFormat="1" applyFont="1"/>
    <xf numFmtId="3" fontId="39" fillId="0" borderId="0" xfId="0" applyNumberFormat="1" applyFont="1"/>
    <xf numFmtId="3" fontId="39" fillId="0" borderId="0" xfId="4" applyNumberFormat="1" applyFont="1"/>
    <xf numFmtId="9" fontId="45" fillId="0" borderId="0" xfId="0" applyNumberFormat="1" applyFont="1"/>
    <xf numFmtId="166" fontId="39" fillId="0" borderId="0" xfId="57" applyFont="1" applyFill="1"/>
    <xf numFmtId="188" fontId="39" fillId="0" borderId="0" xfId="59" applyNumberFormat="1" applyFont="1" applyAlignment="1" applyProtection="1">
      <alignment horizontal="center"/>
    </xf>
    <xf numFmtId="188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0" fontId="45" fillId="0" borderId="0" xfId="59" applyNumberFormat="1" applyFont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188" fontId="45" fillId="0" borderId="0" xfId="59" applyNumberFormat="1" applyFont="1" applyAlignment="1" applyProtection="1">
      <alignment horizontal="center"/>
    </xf>
    <xf numFmtId="188" fontId="45" fillId="0" borderId="0" xfId="4" applyNumberFormat="1" applyFont="1" applyFill="1" applyBorder="1" applyAlignment="1" applyProtection="1">
      <alignment horizontal="center"/>
    </xf>
    <xf numFmtId="188" fontId="45" fillId="0" borderId="0" xfId="0" applyNumberFormat="1" applyFont="1" applyAlignment="1">
      <alignment horizontal="center"/>
    </xf>
    <xf numFmtId="10" fontId="70" fillId="33" borderId="1" xfId="3" applyNumberFormat="1" applyFont="1" applyAlignment="1">
      <alignment horizontal="center"/>
    </xf>
    <xf numFmtId="167" fontId="57" fillId="40" borderId="19" xfId="0" applyFont="1" applyFill="1" applyBorder="1"/>
    <xf numFmtId="178" fontId="28" fillId="33" borderId="19" xfId="3" applyNumberFormat="1" applyBorder="1"/>
    <xf numFmtId="167" fontId="53" fillId="0" borderId="15" xfId="0" applyFont="1" applyFill="1" applyBorder="1" applyAlignment="1">
      <alignment horizontal="right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F4" sqref="F4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4" t="str">
        <f>CoName</f>
        <v>Resturant Brands International Inc</v>
      </c>
      <c r="B1" s="2"/>
      <c r="C1" s="2"/>
      <c r="D1" s="153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183</v>
      </c>
      <c r="E4" s="4" t="s">
        <v>166</v>
      </c>
      <c r="F4" s="222">
        <v>73.44</v>
      </c>
      <c r="H4" s="169" t="s">
        <v>180</v>
      </c>
      <c r="I4" s="168" t="s">
        <v>178</v>
      </c>
      <c r="J4" s="168" t="s">
        <v>177</v>
      </c>
      <c r="K4" s="168" t="s">
        <v>245</v>
      </c>
      <c r="L4" s="168" t="s">
        <v>246</v>
      </c>
    </row>
    <row r="5" spans="1:15" x14ac:dyDescent="0.25">
      <c r="B5" s="4" t="s">
        <v>4</v>
      </c>
      <c r="C5" s="52">
        <v>247.43</v>
      </c>
      <c r="E5" s="4" t="s">
        <v>171</v>
      </c>
      <c r="F5" s="159">
        <f>327.812+126.983</f>
        <v>454.79500000000002</v>
      </c>
      <c r="H5" s="168" t="s">
        <v>173</v>
      </c>
      <c r="I5" s="229">
        <f>'DCF Model'!G18</f>
        <v>85.255725698342658</v>
      </c>
      <c r="J5" s="228">
        <f>'DCF Model'!C18</f>
        <v>76.391723655325677</v>
      </c>
      <c r="K5" s="228">
        <f>'DCF Model'!K11</f>
        <v>68.039399119868662</v>
      </c>
      <c r="L5" s="228">
        <f>AVERAGE(I5:K5)</f>
        <v>76.562282824512337</v>
      </c>
    </row>
    <row r="6" spans="1:15" x14ac:dyDescent="0.25">
      <c r="B6" s="4" t="s">
        <v>5</v>
      </c>
      <c r="C6" s="51" t="s">
        <v>9</v>
      </c>
      <c r="E6" s="4" t="s">
        <v>104</v>
      </c>
      <c r="F6" s="159">
        <f>F4*F5</f>
        <v>33400.144800000002</v>
      </c>
      <c r="H6" s="168" t="s">
        <v>174</v>
      </c>
      <c r="I6" s="321">
        <f>I5/$F$4-1</f>
        <v>0.1608895111430102</v>
      </c>
      <c r="J6" s="321">
        <f t="shared" ref="J6:L6" si="0">J5/$F$4-1</f>
        <v>4.0192315568160053E-2</v>
      </c>
      <c r="K6" s="223">
        <f t="shared" si="0"/>
        <v>-7.3537593683705604E-2</v>
      </c>
      <c r="L6" s="321">
        <f t="shared" si="0"/>
        <v>4.2514744342488253E-2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f>1206</f>
        <v>1206</v>
      </c>
    </row>
    <row r="8" spans="1:15" x14ac:dyDescent="0.25">
      <c r="B8" s="4" t="s">
        <v>2</v>
      </c>
      <c r="C8" s="51" t="s">
        <v>87</v>
      </c>
      <c r="E8" s="4" t="s">
        <v>143</v>
      </c>
      <c r="F8" s="51">
        <f>116+13415</f>
        <v>13531</v>
      </c>
    </row>
    <row r="9" spans="1:15" x14ac:dyDescent="0.25">
      <c r="B9" s="4" t="s">
        <v>7</v>
      </c>
      <c r="C9" s="51">
        <v>0</v>
      </c>
      <c r="E9" s="4" t="s">
        <v>118</v>
      </c>
      <c r="F9" s="51">
        <f>F6-F7+F8</f>
        <v>45725.144800000002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Z40"/>
  <sheetViews>
    <sheetView showGridLines="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Z27" sqref="Z27"/>
    </sheetView>
  </sheetViews>
  <sheetFormatPr defaultColWidth="11.7109375" defaultRowHeight="15" x14ac:dyDescent="0.25"/>
  <cols>
    <col min="1" max="1" width="2" style="4" bestFit="1" customWidth="1"/>
    <col min="2" max="2" width="30.7109375" style="4" bestFit="1" customWidth="1"/>
    <col min="3" max="16384" width="11.7109375" style="4"/>
  </cols>
  <sheetData>
    <row r="1" spans="1:26" ht="19.5" x14ac:dyDescent="0.3">
      <c r="A1" s="254" t="str">
        <f>CoName</f>
        <v>Resturant Brands International Inc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26" s="276" customFormat="1" x14ac:dyDescent="0.25">
      <c r="A2" s="274" t="s">
        <v>184</v>
      </c>
      <c r="B2" s="274"/>
      <c r="C2" s="275" t="s">
        <v>185</v>
      </c>
      <c r="D2" s="275" t="s">
        <v>186</v>
      </c>
      <c r="E2" s="275" t="s">
        <v>187</v>
      </c>
      <c r="F2" s="275" t="s">
        <v>188</v>
      </c>
      <c r="G2" s="275">
        <v>2023</v>
      </c>
      <c r="H2" s="275" t="s">
        <v>189</v>
      </c>
      <c r="I2" s="275" t="s">
        <v>190</v>
      </c>
      <c r="J2" s="275" t="s">
        <v>191</v>
      </c>
      <c r="K2" s="275" t="s">
        <v>192</v>
      </c>
      <c r="L2" s="275">
        <v>2024</v>
      </c>
      <c r="M2" s="275" t="s">
        <v>193</v>
      </c>
      <c r="N2" s="275" t="s">
        <v>194</v>
      </c>
      <c r="O2" s="275" t="s">
        <v>195</v>
      </c>
      <c r="P2" s="275" t="s">
        <v>196</v>
      </c>
      <c r="Q2" s="275" t="s">
        <v>197</v>
      </c>
      <c r="R2" s="275" t="s">
        <v>198</v>
      </c>
      <c r="S2" s="275" t="s">
        <v>199</v>
      </c>
      <c r="T2" s="275" t="s">
        <v>200</v>
      </c>
      <c r="U2" s="275" t="s">
        <v>201</v>
      </c>
      <c r="V2" s="275" t="s">
        <v>202</v>
      </c>
      <c r="W2" s="275" t="s">
        <v>203</v>
      </c>
      <c r="X2" s="275" t="s">
        <v>204</v>
      </c>
      <c r="Y2" s="300" t="s">
        <v>205</v>
      </c>
    </row>
    <row r="3" spans="1:26" s="277" customFormat="1" x14ac:dyDescent="0.25">
      <c r="B3" s="277" t="s">
        <v>206</v>
      </c>
      <c r="C3" s="277">
        <v>729</v>
      </c>
      <c r="D3" s="277">
        <v>676</v>
      </c>
      <c r="E3" s="277">
        <v>706</v>
      </c>
      <c r="F3" s="277">
        <v>690</v>
      </c>
      <c r="G3" s="281">
        <f>SUM(C3:F3)</f>
        <v>2801</v>
      </c>
      <c r="H3" s="277">
        <v>627</v>
      </c>
      <c r="I3" s="277">
        <v>682</v>
      </c>
      <c r="J3" s="277">
        <v>699</v>
      </c>
      <c r="K3" s="279">
        <v>700</v>
      </c>
      <c r="L3" s="281">
        <f>SUM(H3:K3)</f>
        <v>2708</v>
      </c>
      <c r="M3" s="277">
        <v>611</v>
      </c>
      <c r="N3" s="277">
        <v>732</v>
      </c>
      <c r="O3" s="277">
        <v>769</v>
      </c>
      <c r="P3" s="277">
        <f>K3*(1+P4)</f>
        <v>734.51898407996259</v>
      </c>
      <c r="Q3" s="281">
        <f>SUM(M3:P3)</f>
        <v>2846.5189840799626</v>
      </c>
      <c r="R3" s="277">
        <f t="shared" ref="R3:U3" si="0">M3*(1+R4)</f>
        <v>641.55000000000007</v>
      </c>
      <c r="S3" s="277">
        <f t="shared" si="0"/>
        <v>768.6</v>
      </c>
      <c r="T3" s="277">
        <f t="shared" si="0"/>
        <v>807.45</v>
      </c>
      <c r="U3" s="277">
        <f t="shared" si="0"/>
        <v>771.24493328396079</v>
      </c>
      <c r="V3" s="281">
        <f>SUM(R3:U3)</f>
        <v>2988.8449332839609</v>
      </c>
      <c r="W3" s="283">
        <f>V3*(1+W4)</f>
        <v>3128.4239916683218</v>
      </c>
      <c r="X3" s="299">
        <f t="shared" ref="X3:Y3" si="1">W3*(1+X4)</f>
        <v>3264.1975929067276</v>
      </c>
      <c r="Y3" s="279">
        <f t="shared" si="1"/>
        <v>3395.0919163822873</v>
      </c>
    </row>
    <row r="4" spans="1:26" s="190" customFormat="1" x14ac:dyDescent="0.25">
      <c r="C4" s="291" t="s">
        <v>225</v>
      </c>
      <c r="D4" s="291" t="s">
        <v>225</v>
      </c>
      <c r="E4" s="291" t="s">
        <v>225</v>
      </c>
      <c r="F4" s="291" t="s">
        <v>225</v>
      </c>
      <c r="G4" s="292" t="s">
        <v>225</v>
      </c>
      <c r="H4" s="190">
        <f>H3/C3-1</f>
        <v>-0.13991769547325106</v>
      </c>
      <c r="I4" s="190">
        <f t="shared" ref="I4:L4" si="2">I3/D3-1</f>
        <v>8.8757396449703485E-3</v>
      </c>
      <c r="J4" s="190">
        <f t="shared" si="2"/>
        <v>-9.9150141643059575E-3</v>
      </c>
      <c r="K4" s="286">
        <f t="shared" si="2"/>
        <v>1.449275362318847E-2</v>
      </c>
      <c r="L4" s="289">
        <f t="shared" si="2"/>
        <v>-3.3202427704391302E-2</v>
      </c>
      <c r="M4" s="190">
        <f>M3/H3-1</f>
        <v>-2.551834130781494E-2</v>
      </c>
      <c r="N4" s="190">
        <f t="shared" ref="N4" si="3">N3/I3-1</f>
        <v>7.3313782991202281E-2</v>
      </c>
      <c r="O4" s="190">
        <f t="shared" ref="O4" si="4">O3/J3-1</f>
        <v>0.10014306151645203</v>
      </c>
      <c r="P4" s="297">
        <f>AVERAGE(M4:O4)</f>
        <v>4.9312834399946458E-2</v>
      </c>
      <c r="Q4" s="289">
        <f t="shared" ref="Q4" si="5">Q3/L3-1</f>
        <v>5.1151766646958086E-2</v>
      </c>
      <c r="R4" s="298">
        <v>0.05</v>
      </c>
      <c r="S4" s="298">
        <f>R4</f>
        <v>0.05</v>
      </c>
      <c r="T4" s="298">
        <f t="shared" ref="T4:U10" si="6">S4</f>
        <v>0.05</v>
      </c>
      <c r="U4" s="298">
        <f t="shared" si="6"/>
        <v>0.05</v>
      </c>
      <c r="V4" s="303">
        <f>V3/Q3-1</f>
        <v>5.0000000000000044E-2</v>
      </c>
      <c r="W4" s="304">
        <f>V4-0.0033</f>
        <v>4.6700000000000047E-2</v>
      </c>
      <c r="X4" s="298">
        <f t="shared" ref="X4:Y10" si="7">W4-0.0033</f>
        <v>4.340000000000005E-2</v>
      </c>
      <c r="Y4" s="297">
        <f t="shared" si="7"/>
        <v>4.0100000000000052E-2</v>
      </c>
      <c r="Z4" s="293"/>
    </row>
    <row r="5" spans="1:26" s="277" customFormat="1" x14ac:dyDescent="0.25">
      <c r="B5" s="277" t="s">
        <v>207</v>
      </c>
      <c r="C5" s="277">
        <v>0</v>
      </c>
      <c r="D5" s="277">
        <v>68</v>
      </c>
      <c r="E5" s="277">
        <v>65</v>
      </c>
      <c r="F5" s="277">
        <v>77</v>
      </c>
      <c r="G5" s="281">
        <f t="shared" ref="G5:G9" si="8">SUM(C5:F5)</f>
        <v>210</v>
      </c>
      <c r="H5" s="277">
        <v>102</v>
      </c>
      <c r="I5" s="277">
        <v>347</v>
      </c>
      <c r="J5" s="277">
        <v>567</v>
      </c>
      <c r="K5" s="279">
        <v>576</v>
      </c>
      <c r="L5" s="281">
        <f t="shared" ref="L5:L9" si="9">SUM(H5:K5)</f>
        <v>1592</v>
      </c>
      <c r="M5" s="277">
        <v>558</v>
      </c>
      <c r="N5" s="277">
        <v>600</v>
      </c>
      <c r="O5" s="277">
        <v>588</v>
      </c>
      <c r="P5" s="277">
        <f>K5*(1+P6)</f>
        <v>633.6</v>
      </c>
      <c r="Q5" s="281">
        <f t="shared" ref="Q5:Q9" si="10">SUM(M5:P5)</f>
        <v>2379.6</v>
      </c>
      <c r="R5" s="277">
        <f t="shared" ref="R5" si="11">M5*(1+R6)</f>
        <v>591.48</v>
      </c>
      <c r="S5" s="277">
        <f t="shared" ref="S5" si="12">N5*(1+S6)</f>
        <v>636</v>
      </c>
      <c r="T5" s="277">
        <f t="shared" ref="T5" si="13">O5*(1+T6)</f>
        <v>623.28000000000009</v>
      </c>
      <c r="U5" s="277">
        <f t="shared" ref="U5" si="14">P5*(1+U6)</f>
        <v>671.6160000000001</v>
      </c>
      <c r="V5" s="302">
        <f>SUM(R5:U5)</f>
        <v>2522.3760000000002</v>
      </c>
      <c r="W5" s="283">
        <f>V5*(1+W6)</f>
        <v>2665.3947192000001</v>
      </c>
      <c r="X5" s="299">
        <f t="shared" ref="X5" si="15">W5*(1+X6)</f>
        <v>2807.7267972052805</v>
      </c>
      <c r="Y5" s="279">
        <f t="shared" ref="Y5" si="16">X5*(1+Y6)</f>
        <v>2948.3939097452653</v>
      </c>
      <c r="Z5" s="299"/>
    </row>
    <row r="6" spans="1:26" s="190" customFormat="1" x14ac:dyDescent="0.25">
      <c r="C6" s="291" t="s">
        <v>225</v>
      </c>
      <c r="D6" s="291" t="s">
        <v>225</v>
      </c>
      <c r="E6" s="291" t="s">
        <v>225</v>
      </c>
      <c r="F6" s="291" t="s">
        <v>225</v>
      </c>
      <c r="G6" s="292" t="s">
        <v>225</v>
      </c>
      <c r="I6" s="190">
        <f t="shared" ref="I6" si="17">I5/D5-1</f>
        <v>4.1029411764705879</v>
      </c>
      <c r="J6" s="190">
        <f t="shared" ref="J6" si="18">J5/E5-1</f>
        <v>7.7230769230769223</v>
      </c>
      <c r="K6" s="286">
        <f t="shared" ref="K6" si="19">K5/F5-1</f>
        <v>6.4805194805194803</v>
      </c>
      <c r="L6" s="289">
        <f t="shared" ref="L6" si="20">L5/G5-1</f>
        <v>6.5809523809523807</v>
      </c>
      <c r="M6" s="190">
        <f>M5/H5-1</f>
        <v>4.4705882352941178</v>
      </c>
      <c r="N6" s="190">
        <f t="shared" ref="N6" si="21">N5/I5-1</f>
        <v>0.72910662824207484</v>
      </c>
      <c r="O6" s="190">
        <f t="shared" ref="O6" si="22">O5/J5-1</f>
        <v>3.7037037037036979E-2</v>
      </c>
      <c r="P6" s="297">
        <v>0.1</v>
      </c>
      <c r="Q6" s="289">
        <f t="shared" ref="Q6" si="23">Q5/L5-1</f>
        <v>0.49472361809045218</v>
      </c>
      <c r="R6" s="298">
        <v>0.06</v>
      </c>
      <c r="S6" s="298">
        <f>R6</f>
        <v>0.06</v>
      </c>
      <c r="T6" s="298">
        <f t="shared" si="6"/>
        <v>0.06</v>
      </c>
      <c r="U6" s="298">
        <f t="shared" si="6"/>
        <v>0.06</v>
      </c>
      <c r="V6" s="303">
        <f>V5/Q5-1</f>
        <v>6.0000000000000053E-2</v>
      </c>
      <c r="W6" s="304">
        <f>V6-0.0033</f>
        <v>5.6700000000000056E-2</v>
      </c>
      <c r="X6" s="298">
        <f t="shared" si="7"/>
        <v>5.3400000000000059E-2</v>
      </c>
      <c r="Y6" s="297">
        <f t="shared" si="7"/>
        <v>5.0100000000000061E-2</v>
      </c>
      <c r="Z6" s="293"/>
    </row>
    <row r="7" spans="1:26" s="277" customFormat="1" x14ac:dyDescent="0.25">
      <c r="B7" s="277" t="s">
        <v>208</v>
      </c>
      <c r="C7" s="277">
        <v>712</v>
      </c>
      <c r="D7" s="277">
        <v>742</v>
      </c>
      <c r="E7" s="277">
        <v>753</v>
      </c>
      <c r="F7" s="277">
        <v>740</v>
      </c>
      <c r="G7" s="281">
        <f t="shared" si="8"/>
        <v>2947</v>
      </c>
      <c r="H7" s="277">
        <v>712</v>
      </c>
      <c r="I7" s="277">
        <v>747</v>
      </c>
      <c r="J7" s="277">
        <v>735</v>
      </c>
      <c r="K7" s="279">
        <v>725</v>
      </c>
      <c r="L7" s="281">
        <f t="shared" si="9"/>
        <v>2919</v>
      </c>
      <c r="M7" s="277">
        <v>663</v>
      </c>
      <c r="N7" s="277">
        <v>760</v>
      </c>
      <c r="O7" s="277">
        <v>778</v>
      </c>
      <c r="P7" s="277">
        <f>K7*(1+P8)</f>
        <v>761.25</v>
      </c>
      <c r="Q7" s="281">
        <f t="shared" si="10"/>
        <v>2962.25</v>
      </c>
      <c r="R7" s="277">
        <f t="shared" ref="R7" si="24">M7*(1+R8)</f>
        <v>696.15</v>
      </c>
      <c r="S7" s="277">
        <f t="shared" ref="S7" si="25">N7*(1+S8)</f>
        <v>798</v>
      </c>
      <c r="T7" s="277">
        <f t="shared" ref="T7" si="26">O7*(1+T8)</f>
        <v>816.90000000000009</v>
      </c>
      <c r="U7" s="277">
        <f t="shared" ref="U7" si="27">P7*(1+U8)</f>
        <v>799.3125</v>
      </c>
      <c r="V7" s="302">
        <f>SUM(R7:U7)</f>
        <v>3110.3625000000002</v>
      </c>
      <c r="W7" s="283">
        <f>V7*(1+W8)</f>
        <v>3255.6164287500001</v>
      </c>
      <c r="X7" s="299">
        <f t="shared" ref="X7" si="28">W7*(1+X8)</f>
        <v>3396.9101817577503</v>
      </c>
      <c r="Y7" s="279">
        <f t="shared" ref="Y7" si="29">X7*(1+Y8)</f>
        <v>3533.1262800462359</v>
      </c>
      <c r="Z7" s="299"/>
    </row>
    <row r="8" spans="1:26" s="190" customFormat="1" x14ac:dyDescent="0.25">
      <c r="C8" s="291" t="s">
        <v>225</v>
      </c>
      <c r="D8" s="291" t="s">
        <v>225</v>
      </c>
      <c r="E8" s="291" t="s">
        <v>225</v>
      </c>
      <c r="F8" s="291" t="s">
        <v>225</v>
      </c>
      <c r="G8" s="292" t="s">
        <v>225</v>
      </c>
      <c r="I8" s="190">
        <f t="shared" ref="I8" si="30">I7/D7-1</f>
        <v>6.7385444743934819E-3</v>
      </c>
      <c r="J8" s="190">
        <f t="shared" ref="J8" si="31">J7/E7-1</f>
        <v>-2.3904382470119501E-2</v>
      </c>
      <c r="K8" s="286">
        <f t="shared" ref="K8" si="32">K7/F7-1</f>
        <v>-2.0270270270270285E-2</v>
      </c>
      <c r="L8" s="289">
        <f t="shared" ref="L8" si="33">L7/G7-1</f>
        <v>-9.5011876484560887E-3</v>
      </c>
      <c r="M8" s="190">
        <f>M7/H7-1</f>
        <v>-6.8820224719101097E-2</v>
      </c>
      <c r="N8" s="190">
        <f t="shared" ref="N8" si="34">N7/I7-1</f>
        <v>1.7402945113788482E-2</v>
      </c>
      <c r="O8" s="190">
        <f t="shared" ref="O8" si="35">O7/J7-1</f>
        <v>5.8503401360544327E-2</v>
      </c>
      <c r="P8" s="297">
        <v>0.05</v>
      </c>
      <c r="Q8" s="289">
        <f t="shared" ref="Q8" si="36">Q7/L7-1</f>
        <v>1.4816718054128097E-2</v>
      </c>
      <c r="R8" s="298">
        <v>0.05</v>
      </c>
      <c r="S8" s="298">
        <f>R8</f>
        <v>0.05</v>
      </c>
      <c r="T8" s="298">
        <f t="shared" si="6"/>
        <v>0.05</v>
      </c>
      <c r="U8" s="298">
        <f t="shared" si="6"/>
        <v>0.05</v>
      </c>
      <c r="V8" s="303">
        <f>V7/Q7-1</f>
        <v>5.0000000000000044E-2</v>
      </c>
      <c r="W8" s="304">
        <f>V8-0.0033</f>
        <v>4.6700000000000047E-2</v>
      </c>
      <c r="X8" s="298">
        <f t="shared" si="7"/>
        <v>4.340000000000005E-2</v>
      </c>
      <c r="Y8" s="297">
        <f t="shared" si="7"/>
        <v>4.0100000000000052E-2</v>
      </c>
      <c r="Z8" s="293"/>
    </row>
    <row r="9" spans="1:26" s="277" customFormat="1" x14ac:dyDescent="0.25">
      <c r="B9" s="277" t="s">
        <v>209</v>
      </c>
      <c r="C9" s="277">
        <v>298</v>
      </c>
      <c r="D9" s="277">
        <v>289</v>
      </c>
      <c r="E9" s="277">
        <v>313</v>
      </c>
      <c r="F9" s="277">
        <v>313</v>
      </c>
      <c r="G9" s="281">
        <f t="shared" si="8"/>
        <v>1213</v>
      </c>
      <c r="H9" s="277">
        <v>298</v>
      </c>
      <c r="I9" s="277">
        <v>304</v>
      </c>
      <c r="J9" s="277">
        <v>290</v>
      </c>
      <c r="K9" s="279">
        <v>295</v>
      </c>
      <c r="L9" s="281">
        <f t="shared" si="9"/>
        <v>1187</v>
      </c>
      <c r="M9" s="277">
        <v>277</v>
      </c>
      <c r="N9" s="277">
        <v>318</v>
      </c>
      <c r="O9" s="277">
        <v>314</v>
      </c>
      <c r="P9" s="277">
        <f>K9*(1+P10)</f>
        <v>300.73690960507025</v>
      </c>
      <c r="Q9" s="281">
        <f t="shared" si="10"/>
        <v>1209.7369096050702</v>
      </c>
      <c r="R9" s="277">
        <f t="shared" ref="R9" si="37">M9*(1+R10)</f>
        <v>285.31</v>
      </c>
      <c r="S9" s="277">
        <f t="shared" ref="S9" si="38">N9*(1+S10)</f>
        <v>327.54000000000002</v>
      </c>
      <c r="T9" s="277">
        <f t="shared" ref="T9" si="39">O9*(1+T10)</f>
        <v>323.42</v>
      </c>
      <c r="U9" s="277">
        <f t="shared" ref="U9" si="40">P9*(1+U10)</f>
        <v>309.75901689322239</v>
      </c>
      <c r="V9" s="302">
        <f>SUM(R9:U9)</f>
        <v>1246.0290168932224</v>
      </c>
      <c r="W9" s="283">
        <f>V9*(1+W10)</f>
        <v>1279.2979916442714</v>
      </c>
      <c r="X9" s="299">
        <f t="shared" ref="X9" si="41">W9*(1+X10)</f>
        <v>1309.2335646487475</v>
      </c>
      <c r="Y9" s="279">
        <f t="shared" ref="Y9" si="42">X9*(1+Y10)</f>
        <v>1335.5491592981873</v>
      </c>
      <c r="Z9" s="299"/>
    </row>
    <row r="10" spans="1:26" s="190" customFormat="1" x14ac:dyDescent="0.25">
      <c r="C10" s="291" t="s">
        <v>225</v>
      </c>
      <c r="D10" s="291" t="s">
        <v>225</v>
      </c>
      <c r="E10" s="291" t="s">
        <v>225</v>
      </c>
      <c r="F10" s="291" t="s">
        <v>225</v>
      </c>
      <c r="G10" s="292" t="s">
        <v>225</v>
      </c>
      <c r="I10" s="190">
        <f t="shared" ref="I10" si="43">I9/D9-1</f>
        <v>5.1903114186851118E-2</v>
      </c>
      <c r="J10" s="190">
        <f t="shared" ref="J10" si="44">J9/E9-1</f>
        <v>-7.348242811501593E-2</v>
      </c>
      <c r="K10" s="286">
        <f t="shared" ref="K10" si="45">K9/F9-1</f>
        <v>-5.7507987220447254E-2</v>
      </c>
      <c r="L10" s="289">
        <f t="shared" ref="L10" si="46">L9/G9-1</f>
        <v>-2.1434460016488077E-2</v>
      </c>
      <c r="M10" s="190">
        <f>M9/H9-1</f>
        <v>-7.0469798657718075E-2</v>
      </c>
      <c r="N10" s="190">
        <f t="shared" ref="N10" si="47">N9/I9-1</f>
        <v>4.6052631578947345E-2</v>
      </c>
      <c r="O10" s="190">
        <f t="shared" ref="O10" si="48">O9/J9-1</f>
        <v>8.2758620689655116E-2</v>
      </c>
      <c r="P10" s="297">
        <f>AVERAGE(M10:O10)</f>
        <v>1.9447151203628128E-2</v>
      </c>
      <c r="Q10" s="289">
        <f t="shared" ref="Q10" si="49">Q9/L9-1</f>
        <v>1.9154936482788765E-2</v>
      </c>
      <c r="R10" s="298">
        <v>0.03</v>
      </c>
      <c r="S10" s="298">
        <f>R10</f>
        <v>0.03</v>
      </c>
      <c r="T10" s="298">
        <f t="shared" si="6"/>
        <v>0.03</v>
      </c>
      <c r="U10" s="298">
        <f t="shared" si="6"/>
        <v>0.03</v>
      </c>
      <c r="V10" s="303">
        <f>V9/Q9-1</f>
        <v>3.0000000000000027E-2</v>
      </c>
      <c r="W10" s="304">
        <f>V10-0.0033</f>
        <v>2.6700000000000026E-2</v>
      </c>
      <c r="X10" s="298">
        <f t="shared" si="7"/>
        <v>2.3400000000000025E-2</v>
      </c>
      <c r="Y10" s="297">
        <f t="shared" si="7"/>
        <v>2.0100000000000024E-2</v>
      </c>
      <c r="Z10" s="293"/>
    </row>
    <row r="11" spans="1:26" s="278" customFormat="1" x14ac:dyDescent="0.25">
      <c r="A11" s="278" t="s">
        <v>210</v>
      </c>
      <c r="C11" s="278">
        <f>SUM(C3:C9)</f>
        <v>1739</v>
      </c>
      <c r="D11" s="278">
        <f>SUM(D3:D9)</f>
        <v>1775</v>
      </c>
      <c r="E11" s="278">
        <f>SUM(E3:E9)</f>
        <v>1837</v>
      </c>
      <c r="F11" s="278">
        <f>SUM(F3:F9)</f>
        <v>1820</v>
      </c>
      <c r="G11" s="282">
        <f>SUM(G3:G9)</f>
        <v>7171</v>
      </c>
      <c r="H11" s="278">
        <f>SUM(H3:H9)</f>
        <v>1738.8600823045267</v>
      </c>
      <c r="I11" s="278">
        <f>SUM(I3:I9)</f>
        <v>2084.11855546059</v>
      </c>
      <c r="J11" s="278">
        <f>SUM(J3:J9)</f>
        <v>2298.6892575264424</v>
      </c>
      <c r="K11" s="280">
        <f>SUM(K3:K9)</f>
        <v>2302.4747419638725</v>
      </c>
      <c r="L11" s="282">
        <f t="shared" ref="L11" si="50">SUM(L3:L9)</f>
        <v>8412.5382487655988</v>
      </c>
      <c r="M11" s="278">
        <f>SUM(M3:M9)</f>
        <v>2113.3762496692671</v>
      </c>
      <c r="N11" s="278">
        <f>SUM(N3:N9)</f>
        <v>2410.8198233563471</v>
      </c>
      <c r="O11" s="278">
        <f>SUM(O3:O9)</f>
        <v>2449.1956834999141</v>
      </c>
      <c r="P11" s="278">
        <f>SUM(P3:P9)</f>
        <v>2430.3052065194329</v>
      </c>
      <c r="Q11" s="282">
        <f t="shared" ref="Q11" si="51">SUM(Q3:Q9)</f>
        <v>9398.6665857878234</v>
      </c>
      <c r="R11" s="278">
        <f>SUM(R3:R9)</f>
        <v>2214.65</v>
      </c>
      <c r="S11" s="278">
        <f>SUM(S3:S9)</f>
        <v>2530.3000000000002</v>
      </c>
      <c r="T11" s="278">
        <f>SUM(T3:T9)</f>
        <v>2571.2100000000005</v>
      </c>
      <c r="U11" s="280">
        <f>SUM(U3:U9)</f>
        <v>2552.0924501771833</v>
      </c>
      <c r="V11" s="282">
        <f>SUM(V3:V9)</f>
        <v>9867.7724501771845</v>
      </c>
      <c r="W11" s="278">
        <f>SUM(W3:W9)</f>
        <v>10328.883231262595</v>
      </c>
      <c r="X11" s="278">
        <f>SUM(X3:X9)</f>
        <v>10778.208336518508</v>
      </c>
      <c r="Y11" s="280">
        <f>SUM(Y3:Y9)</f>
        <v>11212.291565471976</v>
      </c>
    </row>
    <row r="12" spans="1:26" s="277" customFormat="1" x14ac:dyDescent="0.25">
      <c r="G12" s="282"/>
      <c r="H12" s="190">
        <f>H11/C11-1</f>
        <v>-8.0458709300290643E-5</v>
      </c>
      <c r="I12" s="190">
        <f t="shared" ref="I12" si="52">I11/D11-1</f>
        <v>0.17415129885103653</v>
      </c>
      <c r="J12" s="190">
        <f t="shared" ref="J12" si="53">J11/E11-1</f>
        <v>0.25132784840851508</v>
      </c>
      <c r="K12" s="286">
        <f t="shared" ref="K12" si="54">K11/F11-1</f>
        <v>0.26509601206806188</v>
      </c>
      <c r="L12" s="289">
        <f t="shared" ref="L12" si="55">L11/G11-1</f>
        <v>0.17313320997986326</v>
      </c>
      <c r="M12" s="190">
        <f>M11/H11-1</f>
        <v>0.21538027767501045</v>
      </c>
      <c r="N12" s="190">
        <f t="shared" ref="N12" si="56">N11/I11-1</f>
        <v>0.15675752564064482</v>
      </c>
      <c r="O12" s="190">
        <f t="shared" ref="O12:P12" si="57">O11/J11-1</f>
        <v>6.5474889866335317E-2</v>
      </c>
      <c r="P12" s="190">
        <f t="shared" si="57"/>
        <v>5.5518726101867477E-2</v>
      </c>
      <c r="Q12" s="289">
        <f t="shared" ref="Q12" si="58">Q11/L11-1</f>
        <v>0.11722126044026271</v>
      </c>
      <c r="R12" s="190">
        <f t="shared" ref="R12" si="59">R11/M11-1</f>
        <v>4.7920359825460279E-2</v>
      </c>
      <c r="S12" s="190">
        <f t="shared" ref="S12" si="60">S11/N11-1</f>
        <v>4.9559977683157008E-2</v>
      </c>
      <c r="T12" s="190">
        <f t="shared" ref="T12" si="61">T11/O11-1</f>
        <v>4.9818116748322483E-2</v>
      </c>
      <c r="U12" s="286">
        <f t="shared" ref="U12:V12" si="62">U11/P11-1</f>
        <v>5.0111913240793449E-2</v>
      </c>
      <c r="V12" s="286">
        <f t="shared" si="62"/>
        <v>4.9911959330350086E-2</v>
      </c>
      <c r="W12" s="190">
        <f>W11/V11-1</f>
        <v>4.6728963746740071E-2</v>
      </c>
      <c r="X12" s="190">
        <f t="shared" ref="X12:Y12" si="63">X11/W11-1</f>
        <v>4.3501808975430656E-2</v>
      </c>
      <c r="Y12" s="286">
        <f t="shared" si="63"/>
        <v>4.0274154609047264E-2</v>
      </c>
    </row>
    <row r="13" spans="1:26" s="277" customFormat="1" x14ac:dyDescent="0.25">
      <c r="G13" s="282"/>
      <c r="H13" s="190"/>
      <c r="I13" s="190"/>
      <c r="J13" s="190"/>
      <c r="K13" s="286"/>
      <c r="L13" s="289"/>
      <c r="M13" s="190"/>
      <c r="N13" s="190"/>
      <c r="O13" s="190"/>
      <c r="P13" s="293"/>
      <c r="Q13" s="289"/>
      <c r="R13" s="278"/>
      <c r="S13" s="278"/>
      <c r="T13" s="278"/>
      <c r="U13" s="278"/>
      <c r="V13" s="282"/>
      <c r="W13" s="278"/>
      <c r="X13" s="278"/>
      <c r="Y13" s="280"/>
    </row>
    <row r="14" spans="1:26" s="277" customFormat="1" x14ac:dyDescent="0.25">
      <c r="B14" s="277" t="s">
        <v>156</v>
      </c>
      <c r="C14" s="277">
        <v>606</v>
      </c>
      <c r="D14" s="277">
        <v>551</v>
      </c>
      <c r="E14" s="277">
        <v>572</v>
      </c>
      <c r="F14" s="277">
        <v>573</v>
      </c>
      <c r="G14" s="281">
        <f t="shared" ref="G14:G22" si="64">SUM(C14:F14)</f>
        <v>2302</v>
      </c>
      <c r="H14" s="277">
        <v>517</v>
      </c>
      <c r="I14" s="277">
        <v>540</v>
      </c>
      <c r="J14" s="277">
        <v>559</v>
      </c>
      <c r="K14" s="279">
        <v>564</v>
      </c>
      <c r="L14" s="281">
        <f t="shared" ref="L14:L22" si="65">SUM(H14:K14)</f>
        <v>2180</v>
      </c>
      <c r="M14" s="277">
        <v>496</v>
      </c>
      <c r="N14" s="277">
        <v>589</v>
      </c>
      <c r="O14" s="277">
        <v>619</v>
      </c>
      <c r="Q14" s="281">
        <f t="shared" ref="Q14:Q22" si="66">SUM(M14:P14)</f>
        <v>1704</v>
      </c>
      <c r="V14" s="281"/>
      <c r="Y14" s="279"/>
    </row>
    <row r="15" spans="1:26" s="294" customFormat="1" x14ac:dyDescent="0.25">
      <c r="B15" s="294" t="s">
        <v>226</v>
      </c>
      <c r="C15" s="294">
        <f>C14/C11</f>
        <v>0.34847613571017827</v>
      </c>
      <c r="D15" s="294">
        <f t="shared" ref="D15:O15" si="67">D14/D11</f>
        <v>0.31042253521126761</v>
      </c>
      <c r="E15" s="294">
        <f t="shared" si="67"/>
        <v>0.31137724550898205</v>
      </c>
      <c r="F15" s="294">
        <f t="shared" si="67"/>
        <v>0.31483516483516483</v>
      </c>
      <c r="G15" s="295">
        <f t="shared" si="67"/>
        <v>0.32101520011156043</v>
      </c>
      <c r="H15" s="294">
        <f t="shared" si="67"/>
        <v>0.29732121937885614</v>
      </c>
      <c r="I15" s="294">
        <f t="shared" si="67"/>
        <v>0.25910234261153153</v>
      </c>
      <c r="J15" s="294">
        <f t="shared" si="67"/>
        <v>0.24318206480919691</v>
      </c>
      <c r="K15" s="296">
        <f t="shared" si="67"/>
        <v>0.24495382716726</v>
      </c>
      <c r="L15" s="295">
        <f t="shared" si="67"/>
        <v>0.2591370090138822</v>
      </c>
      <c r="M15" s="294">
        <f t="shared" si="67"/>
        <v>0.23469554939761508</v>
      </c>
      <c r="N15" s="294">
        <f t="shared" si="67"/>
        <v>0.24431523015270104</v>
      </c>
      <c r="O15" s="294">
        <f t="shared" si="67"/>
        <v>0.2527360325555717</v>
      </c>
      <c r="Q15" s="295"/>
      <c r="V15" s="295"/>
      <c r="Y15" s="296"/>
    </row>
    <row r="16" spans="1:26" s="277" customFormat="1" x14ac:dyDescent="0.25">
      <c r="B16" s="277" t="s">
        <v>211</v>
      </c>
      <c r="C16" s="277">
        <v>126</v>
      </c>
      <c r="D16" s="277">
        <v>61</v>
      </c>
      <c r="E16" s="277">
        <v>58</v>
      </c>
      <c r="F16" s="277">
        <v>70</v>
      </c>
      <c r="G16" s="281">
        <f t="shared" si="64"/>
        <v>315</v>
      </c>
      <c r="H16" s="277">
        <v>89</v>
      </c>
      <c r="I16" s="277">
        <v>286</v>
      </c>
      <c r="J16" s="277">
        <v>473</v>
      </c>
      <c r="K16" s="279">
        <v>480</v>
      </c>
      <c r="L16" s="281">
        <f t="shared" si="65"/>
        <v>1328</v>
      </c>
      <c r="M16" s="277">
        <v>468</v>
      </c>
      <c r="N16" s="277">
        <v>498</v>
      </c>
      <c r="O16" s="277">
        <v>498</v>
      </c>
      <c r="Q16" s="281">
        <f t="shared" si="66"/>
        <v>1464</v>
      </c>
      <c r="V16" s="281"/>
      <c r="Y16" s="279"/>
    </row>
    <row r="17" spans="1:25" s="294" customFormat="1" x14ac:dyDescent="0.25">
      <c r="B17" s="294" t="s">
        <v>226</v>
      </c>
      <c r="C17" s="294">
        <f>C16/C11</f>
        <v>7.2455434157561824E-2</v>
      </c>
      <c r="D17" s="294">
        <f t="shared" ref="D17:O17" si="68">D16/D11</f>
        <v>3.4366197183098593E-2</v>
      </c>
      <c r="E17" s="294">
        <f t="shared" si="68"/>
        <v>3.1573217201959713E-2</v>
      </c>
      <c r="F17" s="294">
        <f t="shared" si="68"/>
        <v>3.8461538461538464E-2</v>
      </c>
      <c r="G17" s="295">
        <f t="shared" si="68"/>
        <v>4.3926927904058014E-2</v>
      </c>
      <c r="H17" s="294">
        <f t="shared" si="68"/>
        <v>5.1182956527501343E-2</v>
      </c>
      <c r="I17" s="294">
        <f t="shared" si="68"/>
        <v>0.13722827775351487</v>
      </c>
      <c r="J17" s="294">
        <f t="shared" si="68"/>
        <v>0.20576943945393583</v>
      </c>
      <c r="K17" s="296">
        <f t="shared" si="68"/>
        <v>0.20847134227000852</v>
      </c>
      <c r="L17" s="295">
        <f t="shared" si="68"/>
        <v>0.15785960916075029</v>
      </c>
      <c r="M17" s="294">
        <f t="shared" si="68"/>
        <v>0.22144660709291103</v>
      </c>
      <c r="N17" s="294">
        <f t="shared" si="68"/>
        <v>0.20656873449243654</v>
      </c>
      <c r="O17" s="294">
        <f t="shared" si="68"/>
        <v>0.20333205850189776</v>
      </c>
      <c r="Q17" s="295"/>
      <c r="V17" s="295"/>
      <c r="Y17" s="296"/>
    </row>
    <row r="18" spans="1:25" s="277" customFormat="1" x14ac:dyDescent="0.25">
      <c r="B18" s="277" t="s">
        <v>212</v>
      </c>
      <c r="C18" s="277">
        <v>311</v>
      </c>
      <c r="D18" s="277">
        <v>130</v>
      </c>
      <c r="E18" s="277">
        <v>119</v>
      </c>
      <c r="F18" s="277">
        <v>140</v>
      </c>
      <c r="G18" s="281">
        <f t="shared" si="64"/>
        <v>700</v>
      </c>
      <c r="H18" s="277">
        <v>126</v>
      </c>
      <c r="I18" s="277">
        <v>134</v>
      </c>
      <c r="J18" s="277">
        <v>134</v>
      </c>
      <c r="K18" s="279">
        <v>150</v>
      </c>
      <c r="L18" s="281">
        <f t="shared" si="65"/>
        <v>544</v>
      </c>
      <c r="M18" s="277">
        <v>130</v>
      </c>
      <c r="N18" s="277">
        <v>144</v>
      </c>
      <c r="O18" s="277">
        <v>147</v>
      </c>
      <c r="Q18" s="281">
        <f t="shared" si="66"/>
        <v>421</v>
      </c>
      <c r="V18" s="281"/>
      <c r="Y18" s="279"/>
    </row>
    <row r="19" spans="1:25" s="294" customFormat="1" x14ac:dyDescent="0.25">
      <c r="B19" s="294" t="s">
        <v>226</v>
      </c>
      <c r="C19" s="294">
        <f>C18/C11</f>
        <v>0.17883841288096608</v>
      </c>
      <c r="D19" s="294">
        <f t="shared" ref="D19:O19" si="69">D18/D11</f>
        <v>7.3239436619718309E-2</v>
      </c>
      <c r="E19" s="294">
        <f t="shared" si="69"/>
        <v>6.4779531845400112E-2</v>
      </c>
      <c r="F19" s="294">
        <f t="shared" si="69"/>
        <v>7.6923076923076927E-2</v>
      </c>
      <c r="G19" s="295">
        <f t="shared" si="69"/>
        <v>9.7615395342351141E-2</v>
      </c>
      <c r="H19" s="294">
        <f t="shared" si="69"/>
        <v>7.2461264297361452E-2</v>
      </c>
      <c r="I19" s="294">
        <f t="shared" si="69"/>
        <v>6.4295766499898571E-2</v>
      </c>
      <c r="J19" s="294">
        <f t="shared" si="69"/>
        <v>5.8294090669825376E-2</v>
      </c>
      <c r="K19" s="296">
        <f t="shared" si="69"/>
        <v>6.5147294459377655E-2</v>
      </c>
      <c r="L19" s="295">
        <f t="shared" si="69"/>
        <v>6.4665382065849514E-2</v>
      </c>
      <c r="M19" s="294">
        <f t="shared" si="69"/>
        <v>6.1512946414697504E-2</v>
      </c>
      <c r="N19" s="294">
        <f t="shared" si="69"/>
        <v>5.9730718407451526E-2</v>
      </c>
      <c r="O19" s="294">
        <f t="shared" si="69"/>
        <v>6.0019704015620422E-2</v>
      </c>
      <c r="Q19" s="295"/>
      <c r="V19" s="295"/>
      <c r="Y19" s="296"/>
    </row>
    <row r="20" spans="1:25" s="277" customFormat="1" x14ac:dyDescent="0.25">
      <c r="B20" s="277" t="s">
        <v>213</v>
      </c>
      <c r="C20" s="277">
        <v>173</v>
      </c>
      <c r="D20" s="277">
        <v>312</v>
      </c>
      <c r="E20" s="277">
        <v>326</v>
      </c>
      <c r="F20" s="277">
        <v>364</v>
      </c>
      <c r="G20" s="281">
        <f t="shared" si="64"/>
        <v>1175</v>
      </c>
      <c r="H20" s="277">
        <v>311</v>
      </c>
      <c r="I20" s="277">
        <v>334</v>
      </c>
      <c r="J20" s="277">
        <v>327</v>
      </c>
      <c r="K20" s="279">
        <v>358</v>
      </c>
      <c r="L20" s="281">
        <f t="shared" si="65"/>
        <v>1330</v>
      </c>
      <c r="M20" s="277">
        <v>311</v>
      </c>
      <c r="N20" s="277">
        <v>364</v>
      </c>
      <c r="O20" s="277">
        <v>342</v>
      </c>
      <c r="Q20" s="281">
        <f t="shared" si="66"/>
        <v>1017</v>
      </c>
      <c r="V20" s="281"/>
      <c r="Y20" s="279"/>
    </row>
    <row r="21" spans="1:25" s="294" customFormat="1" x14ac:dyDescent="0.25">
      <c r="B21" s="294" t="s">
        <v>226</v>
      </c>
      <c r="C21" s="294">
        <f>C20/C11</f>
        <v>9.9482461184588838E-2</v>
      </c>
      <c r="D21" s="294">
        <f t="shared" ref="D21:O21" si="70">D20/D11</f>
        <v>0.17577464788732394</v>
      </c>
      <c r="E21" s="294">
        <f t="shared" si="70"/>
        <v>0.17746325530756668</v>
      </c>
      <c r="F21" s="294">
        <f t="shared" si="70"/>
        <v>0.2</v>
      </c>
      <c r="G21" s="295">
        <f t="shared" si="70"/>
        <v>0.16385441361037512</v>
      </c>
      <c r="H21" s="294">
        <f t="shared" si="70"/>
        <v>0.17885280314666199</v>
      </c>
      <c r="I21" s="294">
        <f t="shared" si="70"/>
        <v>0.1602595970967621</v>
      </c>
      <c r="J21" s="294">
        <f t="shared" si="70"/>
        <v>0.14225498245546939</v>
      </c>
      <c r="K21" s="296">
        <f t="shared" si="70"/>
        <v>0.15548487610971468</v>
      </c>
      <c r="L21" s="295">
        <f t="shared" si="70"/>
        <v>0.15809734953599236</v>
      </c>
      <c r="M21" s="294">
        <f t="shared" si="70"/>
        <v>0.14715789488439171</v>
      </c>
      <c r="N21" s="294">
        <f t="shared" si="70"/>
        <v>0.15098598264105803</v>
      </c>
      <c r="O21" s="294">
        <f t="shared" si="70"/>
        <v>0.13963767873021893</v>
      </c>
      <c r="Q21" s="295"/>
      <c r="V21" s="295"/>
      <c r="Y21" s="296"/>
    </row>
    <row r="22" spans="1:25" s="277" customFormat="1" x14ac:dyDescent="0.25">
      <c r="B22" s="277" t="s">
        <v>52</v>
      </c>
      <c r="C22" s="277">
        <v>0</v>
      </c>
      <c r="D22" s="277">
        <v>163</v>
      </c>
      <c r="E22" s="277">
        <v>169</v>
      </c>
      <c r="F22" s="277">
        <v>197</v>
      </c>
      <c r="G22" s="281">
        <f t="shared" si="64"/>
        <v>529</v>
      </c>
      <c r="H22" s="277">
        <v>173</v>
      </c>
      <c r="I22" s="277">
        <v>185</v>
      </c>
      <c r="J22" s="277">
        <v>176</v>
      </c>
      <c r="K22" s="279">
        <v>199</v>
      </c>
      <c r="L22" s="281">
        <f t="shared" si="65"/>
        <v>733</v>
      </c>
      <c r="M22" s="277">
        <v>191</v>
      </c>
      <c r="N22" s="277">
        <v>188</v>
      </c>
      <c r="O22" s="277">
        <v>170</v>
      </c>
      <c r="Q22" s="281">
        <f t="shared" si="66"/>
        <v>549</v>
      </c>
      <c r="V22" s="281"/>
      <c r="Y22" s="279"/>
    </row>
    <row r="23" spans="1:25" s="294" customFormat="1" x14ac:dyDescent="0.25">
      <c r="B23" s="294" t="s">
        <v>226</v>
      </c>
      <c r="C23" s="294">
        <f>C22/C11</f>
        <v>0</v>
      </c>
      <c r="D23" s="294">
        <f t="shared" ref="D23:O23" si="71">D22/D11</f>
        <v>9.1830985915492963E-2</v>
      </c>
      <c r="E23" s="294">
        <f t="shared" si="71"/>
        <v>9.1997822536744697E-2</v>
      </c>
      <c r="F23" s="294">
        <f t="shared" si="71"/>
        <v>0.10824175824175825</v>
      </c>
      <c r="G23" s="295">
        <f t="shared" si="71"/>
        <v>7.3769348765862497E-2</v>
      </c>
      <c r="H23" s="294">
        <f t="shared" si="71"/>
        <v>9.9490466059075647E-2</v>
      </c>
      <c r="I23" s="294">
        <f t="shared" si="71"/>
        <v>8.8766543302098766E-2</v>
      </c>
      <c r="J23" s="294">
        <f t="shared" si="71"/>
        <v>7.6565372820069144E-2</v>
      </c>
      <c r="K23" s="296">
        <f t="shared" si="71"/>
        <v>8.6428743982774364E-2</v>
      </c>
      <c r="L23" s="295">
        <f t="shared" si="71"/>
        <v>8.7131847526227379E-2</v>
      </c>
      <c r="M23" s="294">
        <f t="shared" si="71"/>
        <v>9.0376713578517107E-2</v>
      </c>
      <c r="N23" s="294">
        <f t="shared" si="71"/>
        <v>7.7981771254172827E-2</v>
      </c>
      <c r="O23" s="294">
        <f t="shared" si="71"/>
        <v>6.9410542058880753E-2</v>
      </c>
      <c r="Q23" s="295"/>
      <c r="V23" s="295"/>
      <c r="Y23" s="296"/>
    </row>
    <row r="24" spans="1:25" s="278" customFormat="1" x14ac:dyDescent="0.25">
      <c r="A24" s="278" t="s">
        <v>214</v>
      </c>
      <c r="C24" s="278">
        <f>C11-SUM(C14:C22)</f>
        <v>522.30074755606665</v>
      </c>
      <c r="D24" s="278">
        <f>D11-SUM(D14:D22)</f>
        <v>557.40619718309858</v>
      </c>
      <c r="E24" s="278">
        <f>E11-SUM(E14:E22)</f>
        <v>592.41480675013599</v>
      </c>
      <c r="F24" s="278">
        <f>F11-SUM(F14:F22)</f>
        <v>475.36978021978007</v>
      </c>
      <c r="G24" s="282">
        <f>G11-SUM(G14:G22)</f>
        <v>2149.3735880630311</v>
      </c>
      <c r="H24" s="278">
        <f>H11-SUM(H14:H22)</f>
        <v>522.26026406117626</v>
      </c>
      <c r="I24" s="278">
        <f>I11-SUM(I14:I22)</f>
        <v>604.49766947662829</v>
      </c>
      <c r="J24" s="278">
        <f>J11-SUM(J14:J22)</f>
        <v>629.03975694905421</v>
      </c>
      <c r="K24" s="280">
        <f>K11-SUM(K14:K22)</f>
        <v>550.80068462386612</v>
      </c>
      <c r="L24" s="282">
        <f t="shared" ref="L24" si="72">L11-SUM(L14:L22)</f>
        <v>2296.898489415823</v>
      </c>
      <c r="M24" s="278">
        <f>M11-SUM(M14:M22)</f>
        <v>516.71143667147726</v>
      </c>
      <c r="N24" s="278">
        <f>N11-SUM(N14:N22)</f>
        <v>627.15822269065347</v>
      </c>
      <c r="O24" s="278">
        <f>O11-SUM(O14:O22)</f>
        <v>672.53995802611075</v>
      </c>
      <c r="P24" s="278">
        <f>P25*P11</f>
        <v>675.6777984148215</v>
      </c>
      <c r="Q24" s="282">
        <f>SUM(M24:P24)</f>
        <v>2492.0874158030629</v>
      </c>
      <c r="R24" s="284">
        <f>R25*R11</f>
        <v>615.72095235003121</v>
      </c>
      <c r="S24" s="301">
        <f t="shared" ref="S24:U24" si="73">S25*S11</f>
        <v>703.47852966892469</v>
      </c>
      <c r="T24" s="301">
        <f t="shared" si="73"/>
        <v>714.85240100779993</v>
      </c>
      <c r="U24" s="280">
        <f t="shared" si="73"/>
        <v>709.53730562771545</v>
      </c>
      <c r="V24" s="282">
        <f>SUM(R24:U24)</f>
        <v>2743.5891886544714</v>
      </c>
      <c r="W24" s="301">
        <f t="shared" ref="W24" si="74">W25*W11</f>
        <v>2923.4386845433669</v>
      </c>
      <c r="X24" s="301">
        <f t="shared" ref="X24" si="75">X25*X11</f>
        <v>3104.5045974323493</v>
      </c>
      <c r="Y24" s="280">
        <f t="shared" ref="Y24" si="76">Y25*Y11</f>
        <v>3285.5973534011978</v>
      </c>
    </row>
    <row r="25" spans="1:25" s="294" customFormat="1" x14ac:dyDescent="0.25">
      <c r="B25" s="294" t="s">
        <v>226</v>
      </c>
      <c r="D25" s="294">
        <f>D24/D11</f>
        <v>0.31403166038484426</v>
      </c>
      <c r="E25" s="294">
        <f t="shared" ref="E25:O25" si="77">E24/E11</f>
        <v>0.32249036839963852</v>
      </c>
      <c r="F25" s="294">
        <f t="shared" si="77"/>
        <v>0.26119218693394508</v>
      </c>
      <c r="G25" s="295">
        <f t="shared" si="77"/>
        <v>0.29973136076740081</v>
      </c>
      <c r="H25" s="294">
        <f t="shared" si="77"/>
        <v>0.30034634147735456</v>
      </c>
      <c r="I25" s="294">
        <f t="shared" si="77"/>
        <v>0.29004955974926983</v>
      </c>
      <c r="J25" s="294">
        <f t="shared" si="77"/>
        <v>0.2736514972127842</v>
      </c>
      <c r="K25" s="296">
        <f t="shared" si="77"/>
        <v>0.2392211625974521</v>
      </c>
      <c r="L25" s="295">
        <f t="shared" si="77"/>
        <v>0.27303275438335806</v>
      </c>
      <c r="M25" s="294">
        <f t="shared" si="77"/>
        <v>0.24449571473718418</v>
      </c>
      <c r="N25" s="294">
        <f t="shared" si="77"/>
        <v>0.26014313330870276</v>
      </c>
      <c r="O25" s="294">
        <f t="shared" si="77"/>
        <v>0.27459625319323094</v>
      </c>
      <c r="P25" s="297">
        <f>AVERAGE(M25:O25,H25:K25,D25:F25)</f>
        <v>0.27802178779944065</v>
      </c>
      <c r="Q25" s="295">
        <f>Q24/Q11</f>
        <v>0.26515329521013847</v>
      </c>
      <c r="R25" s="298">
        <f>P25</f>
        <v>0.27802178779944065</v>
      </c>
      <c r="S25" s="298">
        <f>R25</f>
        <v>0.27802178779944065</v>
      </c>
      <c r="T25" s="298">
        <f t="shared" ref="T25:Y25" si="78">S25</f>
        <v>0.27802178779944065</v>
      </c>
      <c r="U25" s="298">
        <f t="shared" si="78"/>
        <v>0.27802178779944065</v>
      </c>
      <c r="V25" s="295">
        <f>V24/V11</f>
        <v>0.27803531166805612</v>
      </c>
      <c r="W25" s="304">
        <f>V25+0.005</f>
        <v>0.28303531166805612</v>
      </c>
      <c r="X25" s="298">
        <f t="shared" ref="X25:Y25" si="79">W25+0.005</f>
        <v>0.28803531166805613</v>
      </c>
      <c r="Y25" s="297">
        <f t="shared" si="79"/>
        <v>0.29303531166805613</v>
      </c>
    </row>
    <row r="26" spans="1:25" s="276" customFormat="1" x14ac:dyDescent="0.25">
      <c r="A26" s="274" t="s">
        <v>215</v>
      </c>
      <c r="B26" s="274"/>
      <c r="C26" s="275" t="s">
        <v>185</v>
      </c>
      <c r="D26" s="275" t="s">
        <v>186</v>
      </c>
      <c r="E26" s="275" t="s">
        <v>187</v>
      </c>
      <c r="F26" s="275" t="s">
        <v>188</v>
      </c>
      <c r="G26" s="275">
        <v>2023</v>
      </c>
      <c r="H26" s="275" t="s">
        <v>189</v>
      </c>
      <c r="I26" s="275" t="s">
        <v>190</v>
      </c>
      <c r="J26" s="275" t="s">
        <v>191</v>
      </c>
      <c r="K26" s="275" t="s">
        <v>192</v>
      </c>
      <c r="L26" s="275">
        <v>2024</v>
      </c>
      <c r="M26" s="275" t="s">
        <v>193</v>
      </c>
      <c r="N26" s="275" t="s">
        <v>194</v>
      </c>
      <c r="O26" s="275" t="s">
        <v>195</v>
      </c>
      <c r="P26" s="275" t="s">
        <v>196</v>
      </c>
      <c r="Q26" s="275" t="s">
        <v>197</v>
      </c>
      <c r="R26" s="275" t="s">
        <v>198</v>
      </c>
      <c r="S26" s="275" t="s">
        <v>199</v>
      </c>
      <c r="T26" s="275" t="s">
        <v>200</v>
      </c>
      <c r="U26" s="275" t="s">
        <v>201</v>
      </c>
      <c r="V26" s="275" t="s">
        <v>202</v>
      </c>
      <c r="W26" s="275" t="s">
        <v>203</v>
      </c>
      <c r="X26" s="275" t="s">
        <v>204</v>
      </c>
      <c r="Y26" s="275" t="s">
        <v>205</v>
      </c>
    </row>
    <row r="27" spans="1:25" s="8" customFormat="1" x14ac:dyDescent="0.25">
      <c r="B27" s="8" t="s">
        <v>216</v>
      </c>
      <c r="G27" s="26"/>
      <c r="H27" s="8">
        <v>4.5999999999999999E-2</v>
      </c>
      <c r="I27" s="8">
        <v>1.9E-2</v>
      </c>
      <c r="J27" s="8">
        <v>3.0000000000000001E-3</v>
      </c>
      <c r="K27" s="26">
        <v>5.8000000000000003E-2</v>
      </c>
      <c r="L27" s="288">
        <f>L36/L11</f>
        <v>2.672082947533513E-2</v>
      </c>
      <c r="M27" s="8">
        <v>1E-3</v>
      </c>
      <c r="N27" s="8">
        <v>1.9E-2</v>
      </c>
      <c r="O27" s="8">
        <v>0.04</v>
      </c>
      <c r="P27" s="297">
        <v>2.5000000000000001E-2</v>
      </c>
      <c r="Q27" s="288">
        <f>Q36/Q11</f>
        <v>2.0305705042755584E-2</v>
      </c>
      <c r="R27" s="298">
        <v>2.5000000000000001E-2</v>
      </c>
      <c r="S27" s="298">
        <f>R27-0.001</f>
        <v>2.4E-2</v>
      </c>
      <c r="T27" s="298">
        <f t="shared" ref="T27:U27" si="80">S27-0.001</f>
        <v>2.3E-2</v>
      </c>
      <c r="U27" s="298">
        <f t="shared" si="80"/>
        <v>2.1999999999999999E-2</v>
      </c>
      <c r="V27" s="288">
        <f>V36/V11</f>
        <v>2.3028325600688945E-2</v>
      </c>
      <c r="W27" s="304">
        <f>V27-0.0033</f>
        <v>1.9728325600688944E-2</v>
      </c>
      <c r="X27" s="298">
        <f t="shared" ref="X27:Y27" si="81">W27-0.0033</f>
        <v>1.6428325600688944E-2</v>
      </c>
      <c r="Y27" s="297">
        <f t="shared" si="81"/>
        <v>1.3128325600688943E-2</v>
      </c>
    </row>
    <row r="28" spans="1:25" s="277" customFormat="1" x14ac:dyDescent="0.25">
      <c r="G28" s="279"/>
      <c r="K28" s="279"/>
      <c r="L28" s="281"/>
      <c r="Q28" s="281"/>
      <c r="V28" s="281"/>
      <c r="Y28" s="279"/>
    </row>
    <row r="29" spans="1:25" s="277" customFormat="1" x14ac:dyDescent="0.25">
      <c r="B29" s="277" t="s">
        <v>217</v>
      </c>
      <c r="G29" s="279"/>
      <c r="H29" s="277">
        <v>29956</v>
      </c>
      <c r="I29" s="277">
        <v>30125</v>
      </c>
      <c r="J29" s="277">
        <v>30375</v>
      </c>
      <c r="K29" s="279">
        <v>31070</v>
      </c>
      <c r="L29" s="281">
        <f>H31</f>
        <v>31113</v>
      </c>
      <c r="M29" s="277">
        <v>31113</v>
      </c>
      <c r="N29" s="277">
        <v>31324</v>
      </c>
      <c r="O29" s="277">
        <v>31525</v>
      </c>
      <c r="P29" s="277">
        <f>K31</f>
        <v>32125</v>
      </c>
      <c r="Q29" s="281">
        <f>M31</f>
        <v>32149</v>
      </c>
      <c r="R29" s="277">
        <f t="shared" ref="R29:U29" si="82">M31</f>
        <v>32149</v>
      </c>
      <c r="S29" s="277">
        <f t="shared" si="82"/>
        <v>32229</v>
      </c>
      <c r="T29" s="277">
        <f t="shared" si="82"/>
        <v>32423</v>
      </c>
      <c r="U29" s="277">
        <f t="shared" si="82"/>
        <v>33071.333333333336</v>
      </c>
      <c r="V29" s="281">
        <f>R31</f>
        <v>33071.222222222226</v>
      </c>
      <c r="W29" s="277">
        <f>V31</f>
        <v>33997.156378600826</v>
      </c>
      <c r="X29" s="277">
        <f>W31</f>
        <v>34922.979423868317</v>
      </c>
      <c r="Y29" s="279">
        <f>X31</f>
        <v>35848.802469135808</v>
      </c>
    </row>
    <row r="30" spans="1:25" s="277" customFormat="1" x14ac:dyDescent="0.25">
      <c r="B30" s="277" t="s">
        <v>218</v>
      </c>
      <c r="G30" s="279"/>
      <c r="H30" s="277">
        <f t="shared" ref="H30:L30" si="83">H31-H29</f>
        <v>1157</v>
      </c>
      <c r="I30" s="277">
        <f t="shared" si="83"/>
        <v>1199</v>
      </c>
      <c r="J30" s="277">
        <f t="shared" si="83"/>
        <v>1150</v>
      </c>
      <c r="K30" s="279">
        <f t="shared" si="83"/>
        <v>1055</v>
      </c>
      <c r="L30" s="281">
        <f t="shared" si="83"/>
        <v>1012</v>
      </c>
      <c r="M30" s="277">
        <f>M31-M29</f>
        <v>1036</v>
      </c>
      <c r="N30" s="277">
        <f t="shared" ref="N30:O30" si="84">N31-N29</f>
        <v>905</v>
      </c>
      <c r="O30" s="277">
        <f t="shared" si="84"/>
        <v>898</v>
      </c>
      <c r="P30" s="277">
        <f>AVERAGE(M30:O30)</f>
        <v>946.33333333333337</v>
      </c>
      <c r="Q30" s="281">
        <f t="shared" ref="Q30" si="85">Q31-Q29</f>
        <v>922.33333333333576</v>
      </c>
      <c r="R30" s="277">
        <f t="shared" ref="R30:U30" si="86">AVERAGE(O30:Q30)</f>
        <v>922.22222222222308</v>
      </c>
      <c r="S30" s="277">
        <f t="shared" si="86"/>
        <v>930.29629629629744</v>
      </c>
      <c r="T30" s="277">
        <f t="shared" si="86"/>
        <v>924.95061728395206</v>
      </c>
      <c r="U30" s="277">
        <f t="shared" si="86"/>
        <v>925.82304526749078</v>
      </c>
      <c r="V30" s="281">
        <f t="shared" ref="V30" si="87">V31-V29</f>
        <v>925.93415637860016</v>
      </c>
      <c r="W30" s="277">
        <f>AVERAGE(R30:U30)</f>
        <v>925.82304526749078</v>
      </c>
      <c r="X30" s="277">
        <f>W30</f>
        <v>925.82304526749078</v>
      </c>
      <c r="Y30" s="279">
        <f>X30</f>
        <v>925.82304526749078</v>
      </c>
    </row>
    <row r="31" spans="1:25" s="277" customFormat="1" x14ac:dyDescent="0.25">
      <c r="B31" s="277" t="s">
        <v>219</v>
      </c>
      <c r="G31" s="279"/>
      <c r="H31" s="277">
        <v>31113</v>
      </c>
      <c r="I31" s="277">
        <v>31324</v>
      </c>
      <c r="J31" s="277">
        <v>31525</v>
      </c>
      <c r="K31" s="279">
        <v>32125</v>
      </c>
      <c r="L31" s="281">
        <f>K31</f>
        <v>32125</v>
      </c>
      <c r="M31" s="277">
        <v>32149</v>
      </c>
      <c r="N31" s="277">
        <v>32229</v>
      </c>
      <c r="O31" s="277">
        <v>32423</v>
      </c>
      <c r="P31" s="277">
        <f>P29+P30</f>
        <v>33071.333333333336</v>
      </c>
      <c r="Q31" s="281">
        <f>P31</f>
        <v>33071.333333333336</v>
      </c>
      <c r="R31" s="277">
        <f t="shared" ref="R31:U31" si="88">R29+R30</f>
        <v>33071.222222222226</v>
      </c>
      <c r="S31" s="277">
        <f t="shared" si="88"/>
        <v>33159.296296296299</v>
      </c>
      <c r="T31" s="277">
        <f t="shared" si="88"/>
        <v>33347.950617283954</v>
      </c>
      <c r="U31" s="277">
        <f t="shared" si="88"/>
        <v>33997.156378600826</v>
      </c>
      <c r="V31" s="281">
        <f>U31</f>
        <v>33997.156378600826</v>
      </c>
      <c r="W31" s="277">
        <f>W29+W30</f>
        <v>34922.979423868317</v>
      </c>
      <c r="X31" s="277">
        <f>X29+X30</f>
        <v>35848.802469135808</v>
      </c>
      <c r="Y31" s="279">
        <f>Y29+Y30</f>
        <v>36774.625514403298</v>
      </c>
    </row>
    <row r="32" spans="1:25" x14ac:dyDescent="0.25">
      <c r="G32" s="27"/>
      <c r="K32" s="27"/>
      <c r="L32" s="155"/>
      <c r="Q32" s="155"/>
      <c r="V32" s="155"/>
      <c r="Y32" s="27"/>
    </row>
    <row r="33" spans="2:25" x14ac:dyDescent="0.25">
      <c r="B33" s="4" t="s">
        <v>222</v>
      </c>
      <c r="G33" s="27"/>
      <c r="H33" s="4">
        <f>C11</f>
        <v>1739</v>
      </c>
      <c r="I33" s="4">
        <f>D11</f>
        <v>1775</v>
      </c>
      <c r="J33" s="4">
        <f>E11</f>
        <v>1837</v>
      </c>
      <c r="K33" s="27">
        <f>F11</f>
        <v>1820</v>
      </c>
      <c r="L33" s="155">
        <f>SUM(H33:K33)</f>
        <v>7171</v>
      </c>
      <c r="M33" s="4">
        <f>H11</f>
        <v>1738.8600823045267</v>
      </c>
      <c r="N33" s="4">
        <f>I11</f>
        <v>2084.11855546059</v>
      </c>
      <c r="O33" s="4">
        <f>J11</f>
        <v>2298.6892575264424</v>
      </c>
      <c r="P33" s="4">
        <f>K38</f>
        <v>2302.4747419638725</v>
      </c>
      <c r="Q33" s="155">
        <f>SUM(M33:P33)</f>
        <v>8424.1426372554306</v>
      </c>
      <c r="R33" s="4">
        <f t="shared" ref="R33:U33" si="89">M38</f>
        <v>2113.3762496692671</v>
      </c>
      <c r="S33" s="4">
        <f t="shared" si="89"/>
        <v>2410.8198233563471</v>
      </c>
      <c r="T33" s="4">
        <f t="shared" si="89"/>
        <v>2541.1432538009717</v>
      </c>
      <c r="U33" s="4">
        <f t="shared" si="89"/>
        <v>2640.8136407491806</v>
      </c>
      <c r="V33" s="155">
        <f>SUM(R33:U33)</f>
        <v>9706.1529675757665</v>
      </c>
      <c r="W33" s="4">
        <f>V38</f>
        <v>10175.258831965128</v>
      </c>
      <c r="X33" s="4">
        <f t="shared" ref="X33:Y33" si="90">W38</f>
        <v>10845.049223459431</v>
      </c>
      <c r="Y33" s="27">
        <f t="shared" si="90"/>
        <v>11492.264795443931</v>
      </c>
    </row>
    <row r="34" spans="2:25" x14ac:dyDescent="0.25">
      <c r="B34" s="4" t="s">
        <v>220</v>
      </c>
      <c r="G34" s="27"/>
      <c r="H34" s="4">
        <f t="shared" ref="H34:Q34" si="91">H11-C11</f>
        <v>-0.13991769547328659</v>
      </c>
      <c r="I34" s="4">
        <f t="shared" si="91"/>
        <v>309.11855546058996</v>
      </c>
      <c r="J34" s="4">
        <f t="shared" si="91"/>
        <v>461.68925752644236</v>
      </c>
      <c r="K34" s="27">
        <f t="shared" si="91"/>
        <v>482.47474196387248</v>
      </c>
      <c r="L34" s="155">
        <f t="shared" si="91"/>
        <v>1241.5382487655988</v>
      </c>
      <c r="M34" s="4">
        <f t="shared" si="91"/>
        <v>374.51616736474034</v>
      </c>
      <c r="N34" s="4">
        <f t="shared" si="91"/>
        <v>326.70126789575716</v>
      </c>
      <c r="O34" s="4">
        <f t="shared" si="91"/>
        <v>150.50642597347178</v>
      </c>
      <c r="P34" s="4">
        <f>P35*P30</f>
        <v>280.77703023621137</v>
      </c>
      <c r="Q34" s="155">
        <f t="shared" si="91"/>
        <v>986.12833702222451</v>
      </c>
      <c r="R34" s="4">
        <f t="shared" ref="R34:U34" si="92">R35*R30</f>
        <v>471.39964010506128</v>
      </c>
      <c r="S34" s="4">
        <f t="shared" si="92"/>
        <v>582.06255665659285</v>
      </c>
      <c r="T34" s="4">
        <f t="shared" si="92"/>
        <v>680.1462763662895</v>
      </c>
      <c r="U34" s="4">
        <f t="shared" si="92"/>
        <v>577.76392746761042</v>
      </c>
      <c r="V34" s="155">
        <f t="shared" ref="V34" si="93">V11-Q11</f>
        <v>469.10586438936116</v>
      </c>
      <c r="W34" s="4">
        <f>W30*W35</f>
        <v>469.04957218601038</v>
      </c>
      <c r="X34" s="4">
        <f t="shared" ref="X34:Y34" si="94">X30*X35</f>
        <v>469.04957218601038</v>
      </c>
      <c r="Y34" s="27">
        <f t="shared" si="94"/>
        <v>469.04957218601038</v>
      </c>
    </row>
    <row r="35" spans="2:25" s="190" customFormat="1" x14ac:dyDescent="0.25">
      <c r="B35" s="190" t="s">
        <v>221</v>
      </c>
      <c r="G35" s="286"/>
      <c r="H35" s="190">
        <f t="shared" ref="H35:L35" si="95">H34/H30</f>
        <v>-1.2093145676169972E-4</v>
      </c>
      <c r="I35" s="190">
        <f t="shared" si="95"/>
        <v>0.25781364091792325</v>
      </c>
      <c r="J35" s="190">
        <f t="shared" si="95"/>
        <v>0.40146891958821074</v>
      </c>
      <c r="K35" s="286">
        <f t="shared" si="95"/>
        <v>0.45732203029750945</v>
      </c>
      <c r="L35" s="289">
        <f t="shared" si="95"/>
        <v>1.226816451349406</v>
      </c>
      <c r="M35" s="190">
        <f>M34/M30</f>
        <v>0.36150209205090766</v>
      </c>
      <c r="N35" s="190">
        <f t="shared" ref="N35:O35" si="96">N34/N30</f>
        <v>0.36099587612790845</v>
      </c>
      <c r="O35" s="190">
        <f t="shared" si="96"/>
        <v>0.1676018106608817</v>
      </c>
      <c r="P35" s="298">
        <f>AVERAGE(M35:O35)</f>
        <v>0.29669992627989927</v>
      </c>
      <c r="Q35" s="289">
        <f t="shared" ref="Q35" si="97">Q34/Q30</f>
        <v>1.0691669718347183</v>
      </c>
      <c r="R35" s="298">
        <f t="shared" ref="R35:U35" si="98">AVERAGE(O35:Q35)</f>
        <v>0.51115623625849971</v>
      </c>
      <c r="S35" s="298">
        <f t="shared" si="98"/>
        <v>0.62567437812437243</v>
      </c>
      <c r="T35" s="298">
        <f t="shared" si="98"/>
        <v>0.73533252873919686</v>
      </c>
      <c r="U35" s="298">
        <f t="shared" si="98"/>
        <v>0.62405438104068967</v>
      </c>
      <c r="V35" s="289">
        <f t="shared" ref="V35" si="99">V34/V30</f>
        <v>0.50662983016424223</v>
      </c>
      <c r="W35" s="298">
        <f>V35</f>
        <v>0.50662983016424223</v>
      </c>
      <c r="X35" s="298">
        <f t="shared" ref="X35:Y35" si="100">W35</f>
        <v>0.50662983016424223</v>
      </c>
      <c r="Y35" s="297">
        <f t="shared" si="100"/>
        <v>0.50662983016424223</v>
      </c>
    </row>
    <row r="36" spans="2:25" s="285" customFormat="1" x14ac:dyDescent="0.25">
      <c r="B36" s="285" t="s">
        <v>224</v>
      </c>
      <c r="G36" s="287"/>
      <c r="H36" s="285">
        <f t="shared" ref="H36:N36" si="101">H33*H37</f>
        <v>79.994</v>
      </c>
      <c r="I36" s="285">
        <f t="shared" si="101"/>
        <v>33.725000000000001</v>
      </c>
      <c r="J36" s="285">
        <f t="shared" si="101"/>
        <v>5.5110000000000001</v>
      </c>
      <c r="K36" s="287">
        <f t="shared" si="101"/>
        <v>105.56</v>
      </c>
      <c r="L36" s="290">
        <f>SUM(H36:K36)</f>
        <v>224.79</v>
      </c>
      <c r="M36" s="285">
        <f t="shared" si="101"/>
        <v>1.7388600823045268</v>
      </c>
      <c r="N36" s="285">
        <f t="shared" si="101"/>
        <v>39.598252553751209</v>
      </c>
      <c r="O36" s="285">
        <f>O33*O37</f>
        <v>91.947570301057695</v>
      </c>
      <c r="P36" s="285">
        <f>P33*P37</f>
        <v>57.561868549096815</v>
      </c>
      <c r="Q36" s="290">
        <f>SUM(M36:P36)</f>
        <v>190.84655148621022</v>
      </c>
      <c r="R36" s="285">
        <f t="shared" ref="R36:U36" si="102">R33*R37</f>
        <v>52.834406241731678</v>
      </c>
      <c r="S36" s="285">
        <f t="shared" si="102"/>
        <v>57.859675760552335</v>
      </c>
      <c r="T36" s="285">
        <f t="shared" si="102"/>
        <v>58.44629483742235</v>
      </c>
      <c r="U36" s="285">
        <f t="shared" si="102"/>
        <v>58.097900096481972</v>
      </c>
      <c r="V36" s="290">
        <f>SUM(R36:U36)</f>
        <v>227.23827693618833</v>
      </c>
      <c r="W36" s="285">
        <f>W37*W33</f>
        <v>200.74081930829391</v>
      </c>
      <c r="X36" s="285">
        <f t="shared" ref="X36:Y36" si="103">X37*X33</f>
        <v>178.16599979849033</v>
      </c>
      <c r="Y36" s="287">
        <f t="shared" si="103"/>
        <v>150.87419412392282</v>
      </c>
    </row>
    <row r="37" spans="2:25" s="190" customFormat="1" x14ac:dyDescent="0.25">
      <c r="B37" s="190" t="str">
        <f>B27</f>
        <v>Comps margins</v>
      </c>
      <c r="G37" s="286"/>
      <c r="H37" s="190">
        <f t="shared" ref="H37:N37" si="104">H27</f>
        <v>4.5999999999999999E-2</v>
      </c>
      <c r="I37" s="190">
        <f t="shared" si="104"/>
        <v>1.9E-2</v>
      </c>
      <c r="J37" s="190">
        <f t="shared" si="104"/>
        <v>3.0000000000000001E-3</v>
      </c>
      <c r="K37" s="286">
        <f t="shared" si="104"/>
        <v>5.8000000000000003E-2</v>
      </c>
      <c r="L37" s="289">
        <f t="shared" si="104"/>
        <v>2.672082947533513E-2</v>
      </c>
      <c r="M37" s="190">
        <f t="shared" si="104"/>
        <v>1E-3</v>
      </c>
      <c r="N37" s="190">
        <f t="shared" si="104"/>
        <v>1.9E-2</v>
      </c>
      <c r="O37" s="190">
        <f>O27</f>
        <v>0.04</v>
      </c>
      <c r="P37" s="298">
        <f>P27</f>
        <v>2.5000000000000001E-2</v>
      </c>
      <c r="Q37" s="289">
        <f t="shared" ref="Q37:U37" si="105">Q27</f>
        <v>2.0305705042755584E-2</v>
      </c>
      <c r="R37" s="298">
        <f t="shared" si="105"/>
        <v>2.5000000000000001E-2</v>
      </c>
      <c r="S37" s="298">
        <f t="shared" si="105"/>
        <v>2.4E-2</v>
      </c>
      <c r="T37" s="298">
        <f t="shared" si="105"/>
        <v>2.3E-2</v>
      </c>
      <c r="U37" s="298">
        <f t="shared" si="105"/>
        <v>2.1999999999999999E-2</v>
      </c>
      <c r="V37" s="289">
        <f t="shared" ref="V37:Y37" si="106">V27</f>
        <v>2.3028325600688945E-2</v>
      </c>
      <c r="W37" s="298">
        <f>W27</f>
        <v>1.9728325600688944E-2</v>
      </c>
      <c r="X37" s="298">
        <f t="shared" ref="X37:Y37" si="107">X27</f>
        <v>1.6428325600688944E-2</v>
      </c>
      <c r="Y37" s="297">
        <f t="shared" si="107"/>
        <v>1.3128325600688943E-2</v>
      </c>
    </row>
    <row r="38" spans="2:25" s="11" customFormat="1" x14ac:dyDescent="0.25">
      <c r="B38" s="11" t="s">
        <v>223</v>
      </c>
      <c r="G38" s="24"/>
      <c r="H38" s="11">
        <f t="shared" ref="H38:N38" si="108">H33+H34</f>
        <v>1738.8600823045267</v>
      </c>
      <c r="I38" s="11">
        <f t="shared" si="108"/>
        <v>2084.11855546059</v>
      </c>
      <c r="J38" s="11">
        <f t="shared" si="108"/>
        <v>2298.6892575264424</v>
      </c>
      <c r="K38" s="24">
        <f t="shared" si="108"/>
        <v>2302.4747419638725</v>
      </c>
      <c r="L38" s="307">
        <f t="shared" si="108"/>
        <v>8412.5382487655988</v>
      </c>
      <c r="M38" s="11">
        <f t="shared" si="108"/>
        <v>2113.3762496692671</v>
      </c>
      <c r="N38" s="11">
        <f t="shared" si="108"/>
        <v>2410.8198233563471</v>
      </c>
      <c r="O38" s="11">
        <f>SUM(O33,O34,O36)</f>
        <v>2541.1432538009717</v>
      </c>
      <c r="P38" s="11">
        <f>P33+P34+P36</f>
        <v>2640.8136407491806</v>
      </c>
      <c r="Q38" s="307">
        <f t="shared" ref="Q38" si="109">Q33+Q34</f>
        <v>9410.2709742776551</v>
      </c>
      <c r="R38" s="11">
        <f t="shared" ref="R38:W38" si="110">R33+R34+R36</f>
        <v>2637.6102960160601</v>
      </c>
      <c r="S38" s="11">
        <f t="shared" si="110"/>
        <v>3050.7420557734922</v>
      </c>
      <c r="T38" s="11">
        <f t="shared" si="110"/>
        <v>3279.7358250046836</v>
      </c>
      <c r="U38" s="11">
        <f t="shared" si="110"/>
        <v>3276.6754683132731</v>
      </c>
      <c r="V38" s="307">
        <f t="shared" ref="V38" si="111">V33+V34</f>
        <v>10175.258831965128</v>
      </c>
      <c r="W38" s="11">
        <f t="shared" si="110"/>
        <v>10845.049223459431</v>
      </c>
      <c r="X38" s="11">
        <f t="shared" ref="X38:Y38" si="112">X33+X34+X36</f>
        <v>11492.264795443931</v>
      </c>
      <c r="Y38" s="24">
        <f t="shared" si="112"/>
        <v>12112.188561753863</v>
      </c>
    </row>
    <row r="39" spans="2:25" s="190" customFormat="1" x14ac:dyDescent="0.25">
      <c r="G39" s="286"/>
      <c r="K39" s="305"/>
      <c r="L39" s="306"/>
      <c r="M39" s="190">
        <f>M38/H38-1</f>
        <v>0.21538027767501045</v>
      </c>
      <c r="N39" s="190">
        <f t="shared" ref="N39:Q39" si="113">N38/I38-1</f>
        <v>0.15675752564064482</v>
      </c>
      <c r="O39" s="190">
        <f t="shared" si="113"/>
        <v>0.10547488986633513</v>
      </c>
      <c r="P39" s="305">
        <f t="shared" si="113"/>
        <v>0.14694575910818708</v>
      </c>
      <c r="Q39" s="306">
        <f t="shared" si="113"/>
        <v>0.11860067627727666</v>
      </c>
      <c r="R39" s="190">
        <f>R38/M38-1</f>
        <v>0.24805523693607956</v>
      </c>
      <c r="S39" s="190">
        <f t="shared" ref="S39" si="114">S38/N38-1</f>
        <v>0.26543760185539056</v>
      </c>
      <c r="T39" s="190">
        <f t="shared" ref="T39" si="115">T38/O38-1</f>
        <v>0.29065365366511542</v>
      </c>
      <c r="U39" s="305">
        <f t="shared" ref="U39" si="116">U38/P38-1</f>
        <v>0.24078254434633362</v>
      </c>
      <c r="V39" s="306">
        <f t="shared" ref="V39" si="117">V38/Q38-1</f>
        <v>8.1292861786713244E-2</v>
      </c>
      <c r="W39" s="190">
        <f>W38/V38-1</f>
        <v>6.5825391034789904E-2</v>
      </c>
      <c r="X39" s="190">
        <f t="shared" ref="X39:Y39" si="118">X38/W38-1</f>
        <v>5.9678435629824333E-2</v>
      </c>
      <c r="Y39" s="286">
        <f t="shared" si="118"/>
        <v>5.3942697748810886E-2</v>
      </c>
    </row>
    <row r="40" spans="2:25" x14ac:dyDescent="0.25"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7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126</v>
      </c>
      <c r="B2" s="260" t="s">
        <v>127</v>
      </c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195"/>
      <c r="L2" s="195"/>
    </row>
    <row r="3" spans="1:20" x14ac:dyDescent="0.25">
      <c r="A3" s="86"/>
      <c r="B3" s="158"/>
      <c r="C3" s="195"/>
      <c r="D3" s="195"/>
      <c r="E3" s="195"/>
      <c r="F3" s="195"/>
      <c r="G3" s="195"/>
      <c r="H3" s="195"/>
      <c r="I3" s="195"/>
      <c r="J3" s="195"/>
      <c r="K3" s="195"/>
      <c r="L3" s="195"/>
    </row>
    <row r="4" spans="1:20" x14ac:dyDescent="0.25">
      <c r="B4" s="94" t="s">
        <v>131</v>
      </c>
      <c r="C4"/>
      <c r="D4" s="323">
        <v>1</v>
      </c>
      <c r="E4"/>
      <c r="F4"/>
      <c r="G4" s="89"/>
      <c r="H4" s="89"/>
      <c r="I4" s="89"/>
      <c r="J4" s="89"/>
      <c r="K4" s="89"/>
      <c r="M4" s="230"/>
      <c r="N4" s="231"/>
      <c r="O4" s="231"/>
    </row>
    <row r="5" spans="1:20" x14ac:dyDescent="0.25">
      <c r="B5" s="88"/>
      <c r="C5" s="90"/>
      <c r="D5" s="324"/>
      <c r="E5" s="91"/>
      <c r="K5" s="89"/>
      <c r="M5" s="232"/>
      <c r="N5" s="233"/>
      <c r="O5" s="233"/>
    </row>
    <row r="6" spans="1:20" x14ac:dyDescent="0.25">
      <c r="B6" s="92" t="s">
        <v>227</v>
      </c>
      <c r="D6" s="170"/>
      <c r="E6" s="93"/>
      <c r="F6" s="101">
        <f>'Quarterly Projections'!Q12</f>
        <v>0.11722126044026271</v>
      </c>
      <c r="G6" s="101">
        <f>'Quarterly Projections'!V12</f>
        <v>4.9911959330350086E-2</v>
      </c>
      <c r="H6" s="101">
        <f>'Quarterly Projections'!W12</f>
        <v>4.6728963746740071E-2</v>
      </c>
      <c r="I6" s="101">
        <f>'Quarterly Projections'!X12</f>
        <v>4.3501808975430656E-2</v>
      </c>
      <c r="J6" s="101">
        <f>'Quarterly Projections'!Y12</f>
        <v>4.0274154609047264E-2</v>
      </c>
      <c r="K6" s="170"/>
      <c r="M6" s="170"/>
      <c r="N6" s="234"/>
      <c r="O6" s="234"/>
      <c r="P6" s="234"/>
      <c r="Q6" s="234"/>
      <c r="R6" s="234"/>
      <c r="S6" s="234"/>
      <c r="T6" s="234"/>
    </row>
    <row r="7" spans="1:20" x14ac:dyDescent="0.25">
      <c r="B7" s="4" t="s">
        <v>228</v>
      </c>
      <c r="D7" s="170"/>
      <c r="E7" s="93"/>
      <c r="F7" s="101">
        <f>'Quarterly Projections'!Q39</f>
        <v>0.11860067627727666</v>
      </c>
      <c r="G7" s="101">
        <f>'Quarterly Projections'!V39</f>
        <v>8.1292861786713244E-2</v>
      </c>
      <c r="H7" s="101">
        <f>'Quarterly Projections'!W39</f>
        <v>6.5825391034789904E-2</v>
      </c>
      <c r="I7" s="101">
        <f>'Quarterly Projections'!X39</f>
        <v>5.9678435629824333E-2</v>
      </c>
      <c r="J7" s="101">
        <f>'Quarterly Projections'!Y39</f>
        <v>5.3942697748810886E-2</v>
      </c>
      <c r="K7" s="170"/>
      <c r="M7" s="170"/>
      <c r="N7" s="170"/>
      <c r="O7" s="170"/>
      <c r="P7" s="170"/>
      <c r="Q7" s="170"/>
      <c r="R7" s="170"/>
      <c r="S7" s="170"/>
      <c r="T7" s="170"/>
    </row>
    <row r="8" spans="1:20" x14ac:dyDescent="0.25">
      <c r="B8" s="4" t="s">
        <v>128</v>
      </c>
      <c r="D8" s="170"/>
      <c r="E8" s="93"/>
      <c r="F8" s="101">
        <v>0.03</v>
      </c>
      <c r="G8" s="101">
        <f>F8</f>
        <v>0.03</v>
      </c>
      <c r="H8" s="101">
        <f>G8</f>
        <v>0.03</v>
      </c>
      <c r="I8" s="101">
        <f t="shared" ref="I8:J8" si="1">H8</f>
        <v>0.03</v>
      </c>
      <c r="J8" s="101">
        <f t="shared" si="1"/>
        <v>0.03</v>
      </c>
      <c r="K8" s="170"/>
    </row>
    <row r="9" spans="1:20" x14ac:dyDescent="0.25">
      <c r="K9" s="30"/>
      <c r="L9" s="30"/>
      <c r="M9" s="170"/>
      <c r="N9" s="170"/>
    </row>
    <row r="10" spans="1:20" x14ac:dyDescent="0.25">
      <c r="B10" s="117" t="s">
        <v>148</v>
      </c>
      <c r="C10" s="190"/>
      <c r="D10" s="272">
        <f>IncState!D16/IncState!C16-1</f>
        <v>7.9477325134512E-2</v>
      </c>
      <c r="E10" s="191">
        <f>IncState!E16/IncState!D16-1</f>
        <v>0.19709484477356876</v>
      </c>
      <c r="F10" s="105">
        <f t="shared" ref="F10" si="2">CHOOSE(ScenarioREV,F6,F7,F8)</f>
        <v>0.11722126044026271</v>
      </c>
      <c r="G10" s="105">
        <f t="shared" ref="G10:J10" si="3">CHOOSE(ScenarioREV,G6,G7,G8)</f>
        <v>4.9911959330350086E-2</v>
      </c>
      <c r="H10" s="105">
        <f t="shared" si="3"/>
        <v>4.6728963746740071E-2</v>
      </c>
      <c r="I10" s="105">
        <f t="shared" si="3"/>
        <v>4.3501808975430656E-2</v>
      </c>
      <c r="J10" s="105">
        <f t="shared" si="3"/>
        <v>4.0274154609047264E-2</v>
      </c>
      <c r="K10" s="29"/>
      <c r="L10" s="29"/>
      <c r="M10" s="170"/>
      <c r="N10" s="170"/>
    </row>
    <row r="11" spans="1:20" x14ac:dyDescent="0.25">
      <c r="B11" s="4" t="s">
        <v>132</v>
      </c>
      <c r="C11" s="8">
        <f>IncState!C17/IncState!C16</f>
        <v>0.33712528823981552</v>
      </c>
      <c r="D11" s="8">
        <f>IncState!D17/IncState!D16</f>
        <v>0.18911990885787525</v>
      </c>
      <c r="E11" s="8">
        <f>IncState!E17/IncState!E16</f>
        <v>0.25933856768974545</v>
      </c>
      <c r="F11" s="101">
        <f>E11-0.001</f>
        <v>0.25833856768974545</v>
      </c>
      <c r="G11" s="101">
        <f t="shared" ref="G11:J11" si="4">F11-0.001</f>
        <v>0.25733856768974545</v>
      </c>
      <c r="H11" s="101">
        <f t="shared" si="4"/>
        <v>0.25633856768974544</v>
      </c>
      <c r="I11" s="101">
        <f t="shared" si="4"/>
        <v>0.25533856768974544</v>
      </c>
      <c r="J11" s="101">
        <f t="shared" si="4"/>
        <v>0.25433856768974544</v>
      </c>
      <c r="K11" s="170"/>
      <c r="L11" s="170"/>
      <c r="M11" s="170"/>
      <c r="N11" s="170"/>
    </row>
    <row r="12" spans="1:20" x14ac:dyDescent="0.25">
      <c r="B12" s="4" t="s">
        <v>45</v>
      </c>
      <c r="C12" s="8">
        <f>IncState!C18/IncState!C16</f>
        <v>0.37109915449654113</v>
      </c>
      <c r="D12" s="8">
        <f>IncState!D18/IncState!D16</f>
        <v>0.518798063229849</v>
      </c>
      <c r="E12" s="8">
        <f>IncState!E18/IncState!E16</f>
        <v>0.45289079229122053</v>
      </c>
      <c r="F12" s="101">
        <f>E12-0.001</f>
        <v>0.45189079229122053</v>
      </c>
      <c r="G12" s="101">
        <f t="shared" ref="G12:J12" si="5">F12-0.001</f>
        <v>0.45089079229122053</v>
      </c>
      <c r="H12" s="101">
        <f t="shared" si="5"/>
        <v>0.44989079229122053</v>
      </c>
      <c r="I12" s="101">
        <f t="shared" si="5"/>
        <v>0.44889079229122053</v>
      </c>
      <c r="J12" s="101">
        <f t="shared" si="5"/>
        <v>0.44789079229122053</v>
      </c>
      <c r="K12" s="170"/>
      <c r="L12" s="170"/>
    </row>
    <row r="13" spans="1:20" x14ac:dyDescent="0.25">
      <c r="B13" s="4" t="s">
        <v>134</v>
      </c>
      <c r="C13" s="4">
        <f>IncState!C22</f>
        <v>0</v>
      </c>
      <c r="D13" s="4">
        <f>IncState!D22</f>
        <v>0</v>
      </c>
      <c r="E13" s="4">
        <f>IncState!E22</f>
        <v>0</v>
      </c>
      <c r="F13" s="102">
        <f>E13</f>
        <v>0</v>
      </c>
      <c r="G13" s="102">
        <f t="shared" ref="G13:J13" si="6">F13</f>
        <v>0</v>
      </c>
      <c r="H13" s="102">
        <f t="shared" si="6"/>
        <v>0</v>
      </c>
      <c r="I13" s="102">
        <f t="shared" si="6"/>
        <v>0</v>
      </c>
      <c r="J13" s="102">
        <f t="shared" si="6"/>
        <v>0</v>
      </c>
      <c r="K13" s="196"/>
      <c r="L13" s="196"/>
    </row>
    <row r="14" spans="1:20" x14ac:dyDescent="0.25">
      <c r="B14" s="4" t="s">
        <v>135</v>
      </c>
      <c r="C14" s="4">
        <f>IncState!C25</f>
        <v>0</v>
      </c>
      <c r="D14" s="4">
        <f>IncState!D25</f>
        <v>0</v>
      </c>
      <c r="E14" s="4">
        <f>IncState!E25</f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6"/>
      <c r="L14" s="196"/>
    </row>
    <row r="15" spans="1:20" x14ac:dyDescent="0.25">
      <c r="B15" s="4" t="s">
        <v>137</v>
      </c>
      <c r="C15" s="4">
        <f>IncState!C26</f>
        <v>0</v>
      </c>
      <c r="D15" s="4">
        <f>IncState!D26</f>
        <v>0</v>
      </c>
      <c r="E15" s="4">
        <f>IncState!E26</f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6"/>
      <c r="L15" s="196"/>
    </row>
    <row r="16" spans="1:20" x14ac:dyDescent="0.25">
      <c r="B16" s="4" t="s">
        <v>48</v>
      </c>
      <c r="C16" s="8">
        <f>IncState!C33/IncState!C31</f>
        <v>-8.5714285714285715E-2</v>
      </c>
      <c r="D16" s="8">
        <f>IncState!D33/IncState!D31</f>
        <v>-0.18039482641252552</v>
      </c>
      <c r="E16" s="8">
        <f>IncState!E33/IncState!E31</f>
        <v>0.19761129207383279</v>
      </c>
      <c r="F16" s="101">
        <f>E16</f>
        <v>0.19761129207383279</v>
      </c>
      <c r="G16" s="101">
        <f t="shared" ref="G16:J16" si="7">F16</f>
        <v>0.19761129207383279</v>
      </c>
      <c r="H16" s="101">
        <f t="shared" si="7"/>
        <v>0.19761129207383279</v>
      </c>
      <c r="I16" s="101">
        <f t="shared" si="7"/>
        <v>0.19761129207383279</v>
      </c>
      <c r="J16" s="101">
        <f t="shared" si="7"/>
        <v>0.19761129207383279</v>
      </c>
      <c r="K16" s="170"/>
      <c r="L16" s="170"/>
    </row>
    <row r="17" spans="1:12" s="263" customFormat="1" x14ac:dyDescent="0.25">
      <c r="B17" s="263" t="s">
        <v>138</v>
      </c>
      <c r="C17" s="263">
        <f>IncState!C35</f>
        <v>3.1628664495114007</v>
      </c>
      <c r="D17" s="263">
        <f>IncState!D35</f>
        <v>3.1730769230769229</v>
      </c>
      <c r="E17" s="263">
        <f>IncState!E35</f>
        <v>3.2257053291536049</v>
      </c>
      <c r="F17" s="264">
        <f>E17+0.1</f>
        <v>3.3257053291536049</v>
      </c>
      <c r="G17" s="264">
        <f t="shared" ref="G17:J17" si="8">F17+0.1</f>
        <v>3.425705329153605</v>
      </c>
      <c r="H17" s="264">
        <f t="shared" si="8"/>
        <v>3.5257053291536051</v>
      </c>
      <c r="I17" s="264">
        <f t="shared" si="8"/>
        <v>3.6257053291536052</v>
      </c>
      <c r="J17" s="264">
        <f t="shared" si="8"/>
        <v>3.7257053291536053</v>
      </c>
      <c r="K17" s="265"/>
      <c r="L17" s="265"/>
    </row>
    <row r="18" spans="1:12" x14ac:dyDescent="0.25">
      <c r="B18" s="4" t="s">
        <v>49</v>
      </c>
      <c r="C18" s="4">
        <f>IncState!C38</f>
        <v>307</v>
      </c>
      <c r="D18" s="4">
        <f>IncState!D38</f>
        <v>312</v>
      </c>
      <c r="E18" s="4">
        <f>IncState!E38</f>
        <v>319</v>
      </c>
      <c r="F18" s="102">
        <f>E18</f>
        <v>319</v>
      </c>
      <c r="G18" s="102">
        <f t="shared" ref="G18:J18" si="9">F18</f>
        <v>319</v>
      </c>
      <c r="H18" s="102">
        <f t="shared" si="9"/>
        <v>319</v>
      </c>
      <c r="I18" s="102">
        <f t="shared" si="9"/>
        <v>319</v>
      </c>
      <c r="J18" s="102">
        <f t="shared" si="9"/>
        <v>319</v>
      </c>
      <c r="K18" s="196"/>
      <c r="L18" s="196"/>
    </row>
    <row r="19" spans="1:12" x14ac:dyDescent="0.25">
      <c r="B19" s="4" t="s">
        <v>50</v>
      </c>
      <c r="C19" s="4">
        <f>IncState!C39</f>
        <v>455</v>
      </c>
      <c r="D19" s="4">
        <f>IncState!D39</f>
        <v>456</v>
      </c>
      <c r="E19" s="4">
        <f>IncState!E39</f>
        <v>454</v>
      </c>
      <c r="F19" s="102">
        <f>E19</f>
        <v>454</v>
      </c>
      <c r="G19" s="102">
        <f t="shared" ref="G19:J19" si="10">F19</f>
        <v>454</v>
      </c>
      <c r="H19" s="102">
        <f t="shared" si="10"/>
        <v>454</v>
      </c>
      <c r="I19" s="102">
        <f t="shared" si="10"/>
        <v>454</v>
      </c>
      <c r="J19" s="102">
        <f t="shared" si="10"/>
        <v>454</v>
      </c>
      <c r="K19" s="196"/>
      <c r="L19" s="196"/>
    </row>
    <row r="20" spans="1:12" x14ac:dyDescent="0.25">
      <c r="F20" s="104"/>
      <c r="G20" s="104"/>
      <c r="H20" s="104"/>
      <c r="I20" s="104"/>
      <c r="J20" s="104"/>
      <c r="K20" s="170"/>
      <c r="L20" s="170"/>
    </row>
    <row r="21" spans="1:12" x14ac:dyDescent="0.25">
      <c r="A21" s="64" t="s">
        <v>126</v>
      </c>
      <c r="B21" s="107" t="s">
        <v>143</v>
      </c>
      <c r="C21" s="260">
        <f t="shared" ref="C21:J21" si="11">C2</f>
        <v>2022</v>
      </c>
      <c r="D21" s="260">
        <f t="shared" si="11"/>
        <v>2023</v>
      </c>
      <c r="E21" s="260">
        <f t="shared" si="11"/>
        <v>2024</v>
      </c>
      <c r="F21" s="260">
        <f t="shared" si="11"/>
        <v>2025</v>
      </c>
      <c r="G21" s="260">
        <f t="shared" si="11"/>
        <v>2026</v>
      </c>
      <c r="H21" s="260">
        <f t="shared" si="11"/>
        <v>2027</v>
      </c>
      <c r="I21" s="260">
        <f t="shared" si="11"/>
        <v>2028</v>
      </c>
      <c r="J21" s="260">
        <f t="shared" si="11"/>
        <v>2029</v>
      </c>
      <c r="K21" s="197"/>
      <c r="L21" s="197"/>
    </row>
    <row r="22" spans="1:12" x14ac:dyDescent="0.25">
      <c r="A22" s="86"/>
      <c r="B22" s="158"/>
      <c r="C22" s="195"/>
      <c r="D22" s="195"/>
      <c r="E22" s="195"/>
      <c r="F22" s="197"/>
      <c r="G22" s="197"/>
      <c r="H22" s="197"/>
      <c r="I22" s="197"/>
      <c r="J22" s="197"/>
      <c r="K22" s="197"/>
      <c r="L22" s="197"/>
    </row>
    <row r="23" spans="1:12" x14ac:dyDescent="0.25">
      <c r="B23" s="4" t="s">
        <v>136</v>
      </c>
      <c r="E23" s="8">
        <v>6.9500000000000006E-2</v>
      </c>
      <c r="F23" s="101">
        <f>E23</f>
        <v>6.9500000000000006E-2</v>
      </c>
      <c r="G23" s="101">
        <f t="shared" ref="G23:J23" si="12">F23</f>
        <v>6.9500000000000006E-2</v>
      </c>
      <c r="H23" s="101">
        <f t="shared" si="12"/>
        <v>6.9500000000000006E-2</v>
      </c>
      <c r="I23" s="101">
        <f t="shared" si="12"/>
        <v>6.9500000000000006E-2</v>
      </c>
      <c r="J23" s="101">
        <f t="shared" si="12"/>
        <v>6.9500000000000006E-2</v>
      </c>
      <c r="K23" s="170"/>
      <c r="L23" s="170"/>
    </row>
    <row r="24" spans="1:12" x14ac:dyDescent="0.25">
      <c r="B24" s="4" t="s">
        <v>26</v>
      </c>
      <c r="E24" s="8">
        <v>4.4999999999999998E-2</v>
      </c>
      <c r="F24" s="101">
        <f>E24</f>
        <v>4.4999999999999998E-2</v>
      </c>
      <c r="G24" s="101">
        <f t="shared" ref="G24:J24" si="13">F24</f>
        <v>4.4999999999999998E-2</v>
      </c>
      <c r="H24" s="101">
        <f t="shared" si="13"/>
        <v>4.4999999999999998E-2</v>
      </c>
      <c r="I24" s="101">
        <f t="shared" si="13"/>
        <v>4.4999999999999998E-2</v>
      </c>
      <c r="J24" s="101">
        <f t="shared" si="13"/>
        <v>4.4999999999999998E-2</v>
      </c>
      <c r="K24" s="170"/>
      <c r="L24" s="170"/>
    </row>
    <row r="25" spans="1:12" x14ac:dyDescent="0.25">
      <c r="B25" s="4" t="s">
        <v>27</v>
      </c>
      <c r="C25" s="8"/>
      <c r="D25" s="8"/>
      <c r="E25" s="8">
        <f>IncState!E28/SUM(BalSheet!E15:E16)</f>
        <v>2.9235382308845578E-2</v>
      </c>
      <c r="F25" s="126">
        <f>E25</f>
        <v>2.9235382308845578E-2</v>
      </c>
      <c r="G25" s="126">
        <f t="shared" ref="G25:J25" si="14">F25</f>
        <v>2.9235382308845578E-2</v>
      </c>
      <c r="H25" s="126">
        <f t="shared" si="14"/>
        <v>2.9235382308845578E-2</v>
      </c>
      <c r="I25" s="126">
        <f t="shared" si="14"/>
        <v>2.9235382308845578E-2</v>
      </c>
      <c r="J25" s="126">
        <f t="shared" si="14"/>
        <v>2.9235382308845578E-2</v>
      </c>
      <c r="K25" s="170"/>
      <c r="L25" s="170"/>
    </row>
    <row r="26" spans="1:12" x14ac:dyDescent="0.25">
      <c r="F26" s="104"/>
      <c r="G26" s="104"/>
      <c r="H26" s="104"/>
      <c r="I26" s="104"/>
      <c r="J26" s="104"/>
      <c r="K26" s="170"/>
      <c r="L26" s="170"/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6"/>
      <c r="L27" s="196"/>
    </row>
    <row r="28" spans="1:12" x14ac:dyDescent="0.25">
      <c r="B28" s="4" t="s">
        <v>29</v>
      </c>
      <c r="F28" s="102">
        <v>-222</v>
      </c>
      <c r="G28" s="102">
        <v>0</v>
      </c>
      <c r="H28" s="102">
        <v>0</v>
      </c>
      <c r="I28" s="102">
        <v>0</v>
      </c>
      <c r="J28" s="102">
        <v>0</v>
      </c>
      <c r="K28" s="196"/>
      <c r="L28" s="196"/>
    </row>
    <row r="29" spans="1:12" x14ac:dyDescent="0.25">
      <c r="F29" s="104"/>
      <c r="G29" s="104"/>
      <c r="H29" s="104"/>
      <c r="I29" s="104"/>
      <c r="J29" s="104"/>
      <c r="K29" s="170"/>
      <c r="L29" s="170"/>
    </row>
    <row r="30" spans="1:12" x14ac:dyDescent="0.25">
      <c r="A30" s="64" t="s">
        <v>126</v>
      </c>
      <c r="B30" s="107" t="s">
        <v>140</v>
      </c>
      <c r="C30" s="260">
        <f>C21</f>
        <v>2022</v>
      </c>
      <c r="D30" s="260">
        <f t="shared" ref="D30:J30" si="15">D21</f>
        <v>2023</v>
      </c>
      <c r="E30" s="260">
        <f t="shared" si="15"/>
        <v>2024</v>
      </c>
      <c r="F30" s="260">
        <f t="shared" si="15"/>
        <v>2025</v>
      </c>
      <c r="G30" s="260">
        <f t="shared" si="15"/>
        <v>2026</v>
      </c>
      <c r="H30" s="260">
        <f t="shared" si="15"/>
        <v>2027</v>
      </c>
      <c r="I30" s="260">
        <f t="shared" si="15"/>
        <v>2028</v>
      </c>
      <c r="J30" s="260">
        <f t="shared" si="15"/>
        <v>2029</v>
      </c>
      <c r="K30" s="198"/>
      <c r="L30" s="198"/>
    </row>
    <row r="31" spans="1:12" x14ac:dyDescent="0.25">
      <c r="A31" s="86"/>
      <c r="B31" s="158"/>
      <c r="C31" s="195"/>
      <c r="D31" s="195"/>
      <c r="E31" s="195"/>
      <c r="F31" s="197"/>
      <c r="G31" s="197"/>
      <c r="H31" s="197"/>
      <c r="I31" s="197"/>
      <c r="J31" s="197"/>
      <c r="K31" s="198"/>
      <c r="L31" s="198"/>
    </row>
    <row r="32" spans="1:12" x14ac:dyDescent="0.25">
      <c r="B32" s="4" t="s">
        <v>141</v>
      </c>
      <c r="C32" s="8">
        <f>100/IncState!C16</f>
        <v>1.5372790161414296E-2</v>
      </c>
      <c r="D32" s="8">
        <f>120/IncState!D16</f>
        <v>1.7089148390771861E-2</v>
      </c>
      <c r="E32" s="8">
        <f>201/IncState!E16</f>
        <v>2.3911491791577446E-2</v>
      </c>
      <c r="F32" s="220">
        <f>E32+(E32-D32)</f>
        <v>3.0733835192383031E-2</v>
      </c>
      <c r="G32" s="220">
        <f t="shared" ref="G32:J32" si="16">F32+(F32-E32)</f>
        <v>3.7556178593188619E-2</v>
      </c>
      <c r="H32" s="220">
        <f t="shared" si="16"/>
        <v>4.437852199399421E-2</v>
      </c>
      <c r="I32" s="220">
        <f t="shared" si="16"/>
        <v>5.1200865394799802E-2</v>
      </c>
      <c r="J32" s="220">
        <f t="shared" si="16"/>
        <v>5.8023208795605394E-2</v>
      </c>
      <c r="K32" s="170"/>
      <c r="L32" s="170"/>
    </row>
    <row r="33" spans="1:12" x14ac:dyDescent="0.25">
      <c r="B33" s="4" t="s">
        <v>154</v>
      </c>
      <c r="D33" s="8">
        <f>IncState!D21/BalSheet!C22</f>
        <v>6.2994722955145119E-2</v>
      </c>
      <c r="E33" s="8">
        <f>IncState!E21/BalSheet!D22</f>
        <v>8.5881587508132726E-2</v>
      </c>
      <c r="F33" s="101">
        <f>E33</f>
        <v>8.5881587508132726E-2</v>
      </c>
      <c r="G33" s="101">
        <f t="shared" ref="G33:J33" si="17">F33</f>
        <v>8.5881587508132726E-2</v>
      </c>
      <c r="H33" s="101">
        <f t="shared" si="17"/>
        <v>8.5881587508132726E-2</v>
      </c>
      <c r="I33" s="101">
        <f t="shared" si="17"/>
        <v>8.5881587508132726E-2</v>
      </c>
      <c r="J33" s="101">
        <f t="shared" si="17"/>
        <v>8.5881587508132726E-2</v>
      </c>
      <c r="K33" s="170"/>
      <c r="L33" s="170"/>
    </row>
    <row r="34" spans="1:12" x14ac:dyDescent="0.25">
      <c r="B34" s="4" t="s">
        <v>142</v>
      </c>
      <c r="F34" s="106">
        <v>0</v>
      </c>
      <c r="G34" s="106">
        <v>0</v>
      </c>
      <c r="H34" s="106">
        <v>0</v>
      </c>
      <c r="I34" s="106">
        <v>0</v>
      </c>
      <c r="J34" s="106">
        <v>0</v>
      </c>
      <c r="K34" s="199"/>
      <c r="L34" s="199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126</v>
      </c>
      <c r="B36" s="107" t="s">
        <v>61</v>
      </c>
      <c r="C36" s="260">
        <f>C30</f>
        <v>2022</v>
      </c>
      <c r="D36" s="260">
        <f t="shared" ref="D36:J36" si="18">D30</f>
        <v>2023</v>
      </c>
      <c r="E36" s="260">
        <f t="shared" si="18"/>
        <v>2024</v>
      </c>
      <c r="F36" s="260">
        <f t="shared" si="18"/>
        <v>2025</v>
      </c>
      <c r="G36" s="260">
        <f t="shared" si="18"/>
        <v>2026</v>
      </c>
      <c r="H36" s="260">
        <f t="shared" si="18"/>
        <v>2027</v>
      </c>
      <c r="I36" s="260">
        <f t="shared" si="18"/>
        <v>2028</v>
      </c>
      <c r="J36" s="260">
        <f t="shared" si="18"/>
        <v>2029</v>
      </c>
      <c r="K36" s="198"/>
      <c r="L36" s="198"/>
    </row>
    <row r="37" spans="1:12" x14ac:dyDescent="0.25">
      <c r="A37" s="86"/>
      <c r="B37" s="158"/>
      <c r="C37" s="195"/>
      <c r="D37" s="195"/>
      <c r="E37" s="195"/>
      <c r="F37" s="258"/>
      <c r="G37" s="258"/>
      <c r="H37" s="258"/>
      <c r="I37" s="258"/>
      <c r="J37" s="258"/>
      <c r="K37" s="198"/>
      <c r="L37" s="198"/>
    </row>
    <row r="38" spans="1:12" s="263" customFormat="1" x14ac:dyDescent="0.25">
      <c r="B38" s="263" t="str">
        <f>B17</f>
        <v>Dividend Payout Rate</v>
      </c>
      <c r="C38" s="263">
        <f>C17</f>
        <v>3.1628664495114007</v>
      </c>
      <c r="D38" s="263">
        <f t="shared" ref="D38:E38" si="19">D17</f>
        <v>3.1730769230769229</v>
      </c>
      <c r="E38" s="263">
        <f t="shared" si="19"/>
        <v>3.2257053291536049</v>
      </c>
      <c r="F38" s="264">
        <f>F17</f>
        <v>3.3257053291536049</v>
      </c>
      <c r="G38" s="264">
        <f t="shared" ref="G38:J38" si="20">G17</f>
        <v>3.425705329153605</v>
      </c>
      <c r="H38" s="264">
        <f t="shared" si="20"/>
        <v>3.5257053291536051</v>
      </c>
      <c r="I38" s="264">
        <f t="shared" si="20"/>
        <v>3.6257053291536052</v>
      </c>
      <c r="J38" s="264">
        <f t="shared" si="20"/>
        <v>3.7257053291536053</v>
      </c>
      <c r="K38" s="265"/>
      <c r="L38" s="265"/>
    </row>
    <row r="39" spans="1:12" x14ac:dyDescent="0.25">
      <c r="B39" s="4" t="s">
        <v>49</v>
      </c>
      <c r="C39" s="4">
        <f>C18</f>
        <v>307</v>
      </c>
      <c r="D39" s="4">
        <f t="shared" ref="D39:E39" si="21">D18</f>
        <v>312</v>
      </c>
      <c r="E39" s="4">
        <f t="shared" si="21"/>
        <v>319</v>
      </c>
      <c r="F39" s="102">
        <f>F18</f>
        <v>319</v>
      </c>
      <c r="G39" s="102">
        <f t="shared" ref="G39:J40" si="22">G18</f>
        <v>319</v>
      </c>
      <c r="H39" s="102">
        <f t="shared" si="22"/>
        <v>319</v>
      </c>
      <c r="I39" s="102">
        <f t="shared" si="22"/>
        <v>319</v>
      </c>
      <c r="J39" s="102">
        <f t="shared" si="22"/>
        <v>319</v>
      </c>
      <c r="K39" s="196"/>
      <c r="L39" s="196"/>
    </row>
    <row r="40" spans="1:12" x14ac:dyDescent="0.25">
      <c r="B40" s="4" t="s">
        <v>50</v>
      </c>
      <c r="C40" s="4">
        <f t="shared" ref="C40:E40" si="23">C19</f>
        <v>455</v>
      </c>
      <c r="D40" s="4">
        <f t="shared" si="23"/>
        <v>456</v>
      </c>
      <c r="E40" s="4">
        <f t="shared" si="23"/>
        <v>454</v>
      </c>
      <c r="F40" s="102">
        <f>F19</f>
        <v>454</v>
      </c>
      <c r="G40" s="102">
        <f t="shared" si="22"/>
        <v>454</v>
      </c>
      <c r="H40" s="102">
        <f t="shared" si="22"/>
        <v>454</v>
      </c>
      <c r="I40" s="102">
        <f t="shared" si="22"/>
        <v>454</v>
      </c>
      <c r="J40" s="102">
        <f t="shared" si="22"/>
        <v>454</v>
      </c>
      <c r="K40" s="196"/>
      <c r="L40" s="196"/>
    </row>
    <row r="41" spans="1:12" x14ac:dyDescent="0.25">
      <c r="F41" s="30"/>
      <c r="G41" s="30"/>
      <c r="H41" s="30"/>
      <c r="I41" s="30"/>
      <c r="J41" s="30"/>
      <c r="K41" s="30"/>
      <c r="L41" s="30"/>
    </row>
    <row r="42" spans="1:12" x14ac:dyDescent="0.25">
      <c r="A42" s="64" t="s">
        <v>126</v>
      </c>
      <c r="B42" s="107" t="s">
        <v>129</v>
      </c>
      <c r="C42" s="260">
        <f>C36</f>
        <v>2022</v>
      </c>
      <c r="D42" s="260">
        <f t="shared" ref="D42:J42" si="24">D36</f>
        <v>2023</v>
      </c>
      <c r="E42" s="260">
        <f t="shared" si="24"/>
        <v>2024</v>
      </c>
      <c r="F42" s="260">
        <f t="shared" si="24"/>
        <v>2025</v>
      </c>
      <c r="G42" s="260">
        <f t="shared" si="24"/>
        <v>2026</v>
      </c>
      <c r="H42" s="260">
        <f t="shared" si="24"/>
        <v>2027</v>
      </c>
      <c r="I42" s="260">
        <f t="shared" si="24"/>
        <v>2028</v>
      </c>
      <c r="J42" s="260">
        <f t="shared" si="24"/>
        <v>2029</v>
      </c>
      <c r="K42" s="198"/>
      <c r="L42" s="198"/>
    </row>
    <row r="43" spans="1:12" x14ac:dyDescent="0.25">
      <c r="A43" s="86"/>
      <c r="B43" s="158"/>
      <c r="C43" s="195"/>
      <c r="D43" s="195"/>
      <c r="E43" s="195"/>
      <c r="F43" s="258"/>
      <c r="G43" s="258"/>
      <c r="H43" s="258"/>
      <c r="I43" s="258"/>
      <c r="J43" s="258"/>
      <c r="K43" s="198"/>
      <c r="L43" s="198"/>
    </row>
    <row r="44" spans="1:12" x14ac:dyDescent="0.25">
      <c r="B44" s="4" t="s">
        <v>139</v>
      </c>
      <c r="C44" s="8">
        <f>BalSheet!C15/IncState!C16</f>
        <v>0.02</v>
      </c>
      <c r="D44" s="8">
        <f>BalSheet!D15/IncState!D16</f>
        <v>0.02</v>
      </c>
      <c r="E44" s="8">
        <f>BalSheet!E15/IncState!E16</f>
        <v>0.02</v>
      </c>
      <c r="F44" s="101">
        <f>E44</f>
        <v>0.02</v>
      </c>
      <c r="G44" s="101">
        <f t="shared" ref="G44:J44" si="25">F44</f>
        <v>0.02</v>
      </c>
      <c r="H44" s="101">
        <f t="shared" si="25"/>
        <v>0.02</v>
      </c>
      <c r="I44" s="101">
        <f t="shared" si="25"/>
        <v>0.02</v>
      </c>
      <c r="J44" s="101">
        <f t="shared" si="25"/>
        <v>0.02</v>
      </c>
      <c r="K44" s="170"/>
      <c r="L44" s="170"/>
    </row>
    <row r="45" spans="1:12" x14ac:dyDescent="0.25">
      <c r="B45" s="4" t="s">
        <v>152</v>
      </c>
      <c r="C45" s="8">
        <f>BalSheet!C17/IncState!C16</f>
        <v>9.4388931591083788E-2</v>
      </c>
      <c r="D45" s="8">
        <f>BalSheet!D17/IncState!D16</f>
        <v>0.10666476787240102</v>
      </c>
      <c r="E45" s="8">
        <f>BalSheet!E17/IncState!E16</f>
        <v>8.3035926719010236E-2</v>
      </c>
      <c r="F45" s="101">
        <f>E45</f>
        <v>8.3035926719010236E-2</v>
      </c>
      <c r="G45" s="101">
        <f t="shared" ref="G45:J45" si="26">F45</f>
        <v>8.3035926719010236E-2</v>
      </c>
      <c r="H45" s="101">
        <f t="shared" si="26"/>
        <v>8.3035926719010236E-2</v>
      </c>
      <c r="I45" s="101">
        <f t="shared" si="26"/>
        <v>8.3035926719010236E-2</v>
      </c>
      <c r="J45" s="101">
        <f t="shared" si="26"/>
        <v>8.3035926719010236E-2</v>
      </c>
      <c r="K45" s="170"/>
      <c r="L45" s="170"/>
    </row>
    <row r="46" spans="1:12" x14ac:dyDescent="0.25">
      <c r="B46" s="4" t="s">
        <v>65</v>
      </c>
      <c r="C46" s="8">
        <f>BalSheet!C18/IncState!C17</f>
        <v>6.064751481988144E-2</v>
      </c>
      <c r="D46" s="8">
        <f>BalSheet!D18/IncState!D17</f>
        <v>0.125</v>
      </c>
      <c r="E46" s="8">
        <f>BalSheet!E18/IncState!E17</f>
        <v>6.5137614678899086E-2</v>
      </c>
      <c r="F46" s="101">
        <f t="shared" ref="F46:J46" si="27">E46</f>
        <v>6.5137614678899086E-2</v>
      </c>
      <c r="G46" s="101">
        <f t="shared" si="27"/>
        <v>6.5137614678899086E-2</v>
      </c>
      <c r="H46" s="101">
        <f t="shared" si="27"/>
        <v>6.5137614678899086E-2</v>
      </c>
      <c r="I46" s="101">
        <f t="shared" si="27"/>
        <v>6.5137614678899086E-2</v>
      </c>
      <c r="J46" s="101">
        <f t="shared" si="27"/>
        <v>6.5137614678899086E-2</v>
      </c>
      <c r="K46" s="170"/>
      <c r="L46" s="170"/>
    </row>
    <row r="47" spans="1:12" x14ac:dyDescent="0.25">
      <c r="B47" s="4" t="s">
        <v>66</v>
      </c>
      <c r="C47" s="8">
        <f>BalSheet!C19/IncState!C16</f>
        <v>1.8908531898539586E-2</v>
      </c>
      <c r="D47" s="8">
        <f>BalSheet!D19/IncState!D16</f>
        <v>1.694673882084876E-2</v>
      </c>
      <c r="E47" s="8">
        <f>BalSheet!E19/IncState!E16</f>
        <v>1.284796573875803E-2</v>
      </c>
      <c r="F47" s="101">
        <f t="shared" ref="F47:J47" si="28">E47</f>
        <v>1.284796573875803E-2</v>
      </c>
      <c r="G47" s="101">
        <f t="shared" si="28"/>
        <v>1.284796573875803E-2</v>
      </c>
      <c r="H47" s="101">
        <f t="shared" si="28"/>
        <v>1.284796573875803E-2</v>
      </c>
      <c r="I47" s="101">
        <f t="shared" si="28"/>
        <v>1.284796573875803E-2</v>
      </c>
      <c r="J47" s="101">
        <f t="shared" si="28"/>
        <v>1.284796573875803E-2</v>
      </c>
      <c r="K47" s="170"/>
      <c r="L47" s="170"/>
    </row>
    <row r="48" spans="1:12" x14ac:dyDescent="0.25">
      <c r="B48" s="4" t="s">
        <v>67</v>
      </c>
      <c r="C48" s="8">
        <f>BalSheet!C24/IncState!C16</f>
        <v>0.1517294388931591</v>
      </c>
      <c r="D48" s="8">
        <f>BalSheet!D24/IncState!D16</f>
        <v>0.17972087724295072</v>
      </c>
      <c r="E48" s="8">
        <f>BalSheet!E24/IncState!E16</f>
        <v>0.16107542231739233</v>
      </c>
      <c r="F48" s="101">
        <f>E48</f>
        <v>0.16107542231739233</v>
      </c>
      <c r="G48" s="101">
        <f t="shared" ref="G48:J48" si="29">F48</f>
        <v>0.16107542231739233</v>
      </c>
      <c r="H48" s="101">
        <f t="shared" si="29"/>
        <v>0.16107542231739233</v>
      </c>
      <c r="I48" s="101">
        <f t="shared" si="29"/>
        <v>0.16107542231739233</v>
      </c>
      <c r="J48" s="101">
        <f t="shared" si="29"/>
        <v>0.16107542231739233</v>
      </c>
      <c r="K48" s="170"/>
      <c r="L48" s="170"/>
    </row>
    <row r="49" spans="1:12" x14ac:dyDescent="0.25">
      <c r="F49" s="30"/>
      <c r="G49" s="30"/>
      <c r="H49" s="30"/>
      <c r="I49" s="30"/>
      <c r="J49" s="30"/>
      <c r="K49" s="30"/>
      <c r="L49" s="30"/>
    </row>
    <row r="50" spans="1:12" x14ac:dyDescent="0.25">
      <c r="A50" s="64" t="s">
        <v>126</v>
      </c>
      <c r="B50" s="107" t="s">
        <v>130</v>
      </c>
      <c r="C50" s="260">
        <f>C42</f>
        <v>2022</v>
      </c>
      <c r="D50" s="260">
        <f>D42</f>
        <v>2023</v>
      </c>
      <c r="E50" s="260">
        <f>E42</f>
        <v>2024</v>
      </c>
      <c r="F50" s="260">
        <f>F42</f>
        <v>2025</v>
      </c>
      <c r="G50" s="260">
        <f>G42</f>
        <v>2026</v>
      </c>
      <c r="H50" s="260">
        <f>H42</f>
        <v>2027</v>
      </c>
      <c r="I50" s="260">
        <f>I42</f>
        <v>2028</v>
      </c>
      <c r="J50" s="260">
        <f>J42</f>
        <v>2029</v>
      </c>
      <c r="K50" s="198"/>
      <c r="L50" s="198"/>
    </row>
    <row r="51" spans="1:12" x14ac:dyDescent="0.25">
      <c r="A51" s="86"/>
      <c r="B51" s="158"/>
      <c r="C51" s="195"/>
      <c r="D51" s="195"/>
      <c r="E51" s="195"/>
      <c r="F51" s="258"/>
      <c r="G51" s="258"/>
      <c r="H51" s="258"/>
      <c r="I51" s="258"/>
      <c r="J51" s="258"/>
      <c r="K51" s="198"/>
      <c r="L51" s="198"/>
    </row>
    <row r="52" spans="1:12" x14ac:dyDescent="0.25">
      <c r="B52" s="4" t="s">
        <v>153</v>
      </c>
      <c r="C52" s="8">
        <f>BalSheet!C30/IncState!C17</f>
        <v>0.80209758321933422</v>
      </c>
      <c r="D52" s="8">
        <f>BalSheet!D30/IncState!D17</f>
        <v>1.3516566265060241</v>
      </c>
      <c r="E52" s="8">
        <f>BalSheet!E30/IncState!E17</f>
        <v>0.87431192660550461</v>
      </c>
      <c r="F52" s="101">
        <f t="shared" ref="F52:J52" si="30">E52</f>
        <v>0.87431192660550461</v>
      </c>
      <c r="G52" s="101">
        <f t="shared" si="30"/>
        <v>0.87431192660550461</v>
      </c>
      <c r="H52" s="101">
        <f t="shared" si="30"/>
        <v>0.87431192660550461</v>
      </c>
      <c r="I52" s="101">
        <f t="shared" si="30"/>
        <v>0.87431192660550461</v>
      </c>
      <c r="J52" s="101">
        <f t="shared" si="30"/>
        <v>0.87431192660550461</v>
      </c>
      <c r="K52" s="170"/>
      <c r="L52" s="170"/>
    </row>
    <row r="53" spans="1:12" x14ac:dyDescent="0.25">
      <c r="B53" s="4" t="s">
        <v>68</v>
      </c>
      <c r="C53" s="8">
        <f>BalSheet!C31/IncState!C16</f>
        <v>3.5357417371252885E-2</v>
      </c>
      <c r="D53" s="8">
        <f>BalSheet!D31/IncState!D16</f>
        <v>3.5317573340928513E-2</v>
      </c>
      <c r="E53" s="8">
        <f>BalSheet!E31/IncState!E16</f>
        <v>2.8075184392100879E-2</v>
      </c>
      <c r="F53" s="101">
        <f t="shared" ref="F53:J53" si="31">E53</f>
        <v>2.8075184392100879E-2</v>
      </c>
      <c r="G53" s="101">
        <f t="shared" si="31"/>
        <v>2.8075184392100879E-2</v>
      </c>
      <c r="H53" s="101">
        <f t="shared" si="31"/>
        <v>2.8075184392100879E-2</v>
      </c>
      <c r="I53" s="101">
        <f t="shared" si="31"/>
        <v>2.8075184392100879E-2</v>
      </c>
      <c r="J53" s="101">
        <f t="shared" si="31"/>
        <v>2.8075184392100879E-2</v>
      </c>
      <c r="K53" s="170"/>
      <c r="L53" s="170"/>
    </row>
    <row r="54" spans="1:12" x14ac:dyDescent="0.25">
      <c r="B54" s="4" t="s">
        <v>69</v>
      </c>
      <c r="C54" s="8">
        <f>BalSheet!C35/IncState!C16</f>
        <v>0.54158339738662564</v>
      </c>
      <c r="D54" s="8">
        <f>BalSheet!D35/IncState!D16</f>
        <v>0.52164625462831105</v>
      </c>
      <c r="E54" s="8">
        <f>BalSheet!E35/IncState!E16</f>
        <v>0.47228170354508686</v>
      </c>
      <c r="F54" s="101">
        <f t="shared" ref="F54:J54" si="32">E54</f>
        <v>0.47228170354508686</v>
      </c>
      <c r="G54" s="101">
        <f t="shared" si="32"/>
        <v>0.47228170354508686</v>
      </c>
      <c r="H54" s="101">
        <f t="shared" si="32"/>
        <v>0.47228170354508686</v>
      </c>
      <c r="I54" s="101">
        <f t="shared" si="32"/>
        <v>0.47228170354508686</v>
      </c>
      <c r="J54" s="101">
        <f t="shared" si="32"/>
        <v>0.47228170354508686</v>
      </c>
      <c r="K54" s="170"/>
      <c r="L54" s="170"/>
    </row>
    <row r="55" spans="1:12" x14ac:dyDescent="0.25">
      <c r="F55" s="121"/>
      <c r="G55" s="30"/>
      <c r="H55" s="30"/>
      <c r="I55" s="30"/>
      <c r="J55" s="30"/>
    </row>
    <row r="56" spans="1:12" x14ac:dyDescent="0.25">
      <c r="F56" s="122"/>
      <c r="G56" s="95"/>
      <c r="H56" s="95"/>
      <c r="I56" s="95"/>
      <c r="J56" s="95"/>
    </row>
    <row r="57" spans="1:12" x14ac:dyDescent="0.25">
      <c r="F57" s="95"/>
      <c r="G57" s="95"/>
      <c r="H57" s="95"/>
      <c r="I57" s="95"/>
      <c r="J57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F22:L29 K30:L30 K36:L40 F38:J40 K50:L54 F52:J54 F56:J57 K42:L48 F44:J48 F31:L34 F11:L20 F6:K8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40"/>
  <sheetViews>
    <sheetView showGridLines="0" zoomScaleNormal="100" workbookViewId="0">
      <selection activeCell="E12" sqref="E12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2">
        <v>2022</v>
      </c>
      <c r="D2" s="253">
        <f>C2+1</f>
        <v>2023</v>
      </c>
      <c r="E2" s="253">
        <f t="shared" ref="E2:J2" si="0">D2+1</f>
        <v>2024</v>
      </c>
      <c r="F2" s="253">
        <f t="shared" si="0"/>
        <v>2025</v>
      </c>
      <c r="G2" s="253">
        <f t="shared" si="0"/>
        <v>2026</v>
      </c>
      <c r="H2" s="253">
        <f t="shared" si="0"/>
        <v>2027</v>
      </c>
      <c r="I2" s="253">
        <f t="shared" si="0"/>
        <v>2028</v>
      </c>
      <c r="J2" s="253">
        <f t="shared" si="0"/>
        <v>2029</v>
      </c>
      <c r="K2" s="193"/>
      <c r="L2" s="193"/>
      <c r="M2" s="193"/>
    </row>
    <row r="3" spans="1:13" x14ac:dyDescent="0.25">
      <c r="B3" s="4" t="s">
        <v>12</v>
      </c>
      <c r="C3" s="29"/>
      <c r="D3" s="29"/>
      <c r="E3" s="40"/>
      <c r="F3" s="202">
        <f>Assumptions!F32</f>
        <v>3.0733835192383031E-2</v>
      </c>
      <c r="G3" s="202">
        <f>Assumptions!G32</f>
        <v>3.7556178593188619E-2</v>
      </c>
      <c r="H3" s="202">
        <f>Assumptions!H32</f>
        <v>4.437852199399421E-2</v>
      </c>
      <c r="I3" s="202">
        <f>Assumptions!I32</f>
        <v>5.1200865394799802E-2</v>
      </c>
      <c r="J3" s="202">
        <f>Assumptions!J32</f>
        <v>5.8023208795605394E-2</v>
      </c>
      <c r="K3" s="200"/>
      <c r="L3" s="200"/>
    </row>
    <row r="4" spans="1:13" x14ac:dyDescent="0.25">
      <c r="B4" s="4" t="s">
        <v>133</v>
      </c>
      <c r="C4" s="29"/>
      <c r="D4" s="29"/>
      <c r="E4" s="40"/>
      <c r="F4" s="202">
        <f>Assumptions!F33</f>
        <v>8.5881587508132726E-2</v>
      </c>
      <c r="G4" s="202">
        <f>F4</f>
        <v>8.5881587508132726E-2</v>
      </c>
      <c r="H4" s="202">
        <f t="shared" ref="H4:J4" si="1">G4</f>
        <v>8.5881587508132726E-2</v>
      </c>
      <c r="I4" s="202">
        <f t="shared" si="1"/>
        <v>8.5881587508132726E-2</v>
      </c>
      <c r="J4" s="202">
        <f t="shared" si="1"/>
        <v>8.5881587508132726E-2</v>
      </c>
      <c r="K4" s="200"/>
      <c r="L4" s="200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4088</v>
      </c>
      <c r="G6" s="4">
        <f t="shared" ref="G6:J6" si="2">F9</f>
        <v>4025.5486396024025</v>
      </c>
      <c r="H6" s="4">
        <f t="shared" si="2"/>
        <v>4050.1359281642081</v>
      </c>
      <c r="I6" s="4">
        <f t="shared" si="2"/>
        <v>4160.3281419916257</v>
      </c>
      <c r="J6" s="4">
        <f t="shared" si="2"/>
        <v>4354.4572486474681</v>
      </c>
    </row>
    <row r="7" spans="1:13" x14ac:dyDescent="0.25">
      <c r="B7" s="4" t="s">
        <v>14</v>
      </c>
      <c r="C7" s="12"/>
      <c r="D7" s="12"/>
      <c r="E7" s="127"/>
      <c r="F7" s="4">
        <f>F3*IncState!F16</f>
        <v>288.63256933564958</v>
      </c>
      <c r="G7" s="4">
        <f>G3*IncState!G16</f>
        <v>370.30779632206367</v>
      </c>
      <c r="H7" s="4">
        <f>H3*IncState!H16</f>
        <v>458.02431696188393</v>
      </c>
      <c r="I7" s="4">
        <f>I3*IncState!I16</f>
        <v>551.42469204484314</v>
      </c>
      <c r="J7" s="4">
        <f>J3*IncState!J16</f>
        <v>650.06750728139014</v>
      </c>
    </row>
    <row r="8" spans="1:13" x14ac:dyDescent="0.25">
      <c r="B8" s="4" t="s">
        <v>15</v>
      </c>
      <c r="E8" s="27"/>
      <c r="F8" s="4">
        <f>F6*F4</f>
        <v>351.08392973324658</v>
      </c>
      <c r="G8" s="4">
        <f t="shared" ref="G8:J8" si="3">G6*G4</f>
        <v>345.72050776025839</v>
      </c>
      <c r="H8" s="4">
        <f t="shared" si="3"/>
        <v>347.83210313446682</v>
      </c>
      <c r="I8" s="4">
        <f t="shared" si="3"/>
        <v>357.29558538900102</v>
      </c>
      <c r="J8" s="4">
        <f t="shared" si="3"/>
        <v>373.96770125014041</v>
      </c>
    </row>
    <row r="9" spans="1:13" x14ac:dyDescent="0.25">
      <c r="B9" s="4" t="s">
        <v>16</v>
      </c>
      <c r="E9" s="27">
        <f>BalSheet!E22</f>
        <v>4088</v>
      </c>
      <c r="F9" s="4">
        <f>F6+F7-F8</f>
        <v>4025.5486396024025</v>
      </c>
      <c r="G9" s="4">
        <f t="shared" ref="G9:J9" si="4">G6+G7-G8</f>
        <v>4050.1359281642081</v>
      </c>
      <c r="H9" s="4">
        <f t="shared" si="4"/>
        <v>4160.3281419916257</v>
      </c>
      <c r="I9" s="4">
        <f t="shared" si="4"/>
        <v>4354.4572486474681</v>
      </c>
      <c r="J9" s="4">
        <f t="shared" si="4"/>
        <v>4630.5570546787176</v>
      </c>
    </row>
    <row r="10" spans="1:13" x14ac:dyDescent="0.25">
      <c r="A10" s="20" t="s">
        <v>17</v>
      </c>
      <c r="B10" s="42"/>
      <c r="C10" s="235">
        <f t="shared" ref="C10:J10" si="5">C2</f>
        <v>2022</v>
      </c>
      <c r="D10" s="235">
        <f t="shared" si="5"/>
        <v>2023</v>
      </c>
      <c r="E10" s="235">
        <f t="shared" si="5"/>
        <v>2024</v>
      </c>
      <c r="F10" s="235">
        <f t="shared" si="5"/>
        <v>2025</v>
      </c>
      <c r="G10" s="235">
        <f t="shared" ref="G10:J10" si="6">G2</f>
        <v>2026</v>
      </c>
      <c r="H10" s="235">
        <f t="shared" si="6"/>
        <v>2027</v>
      </c>
      <c r="I10" s="235">
        <f t="shared" si="6"/>
        <v>2028</v>
      </c>
      <c r="J10" s="235">
        <f t="shared" si="6"/>
        <v>2029</v>
      </c>
      <c r="K10" s="195"/>
      <c r="L10" s="195"/>
    </row>
    <row r="11" spans="1:13" x14ac:dyDescent="0.25">
      <c r="B11" s="4" t="s">
        <v>18</v>
      </c>
      <c r="E11" s="27"/>
      <c r="F11" s="322">
        <f>Assumptions!F34</f>
        <v>0</v>
      </c>
      <c r="G11" s="322">
        <f>Assumptions!G34</f>
        <v>0</v>
      </c>
      <c r="H11" s="322">
        <f>Assumptions!H34</f>
        <v>0</v>
      </c>
      <c r="I11" s="322">
        <f>Assumptions!I34</f>
        <v>0</v>
      </c>
      <c r="J11" s="322">
        <f>Assumptions!J34</f>
        <v>0</v>
      </c>
      <c r="K11" s="201"/>
      <c r="L11" s="201"/>
    </row>
    <row r="12" spans="1:13" x14ac:dyDescent="0.25">
      <c r="E12" s="27"/>
      <c r="F12" s="66"/>
      <c r="G12" s="66"/>
      <c r="H12" s="66"/>
      <c r="I12" s="66"/>
      <c r="J12" s="66"/>
    </row>
    <row r="13" spans="1:13" x14ac:dyDescent="0.25">
      <c r="B13" s="4" t="s">
        <v>19</v>
      </c>
      <c r="E13" s="27"/>
      <c r="F13" s="4">
        <f>E17</f>
        <v>4843</v>
      </c>
      <c r="G13" s="4">
        <f t="shared" ref="G13:J13" si="7">F17</f>
        <v>5965.6732509722551</v>
      </c>
      <c r="H13" s="4">
        <f t="shared" si="7"/>
        <v>7181.2561921579299</v>
      </c>
      <c r="I13" s="4">
        <f t="shared" si="7"/>
        <v>8489.3701520849081</v>
      </c>
      <c r="J13" s="4">
        <f t="shared" si="7"/>
        <v>9888.6991025045627</v>
      </c>
    </row>
    <row r="14" spans="1:13" x14ac:dyDescent="0.25">
      <c r="B14" s="4" t="s">
        <v>20</v>
      </c>
      <c r="E14" s="27"/>
      <c r="F14" s="4">
        <f>IncState!F34</f>
        <v>2183.5732509722552</v>
      </c>
      <c r="G14" s="4">
        <f>IncState!G34</f>
        <v>2308.382941185675</v>
      </c>
      <c r="H14" s="4">
        <f>IncState!H34</f>
        <v>2432.8139599269789</v>
      </c>
      <c r="I14" s="4">
        <f>IncState!I34</f>
        <v>2555.928950419654</v>
      </c>
      <c r="J14" s="4">
        <f>IncState!J34</f>
        <v>2676.8460760312701</v>
      </c>
    </row>
    <row r="15" spans="1:13" x14ac:dyDescent="0.25">
      <c r="B15" s="4" t="s">
        <v>21</v>
      </c>
      <c r="E15" s="27"/>
      <c r="F15" s="4">
        <f>-IncState!F36</f>
        <v>-1060.9000000000001</v>
      </c>
      <c r="G15" s="4">
        <f>-IncState!G36</f>
        <v>-1092.8</v>
      </c>
      <c r="H15" s="4">
        <f>-IncState!H36</f>
        <v>-1124.7</v>
      </c>
      <c r="I15" s="4">
        <f>-IncState!I36</f>
        <v>-1156.6000000000001</v>
      </c>
      <c r="J15" s="4">
        <f>-IncState!J36</f>
        <v>-1188.5</v>
      </c>
    </row>
    <row r="16" spans="1:13" x14ac:dyDescent="0.25">
      <c r="B16" s="4" t="s">
        <v>22</v>
      </c>
      <c r="E16" s="27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7">
        <f>BalSheet!E38</f>
        <v>4843</v>
      </c>
      <c r="F17" s="4">
        <f>SUM(F13:F16)</f>
        <v>5965.6732509722551</v>
      </c>
      <c r="G17" s="4">
        <f t="shared" ref="G17:J17" si="9">SUM(G13:G16)</f>
        <v>7181.2561921579299</v>
      </c>
      <c r="H17" s="4">
        <f t="shared" si="9"/>
        <v>8489.3701520849081</v>
      </c>
      <c r="I17" s="4">
        <f t="shared" si="9"/>
        <v>9888.6991025045627</v>
      </c>
      <c r="J17" s="4">
        <f t="shared" si="9"/>
        <v>11377.045178535833</v>
      </c>
    </row>
    <row r="18" spans="1:12" x14ac:dyDescent="0.25">
      <c r="A18" s="20" t="s">
        <v>24</v>
      </c>
      <c r="B18" s="42"/>
      <c r="C18" s="235">
        <f>C10</f>
        <v>2022</v>
      </c>
      <c r="D18" s="235">
        <f t="shared" ref="D18:J18" si="10">D10</f>
        <v>2023</v>
      </c>
      <c r="E18" s="235">
        <f t="shared" si="10"/>
        <v>2024</v>
      </c>
      <c r="F18" s="235">
        <f t="shared" si="10"/>
        <v>2025</v>
      </c>
      <c r="G18" s="235">
        <f t="shared" ref="G18:J18" si="11">G10</f>
        <v>2026</v>
      </c>
      <c r="H18" s="235">
        <f t="shared" si="11"/>
        <v>2027</v>
      </c>
      <c r="I18" s="235">
        <f t="shared" si="11"/>
        <v>2028</v>
      </c>
      <c r="J18" s="235">
        <f t="shared" si="11"/>
        <v>2029</v>
      </c>
      <c r="K18" s="195"/>
      <c r="L18" s="195"/>
    </row>
    <row r="19" spans="1:12" x14ac:dyDescent="0.25">
      <c r="A19" s="87"/>
      <c r="B19" s="172" t="s">
        <v>157</v>
      </c>
      <c r="C19" s="195"/>
      <c r="D19" s="195"/>
      <c r="E19" s="216">
        <f>BalSheet!E15</f>
        <v>168.12</v>
      </c>
      <c r="F19" s="131">
        <f>BalSheet!F15</f>
        <v>187.82723830521695</v>
      </c>
      <c r="G19" s="131">
        <f>BalSheet!G15</f>
        <v>197.20206378463894</v>
      </c>
      <c r="H19" s="131">
        <f>BalSheet!H15</f>
        <v>206.41711187401364</v>
      </c>
      <c r="I19" s="131">
        <f>BalSheet!I15</f>
        <v>215.39662964401708</v>
      </c>
      <c r="J19" s="131">
        <f>BalSheet!J15</f>
        <v>224.07154680856792</v>
      </c>
      <c r="K19" s="195"/>
      <c r="L19" s="195"/>
    </row>
    <row r="20" spans="1:12" x14ac:dyDescent="0.25">
      <c r="B20" s="4" t="s">
        <v>70</v>
      </c>
      <c r="D20" s="98"/>
      <c r="E20" s="99">
        <f>BalSheet!E17</f>
        <v>698</v>
      </c>
      <c r="F20" s="4">
        <f>BalSheet!F17</f>
        <v>779.82043978730337</v>
      </c>
      <c r="G20" s="4">
        <f>BalSheet!G17</f>
        <v>818.74280586294299</v>
      </c>
      <c r="H20" s="4">
        <f>BalSheet!H17</f>
        <v>857.00180875601677</v>
      </c>
      <c r="I20" s="4">
        <f>BalSheet!I17</f>
        <v>894.28293773211954</v>
      </c>
      <c r="J20" s="4">
        <f>BalSheet!J17</f>
        <v>930.29942703057588</v>
      </c>
      <c r="K20" s="98"/>
      <c r="L20" s="98"/>
    </row>
    <row r="21" spans="1:12" x14ac:dyDescent="0.25">
      <c r="B21" s="4" t="s">
        <v>71</v>
      </c>
      <c r="C21" s="98"/>
      <c r="D21" s="98"/>
      <c r="E21" s="99">
        <f>BalSheet!E18</f>
        <v>142</v>
      </c>
      <c r="F21" s="4">
        <f>BalSheet!F18</f>
        <v>611.73091374634885</v>
      </c>
      <c r="G21" s="4">
        <f>BalSheet!G18</f>
        <v>642.2636022343745</v>
      </c>
      <c r="H21" s="4">
        <f>BalSheet!H18</f>
        <v>672.27591481903528</v>
      </c>
      <c r="I21" s="4">
        <f>BalSheet!I18</f>
        <v>701.52113324427592</v>
      </c>
      <c r="J21" s="4">
        <f>BalSheet!J18</f>
        <v>729.77430382606985</v>
      </c>
      <c r="K21" s="98"/>
      <c r="L21" s="98"/>
    </row>
    <row r="22" spans="1:12" x14ac:dyDescent="0.25">
      <c r="B22" s="4" t="s">
        <v>72</v>
      </c>
      <c r="C22" s="98"/>
      <c r="D22" s="98"/>
      <c r="E22" s="99">
        <f>BalSheet!E19</f>
        <v>108</v>
      </c>
      <c r="F22" s="4">
        <f>BalSheet!F19</f>
        <v>120.65989612754836</v>
      </c>
      <c r="G22" s="4">
        <f>BalSheet!G19</f>
        <v>126.68226795587083</v>
      </c>
      <c r="H22" s="4">
        <f>BalSheet!H19</f>
        <v>132.60199906253553</v>
      </c>
      <c r="I22" s="4">
        <f>BalSheet!I19</f>
        <v>138.37042589551419</v>
      </c>
      <c r="J22" s="4">
        <f>BalSheet!J19</f>
        <v>143.94317782134982</v>
      </c>
      <c r="K22" s="98"/>
      <c r="L22" s="98"/>
    </row>
    <row r="23" spans="1:12" x14ac:dyDescent="0.25">
      <c r="B23" s="4" t="s">
        <v>161</v>
      </c>
      <c r="C23" s="98"/>
      <c r="D23" s="98"/>
      <c r="E23" s="99">
        <f>BalSheet!E30</f>
        <v>1906</v>
      </c>
      <c r="F23" s="4">
        <f>BalSheet!F30</f>
        <v>2121.2127426695597</v>
      </c>
      <c r="G23" s="4">
        <f>BalSheet!G30</f>
        <v>2218.465820996797</v>
      </c>
      <c r="H23" s="4">
        <f>BalSheet!H30</f>
        <v>2313.1087827811921</v>
      </c>
      <c r="I23" s="4">
        <f>BalSheet!I30</f>
        <v>2404.317007076711</v>
      </c>
      <c r="J23" s="4">
        <f>BalSheet!J30</f>
        <v>2491.3534206594964</v>
      </c>
      <c r="K23" s="98"/>
      <c r="L23" s="98"/>
    </row>
    <row r="24" spans="1:12" x14ac:dyDescent="0.25">
      <c r="B24" s="4" t="s">
        <v>78</v>
      </c>
      <c r="C24" s="98"/>
      <c r="D24" s="98"/>
      <c r="E24" s="99">
        <f>BalSheet!E31</f>
        <v>236</v>
      </c>
      <c r="F24" s="4">
        <f>BalSheet!F31</f>
        <v>263.66421746390199</v>
      </c>
      <c r="G24" s="4">
        <f>BalSheet!G31</f>
        <v>276.82421516282881</v>
      </c>
      <c r="H24" s="4">
        <f>BalSheet!H31</f>
        <v>289.75992387739245</v>
      </c>
      <c r="I24" s="4">
        <f>BalSheet!I31</f>
        <v>302.36500473464213</v>
      </c>
      <c r="J24" s="4">
        <f>BalSheet!J31</f>
        <v>314.54249968369038</v>
      </c>
      <c r="K24" s="98"/>
      <c r="L24" s="98"/>
    </row>
    <row r="25" spans="1:12" x14ac:dyDescent="0.25">
      <c r="A25" s="11" t="s">
        <v>126</v>
      </c>
      <c r="B25" s="17" t="s">
        <v>24</v>
      </c>
      <c r="C25" s="18"/>
      <c r="D25" s="18"/>
      <c r="E25" s="18">
        <f>SUM(E19:E22)-SUM(E23:E24)</f>
        <v>-1025.8800000000001</v>
      </c>
      <c r="F25" s="18">
        <f>SUM(F19:F22)-SUM(F23:F24)</f>
        <v>-684.83847216704407</v>
      </c>
      <c r="G25" s="18">
        <f t="shared" ref="G25:J25" si="12">SUM(G19:G22)-SUM(G23:G24)</f>
        <v>-710.39929632179837</v>
      </c>
      <c r="H25" s="18">
        <f t="shared" si="12"/>
        <v>-734.5718721469832</v>
      </c>
      <c r="I25" s="18">
        <f t="shared" si="12"/>
        <v>-757.11088529542644</v>
      </c>
      <c r="J25" s="18">
        <f t="shared" si="12"/>
        <v>-777.80746485662348</v>
      </c>
      <c r="K25" s="11"/>
      <c r="L25" s="11"/>
    </row>
    <row r="26" spans="1:12" s="11" customFormat="1" x14ac:dyDescent="0.25">
      <c r="A26" s="24"/>
      <c r="B26" s="11" t="s">
        <v>149</v>
      </c>
      <c r="F26" s="11">
        <f>E25-F25</f>
        <v>-341.04152783295604</v>
      </c>
      <c r="G26" s="11">
        <f t="shared" ref="G26:J26" si="13">F25-G25</f>
        <v>25.5608241547543</v>
      </c>
      <c r="H26" s="11">
        <f t="shared" si="13"/>
        <v>24.172575825184822</v>
      </c>
      <c r="I26" s="11">
        <f t="shared" si="13"/>
        <v>22.539013148443246</v>
      </c>
      <c r="J26" s="11">
        <f t="shared" si="13"/>
        <v>20.696579561197041</v>
      </c>
    </row>
    <row r="27" spans="1:12" x14ac:dyDescent="0.25">
      <c r="B27" s="66"/>
      <c r="C27" s="66"/>
      <c r="D27" s="66"/>
      <c r="E27" s="66"/>
      <c r="F27" s="66"/>
      <c r="G27" s="66"/>
      <c r="H27" s="84"/>
      <c r="I27" s="66"/>
      <c r="J27" s="66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  <row r="40" spans="8:10" x14ac:dyDescent="0.25">
      <c r="H40" s="6"/>
      <c r="I40" s="4"/>
      <c r="J40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4"/>
      <c r="C2" s="260">
        <v>2022</v>
      </c>
      <c r="D2" s="260">
        <f>C2</f>
        <v>2022</v>
      </c>
      <c r="E2" s="260">
        <f t="shared" ref="E2:J2" si="0">D2</f>
        <v>2022</v>
      </c>
      <c r="F2" s="260">
        <f t="shared" si="0"/>
        <v>2022</v>
      </c>
      <c r="G2" s="260">
        <f t="shared" si="0"/>
        <v>2022</v>
      </c>
      <c r="H2" s="260">
        <f t="shared" si="0"/>
        <v>2022</v>
      </c>
      <c r="I2" s="260">
        <f t="shared" si="0"/>
        <v>2022</v>
      </c>
      <c r="J2" s="260">
        <f t="shared" si="0"/>
        <v>2022</v>
      </c>
      <c r="K2" s="203"/>
      <c r="L2" s="203"/>
    </row>
    <row r="3" spans="1:13" s="2" customFormat="1" x14ac:dyDescent="0.25">
      <c r="A3" s="87"/>
      <c r="B3" s="11"/>
      <c r="C3" s="195"/>
      <c r="D3" s="195"/>
      <c r="E3" s="195"/>
      <c r="F3" s="195"/>
      <c r="G3" s="195"/>
      <c r="H3" s="195"/>
      <c r="I3" s="195"/>
      <c r="J3" s="195"/>
      <c r="K3" s="203"/>
      <c r="L3" s="203"/>
    </row>
    <row r="4" spans="1:13" s="2" customFormat="1" x14ac:dyDescent="0.25">
      <c r="A4" s="11"/>
      <c r="B4" s="4" t="s">
        <v>25</v>
      </c>
      <c r="C4" s="30"/>
      <c r="D4" s="56"/>
      <c r="E4" s="60"/>
      <c r="F4" s="111">
        <f>Assumptions!F23</f>
        <v>6.9500000000000006E-2</v>
      </c>
      <c r="G4" s="111">
        <f>Assumptions!G23</f>
        <v>6.9500000000000006E-2</v>
      </c>
      <c r="H4" s="111">
        <f>Assumptions!H23</f>
        <v>6.9500000000000006E-2</v>
      </c>
      <c r="I4" s="111">
        <f>Assumptions!I23</f>
        <v>6.9500000000000006E-2</v>
      </c>
      <c r="J4" s="111">
        <f>Assumptions!J23</f>
        <v>6.9500000000000006E-2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1">
        <f>Assumptions!F24</f>
        <v>4.4999999999999998E-2</v>
      </c>
      <c r="G5" s="111">
        <f>Assumptions!G24</f>
        <v>4.4999999999999998E-2</v>
      </c>
      <c r="H5" s="111">
        <f>Assumptions!H24</f>
        <v>4.4999999999999998E-2</v>
      </c>
      <c r="I5" s="111">
        <f>Assumptions!I24</f>
        <v>4.4999999999999998E-2</v>
      </c>
      <c r="J5" s="111">
        <f>Assumptions!J24</f>
        <v>4.4999999999999998E-2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1">
        <f>Assumptions!F25</f>
        <v>2.9235382308845578E-2</v>
      </c>
      <c r="G6" s="111">
        <f>Assumptions!G25</f>
        <v>2.9235382308845578E-2</v>
      </c>
      <c r="H6" s="111">
        <f>Assumptions!H25</f>
        <v>2.9235382308845578E-2</v>
      </c>
      <c r="I6" s="111">
        <f>Assumptions!I25</f>
        <v>2.9235382308845578E-2</v>
      </c>
      <c r="J6" s="111">
        <f>Assumptions!J25</f>
        <v>2.9235382308845578E-2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4"/>
      <c r="L7" s="204"/>
    </row>
    <row r="8" spans="1:13" s="2" customFormat="1" x14ac:dyDescent="0.25">
      <c r="A8" s="11"/>
      <c r="B8" s="4" t="s">
        <v>28</v>
      </c>
      <c r="C8" s="30"/>
      <c r="D8" s="58"/>
      <c r="E8" s="62"/>
      <c r="F8" s="112">
        <f>Assumptions!F27</f>
        <v>0</v>
      </c>
      <c r="G8" s="112">
        <f>Assumptions!G27</f>
        <v>0</v>
      </c>
      <c r="H8" s="112">
        <f>Assumptions!H27</f>
        <v>0</v>
      </c>
      <c r="I8" s="112">
        <f>Assumptions!I27</f>
        <v>0</v>
      </c>
      <c r="J8" s="112">
        <f>Assumptions!J27</f>
        <v>0</v>
      </c>
      <c r="K8" s="205"/>
      <c r="L8" s="205"/>
    </row>
    <row r="9" spans="1:13" s="2" customFormat="1" x14ac:dyDescent="0.25">
      <c r="A9" s="11"/>
      <c r="B9" s="4" t="s">
        <v>29</v>
      </c>
      <c r="C9" s="30"/>
      <c r="D9" s="58"/>
      <c r="E9" s="62"/>
      <c r="F9" s="112">
        <v>-222</v>
      </c>
      <c r="G9" s="112">
        <f>Assumptions!G28</f>
        <v>0</v>
      </c>
      <c r="H9" s="112">
        <f>Assumptions!H28</f>
        <v>0</v>
      </c>
      <c r="I9" s="112">
        <f>Assumptions!I28</f>
        <v>0</v>
      </c>
      <c r="J9" s="112">
        <f>Assumptions!J28</f>
        <v>0</v>
      </c>
      <c r="K9" s="205"/>
      <c r="L9" s="205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30</v>
      </c>
      <c r="B11" s="54"/>
      <c r="C11" s="253">
        <f>C2</f>
        <v>2022</v>
      </c>
      <c r="D11" s="253">
        <f t="shared" ref="D11:J11" si="1">D2</f>
        <v>2022</v>
      </c>
      <c r="E11" s="253">
        <f t="shared" si="1"/>
        <v>2022</v>
      </c>
      <c r="F11" s="253">
        <f t="shared" si="1"/>
        <v>2022</v>
      </c>
      <c r="G11" s="253">
        <f t="shared" si="1"/>
        <v>2022</v>
      </c>
      <c r="H11" s="253">
        <f t="shared" si="1"/>
        <v>2022</v>
      </c>
      <c r="I11" s="253">
        <f t="shared" si="1"/>
        <v>2022</v>
      </c>
      <c r="J11" s="253">
        <f t="shared" si="1"/>
        <v>2022</v>
      </c>
      <c r="K11" s="206"/>
      <c r="L11" s="206"/>
      <c r="M11" s="47"/>
    </row>
    <row r="12" spans="1:13" x14ac:dyDescent="0.25">
      <c r="B12" s="4" t="s">
        <v>31</v>
      </c>
      <c r="E12" s="27"/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47"/>
    </row>
    <row r="13" spans="1:13" x14ac:dyDescent="0.25">
      <c r="B13" s="4" t="s">
        <v>32</v>
      </c>
      <c r="E13" s="28"/>
      <c r="I13" s="4"/>
      <c r="J13" s="4"/>
      <c r="M13" s="47"/>
    </row>
    <row r="14" spans="1:13" x14ac:dyDescent="0.25">
      <c r="B14" s="4" t="s">
        <v>33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59" t="s">
        <v>34</v>
      </c>
      <c r="B16" s="19"/>
      <c r="C16" s="253">
        <f t="shared" ref="C16:J16" si="2">C11</f>
        <v>2022</v>
      </c>
      <c r="D16" s="253">
        <f t="shared" si="2"/>
        <v>2022</v>
      </c>
      <c r="E16" s="253">
        <f t="shared" si="2"/>
        <v>2022</v>
      </c>
      <c r="F16" s="253">
        <f t="shared" si="2"/>
        <v>2022</v>
      </c>
      <c r="G16" s="253">
        <f t="shared" ref="G16:J16" si="3">G11</f>
        <v>2022</v>
      </c>
      <c r="H16" s="253">
        <f t="shared" si="3"/>
        <v>2022</v>
      </c>
      <c r="I16" s="253">
        <f t="shared" si="3"/>
        <v>2022</v>
      </c>
      <c r="J16" s="253">
        <f t="shared" si="3"/>
        <v>2022</v>
      </c>
      <c r="K16" s="203"/>
      <c r="L16" s="203"/>
      <c r="M16" s="47"/>
    </row>
    <row r="17" spans="1:13" x14ac:dyDescent="0.25">
      <c r="B17" s="4" t="s">
        <v>19</v>
      </c>
      <c r="E17" s="27"/>
      <c r="F17" s="4">
        <f>E20</f>
        <v>13677</v>
      </c>
      <c r="G17" s="4">
        <f t="shared" ref="G17:J17" si="4">F20</f>
        <v>13455</v>
      </c>
      <c r="H17" s="4">
        <f t="shared" si="4"/>
        <v>13455</v>
      </c>
      <c r="I17" s="4">
        <f t="shared" si="4"/>
        <v>13455</v>
      </c>
      <c r="J17" s="4">
        <f t="shared" si="4"/>
        <v>13455</v>
      </c>
      <c r="M17" s="47"/>
    </row>
    <row r="18" spans="1:13" x14ac:dyDescent="0.25">
      <c r="B18" s="4" t="s">
        <v>35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36</v>
      </c>
      <c r="E19" s="27"/>
      <c r="F19" s="4">
        <f>F9</f>
        <v>-222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23</v>
      </c>
      <c r="C20" s="10"/>
      <c r="E20" s="27">
        <f>BalSheet!E34</f>
        <v>13677</v>
      </c>
      <c r="F20" s="4">
        <f>SUM(F17:F19)</f>
        <v>13455</v>
      </c>
      <c r="G20" s="4">
        <f t="shared" ref="G20:J20" si="7">SUM(G17:G19)</f>
        <v>13455</v>
      </c>
      <c r="H20" s="4">
        <f t="shared" si="7"/>
        <v>13455</v>
      </c>
      <c r="I20" s="4">
        <f t="shared" si="7"/>
        <v>13455</v>
      </c>
      <c r="J20" s="4">
        <f t="shared" si="7"/>
        <v>13455</v>
      </c>
    </row>
    <row r="21" spans="1:13" x14ac:dyDescent="0.25">
      <c r="B21" s="4" t="s">
        <v>32</v>
      </c>
      <c r="D21" s="48"/>
      <c r="E21" s="27"/>
      <c r="F21" s="8">
        <f>F5</f>
        <v>4.4999999999999998E-2</v>
      </c>
      <c r="G21" s="8">
        <f t="shared" ref="G21:J21" si="8">G5</f>
        <v>4.4999999999999998E-2</v>
      </c>
      <c r="H21" s="8">
        <f t="shared" si="8"/>
        <v>4.4999999999999998E-2</v>
      </c>
      <c r="I21" s="8">
        <f t="shared" si="8"/>
        <v>4.4999999999999998E-2</v>
      </c>
      <c r="J21" s="8">
        <f t="shared" si="8"/>
        <v>4.4999999999999998E-2</v>
      </c>
    </row>
    <row r="22" spans="1:13" x14ac:dyDescent="0.25">
      <c r="B22" s="4" t="s">
        <v>33</v>
      </c>
      <c r="E22" s="27"/>
      <c r="F22" s="4">
        <f>F20*F21</f>
        <v>605.47500000000002</v>
      </c>
      <c r="G22" s="4">
        <f t="shared" ref="G22:J22" si="9">G20*G21</f>
        <v>605.47500000000002</v>
      </c>
      <c r="H22" s="4">
        <f t="shared" si="9"/>
        <v>605.47500000000002</v>
      </c>
      <c r="I22" s="4">
        <f t="shared" si="9"/>
        <v>605.47500000000002</v>
      </c>
      <c r="J22" s="4">
        <f t="shared" si="9"/>
        <v>605.47500000000002</v>
      </c>
    </row>
    <row r="23" spans="1:13" x14ac:dyDescent="0.25">
      <c r="E23" s="27"/>
      <c r="I23" s="4"/>
      <c r="J23" s="4"/>
    </row>
    <row r="24" spans="1:13" x14ac:dyDescent="0.25">
      <c r="A24" s="20" t="s">
        <v>37</v>
      </c>
      <c r="B24" s="42"/>
      <c r="C24" s="253">
        <f>C16</f>
        <v>2022</v>
      </c>
      <c r="D24" s="253">
        <f t="shared" ref="D24:J24" si="10">D16</f>
        <v>2022</v>
      </c>
      <c r="E24" s="253">
        <f t="shared" si="10"/>
        <v>2022</v>
      </c>
      <c r="F24" s="253">
        <f t="shared" si="10"/>
        <v>2022</v>
      </c>
      <c r="G24" s="253">
        <f t="shared" ref="G24:J24" si="11">G16</f>
        <v>2022</v>
      </c>
      <c r="H24" s="253">
        <f t="shared" si="11"/>
        <v>2022</v>
      </c>
      <c r="I24" s="253">
        <f t="shared" si="11"/>
        <v>2022</v>
      </c>
      <c r="J24" s="253">
        <f t="shared" si="11"/>
        <v>2022</v>
      </c>
      <c r="K24" s="203"/>
      <c r="L24" s="203"/>
    </row>
    <row r="25" spans="1:13" x14ac:dyDescent="0.25">
      <c r="A25" s="7"/>
      <c r="B25" s="4" t="s">
        <v>30</v>
      </c>
      <c r="E25" s="27"/>
      <c r="F25" s="4">
        <f>F12</f>
        <v>0</v>
      </c>
      <c r="G25" s="4">
        <f t="shared" ref="G25:J25" si="12">G12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</row>
    <row r="26" spans="1:13" x14ac:dyDescent="0.25">
      <c r="A26" s="7"/>
      <c r="B26" s="4" t="s">
        <v>38</v>
      </c>
      <c r="E26" s="27"/>
      <c r="F26" s="4">
        <f>F20</f>
        <v>13455</v>
      </c>
      <c r="G26" s="4">
        <f t="shared" ref="G26:J26" si="13">G20</f>
        <v>13455</v>
      </c>
      <c r="H26" s="4">
        <f t="shared" si="13"/>
        <v>13455</v>
      </c>
      <c r="I26" s="4">
        <f t="shared" si="13"/>
        <v>13455</v>
      </c>
      <c r="J26" s="4">
        <f t="shared" si="13"/>
        <v>13455</v>
      </c>
    </row>
    <row r="27" spans="1:13" x14ac:dyDescent="0.25">
      <c r="A27" s="7"/>
      <c r="B27" s="11" t="s">
        <v>39</v>
      </c>
      <c r="D27" s="11"/>
      <c r="E27" s="24"/>
      <c r="F27" s="11">
        <f>SUM(F25:F26)</f>
        <v>13455</v>
      </c>
      <c r="G27" s="11">
        <f t="shared" ref="G27:J27" si="14">SUM(G25:G26)</f>
        <v>13455</v>
      </c>
      <c r="H27" s="11">
        <f t="shared" si="14"/>
        <v>13455</v>
      </c>
      <c r="I27" s="11">
        <f t="shared" si="14"/>
        <v>13455</v>
      </c>
      <c r="J27" s="11">
        <f t="shared" si="14"/>
        <v>13455</v>
      </c>
      <c r="K27" s="11"/>
      <c r="L27" s="11"/>
    </row>
    <row r="28" spans="1:13" x14ac:dyDescent="0.25">
      <c r="A28" s="7"/>
      <c r="B28" s="4" t="s">
        <v>40</v>
      </c>
      <c r="E28" s="27"/>
      <c r="F28" s="4">
        <f>F22</f>
        <v>605.47500000000002</v>
      </c>
      <c r="G28" s="4">
        <f t="shared" ref="G28:J28" si="15">G22</f>
        <v>605.47500000000002</v>
      </c>
      <c r="H28" s="4">
        <f t="shared" si="15"/>
        <v>605.47500000000002</v>
      </c>
      <c r="I28" s="4">
        <f t="shared" si="15"/>
        <v>605.47500000000002</v>
      </c>
      <c r="J28" s="4">
        <f t="shared" si="15"/>
        <v>605.47500000000002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41</v>
      </c>
      <c r="B30" s="42"/>
      <c r="C30" s="253">
        <f>C11</f>
        <v>2022</v>
      </c>
      <c r="D30" s="253">
        <f t="shared" ref="D30:J30" si="16">D11</f>
        <v>2022</v>
      </c>
      <c r="E30" s="253">
        <f t="shared" si="16"/>
        <v>2022</v>
      </c>
      <c r="F30" s="253">
        <f t="shared" si="16"/>
        <v>2022</v>
      </c>
      <c r="G30" s="253">
        <f t="shared" ref="G30:J30" si="17">G11</f>
        <v>2022</v>
      </c>
      <c r="H30" s="253">
        <f t="shared" si="17"/>
        <v>2022</v>
      </c>
      <c r="I30" s="253">
        <f t="shared" si="17"/>
        <v>2022</v>
      </c>
      <c r="J30" s="253">
        <f t="shared" si="17"/>
        <v>2022</v>
      </c>
      <c r="K30" s="203"/>
      <c r="L30" s="203"/>
    </row>
    <row r="31" spans="1:13" x14ac:dyDescent="0.25">
      <c r="A31" s="7"/>
      <c r="B31" s="4" t="s">
        <v>167</v>
      </c>
      <c r="E31" s="27"/>
      <c r="F31" s="4">
        <f>BalSheet!F16</f>
        <v>2094.6139008486234</v>
      </c>
      <c r="G31" s="4">
        <f>BalSheet!G16</f>
        <v>3457.0456063577244</v>
      </c>
      <c r="H31" s="4">
        <f>BalSheet!H16</f>
        <v>4822.5289706439062</v>
      </c>
      <c r="I31" s="4">
        <f>BalSheet!I16</f>
        <v>6189.9919441771999</v>
      </c>
      <c r="J31" s="4">
        <f>BalSheet!J16</f>
        <v>7557.9192292753251</v>
      </c>
    </row>
    <row r="32" spans="1:13" x14ac:dyDescent="0.25">
      <c r="B32" s="4" t="s">
        <v>32</v>
      </c>
      <c r="D32" s="48"/>
      <c r="E32" s="23"/>
      <c r="F32" s="5">
        <f>F6</f>
        <v>2.9235382308845578E-2</v>
      </c>
      <c r="G32" s="5">
        <f t="shared" ref="G32:J32" si="18">G6</f>
        <v>2.9235382308845578E-2</v>
      </c>
      <c r="H32" s="5">
        <f t="shared" si="18"/>
        <v>2.9235382308845578E-2</v>
      </c>
      <c r="I32" s="5">
        <f t="shared" si="18"/>
        <v>2.9235382308845578E-2</v>
      </c>
      <c r="J32" s="5">
        <f t="shared" si="18"/>
        <v>2.9235382308845578E-2</v>
      </c>
      <c r="K32" s="171"/>
      <c r="L32" s="171"/>
    </row>
    <row r="33" spans="2:10" x14ac:dyDescent="0.25">
      <c r="B33" s="4" t="s">
        <v>41</v>
      </c>
      <c r="E33" s="27"/>
      <c r="F33" s="4">
        <f>F31*F32</f>
        <v>61.236838180731873</v>
      </c>
      <c r="G33" s="4">
        <f t="shared" ref="G33:J33" si="19">G31*G32</f>
        <v>101.06804996098295</v>
      </c>
      <c r="H33" s="4">
        <f t="shared" si="19"/>
        <v>140.98847815225812</v>
      </c>
      <c r="I33" s="4">
        <f t="shared" si="19"/>
        <v>180.96678097669476</v>
      </c>
      <c r="J33" s="4">
        <f t="shared" si="19"/>
        <v>220.95865812723966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F11" sqref="F1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43</v>
      </c>
      <c r="C4" s="31"/>
      <c r="D4" s="31"/>
      <c r="E4" s="32"/>
      <c r="F4" s="175">
        <f>Assumptions!F10</f>
        <v>0.11722126044026271</v>
      </c>
      <c r="G4" s="175">
        <f>Assumptions!G10</f>
        <v>4.9911959330350086E-2</v>
      </c>
      <c r="H4" s="175">
        <f>Assumptions!H10</f>
        <v>4.6728963746740071E-2</v>
      </c>
      <c r="I4" s="175">
        <f>Assumptions!I10</f>
        <v>4.3501808975430656E-2</v>
      </c>
      <c r="J4" s="175">
        <f>Assumptions!J10</f>
        <v>4.0274154609047264E-2</v>
      </c>
      <c r="K4" s="208"/>
      <c r="L4" s="208"/>
    </row>
    <row r="5" spans="1:12" x14ac:dyDescent="0.25">
      <c r="B5" s="30" t="s">
        <v>44</v>
      </c>
      <c r="C5" s="31"/>
      <c r="D5" s="31"/>
      <c r="E5" s="31"/>
      <c r="F5" s="175">
        <f>Assumptions!F11</f>
        <v>0.25833856768974545</v>
      </c>
      <c r="G5" s="175">
        <f>Assumptions!G11</f>
        <v>0.25733856768974545</v>
      </c>
      <c r="H5" s="175">
        <f>Assumptions!H11</f>
        <v>0.25633856768974544</v>
      </c>
      <c r="I5" s="175">
        <f>Assumptions!I11</f>
        <v>0.25533856768974544</v>
      </c>
      <c r="J5" s="175">
        <f>Assumptions!J11</f>
        <v>0.25433856768974544</v>
      </c>
      <c r="K5" s="208"/>
      <c r="L5" s="208"/>
    </row>
    <row r="6" spans="1:12" x14ac:dyDescent="0.25">
      <c r="B6" s="30" t="s">
        <v>45</v>
      </c>
      <c r="C6" s="31"/>
      <c r="D6" s="31"/>
      <c r="E6" s="31"/>
      <c r="F6" s="175">
        <f>Assumptions!F12</f>
        <v>0.45189079229122053</v>
      </c>
      <c r="G6" s="175">
        <f>Assumptions!G12</f>
        <v>0.45089079229122053</v>
      </c>
      <c r="H6" s="175">
        <f>Assumptions!H12</f>
        <v>0.44989079229122053</v>
      </c>
      <c r="I6" s="175">
        <f>Assumptions!I12</f>
        <v>0.44889079229122053</v>
      </c>
      <c r="J6" s="175">
        <f>Assumptions!J12</f>
        <v>0.44789079229122053</v>
      </c>
      <c r="K6" s="208"/>
      <c r="L6" s="208"/>
    </row>
    <row r="7" spans="1:12" x14ac:dyDescent="0.25">
      <c r="A7" s="87"/>
      <c r="B7" s="4" t="s">
        <v>46</v>
      </c>
      <c r="C7" s="30"/>
      <c r="D7" s="30"/>
      <c r="E7" s="30"/>
      <c r="F7" s="176">
        <f>Assumptions!F13</f>
        <v>0</v>
      </c>
      <c r="G7" s="176">
        <f>Assumptions!G13</f>
        <v>0</v>
      </c>
      <c r="H7" s="176">
        <f>Assumptions!H13</f>
        <v>0</v>
      </c>
      <c r="I7" s="176">
        <f>Assumptions!I13</f>
        <v>0</v>
      </c>
      <c r="J7" s="176">
        <f>Assumptions!J13</f>
        <v>0</v>
      </c>
      <c r="K7" s="209"/>
      <c r="L7" s="209"/>
    </row>
    <row r="8" spans="1:12" x14ac:dyDescent="0.25">
      <c r="A8" s="87"/>
      <c r="B8" s="4" t="s">
        <v>47</v>
      </c>
      <c r="C8" s="30"/>
      <c r="D8" s="30"/>
      <c r="E8" s="30"/>
      <c r="F8" s="177">
        <f>Assumptions!F14</f>
        <v>0</v>
      </c>
      <c r="G8" s="177">
        <f>Assumptions!G14</f>
        <v>0</v>
      </c>
      <c r="H8" s="177">
        <f>Assumptions!H14</f>
        <v>0</v>
      </c>
      <c r="I8" s="177">
        <f>Assumptions!I14</f>
        <v>0</v>
      </c>
      <c r="J8" s="177">
        <f>Assumptions!J14</f>
        <v>0</v>
      </c>
      <c r="K8" s="210"/>
      <c r="L8" s="210"/>
    </row>
    <row r="9" spans="1:12" x14ac:dyDescent="0.25">
      <c r="B9" s="4" t="s">
        <v>144</v>
      </c>
      <c r="F9" s="177">
        <f>Assumptions!F15</f>
        <v>0</v>
      </c>
      <c r="G9" s="177">
        <f>Assumptions!G15</f>
        <v>0</v>
      </c>
      <c r="H9" s="177">
        <f>Assumptions!H15</f>
        <v>0</v>
      </c>
      <c r="I9" s="177">
        <f>Assumptions!I15</f>
        <v>0</v>
      </c>
      <c r="J9" s="177">
        <f>Assumptions!J15</f>
        <v>0</v>
      </c>
      <c r="K9" s="210"/>
      <c r="L9" s="210"/>
    </row>
    <row r="10" spans="1:12" x14ac:dyDescent="0.25">
      <c r="B10" s="30" t="s">
        <v>48</v>
      </c>
      <c r="C10" s="43"/>
      <c r="D10" s="43"/>
      <c r="E10" s="43"/>
      <c r="F10" s="175">
        <f>Assumptions!F16</f>
        <v>0.19761129207383279</v>
      </c>
      <c r="G10" s="175">
        <f>Assumptions!G16</f>
        <v>0.19761129207383279</v>
      </c>
      <c r="H10" s="175">
        <f>Assumptions!H16</f>
        <v>0.19761129207383279</v>
      </c>
      <c r="I10" s="175">
        <f>Assumptions!I16</f>
        <v>0.19761129207383279</v>
      </c>
      <c r="J10" s="175">
        <f>Assumptions!J16</f>
        <v>0.19761129207383279</v>
      </c>
      <c r="K10" s="208"/>
      <c r="L10" s="208"/>
    </row>
    <row r="11" spans="1:12" s="263" customFormat="1" x14ac:dyDescent="0.25">
      <c r="A11" s="266"/>
      <c r="B11" s="263" t="s">
        <v>138</v>
      </c>
      <c r="E11" s="267"/>
      <c r="F11" s="268">
        <f>Assumptions!F17</f>
        <v>3.3257053291536049</v>
      </c>
      <c r="G11" s="268">
        <f>Assumptions!G17</f>
        <v>3.425705329153605</v>
      </c>
      <c r="H11" s="268">
        <f>Assumptions!H17</f>
        <v>3.5257053291536051</v>
      </c>
      <c r="I11" s="268">
        <f>Assumptions!I17</f>
        <v>3.6257053291536052</v>
      </c>
      <c r="J11" s="268">
        <f>Assumptions!J17</f>
        <v>3.7257053291536053</v>
      </c>
      <c r="K11" s="269"/>
      <c r="L11" s="269"/>
    </row>
    <row r="12" spans="1:12" x14ac:dyDescent="0.25">
      <c r="B12" s="4" t="s">
        <v>49</v>
      </c>
      <c r="C12" s="30"/>
      <c r="D12" s="30"/>
      <c r="E12" s="39"/>
      <c r="F12" s="177">
        <f>Assumptions!F18</f>
        <v>319</v>
      </c>
      <c r="G12" s="177">
        <f>Assumptions!G18</f>
        <v>319</v>
      </c>
      <c r="H12" s="177">
        <f>Assumptions!H18</f>
        <v>319</v>
      </c>
      <c r="I12" s="177">
        <f>Assumptions!I18</f>
        <v>319</v>
      </c>
      <c r="J12" s="177">
        <f>Assumptions!J18</f>
        <v>319</v>
      </c>
      <c r="K12" s="210"/>
      <c r="L12" s="210"/>
    </row>
    <row r="13" spans="1:12" x14ac:dyDescent="0.25">
      <c r="B13" s="4" t="s">
        <v>50</v>
      </c>
      <c r="C13" s="30"/>
      <c r="D13" s="30"/>
      <c r="E13" s="39"/>
      <c r="F13" s="177">
        <f>Assumptions!F19</f>
        <v>454</v>
      </c>
      <c r="G13" s="177">
        <f>Assumptions!G19</f>
        <v>454</v>
      </c>
      <c r="H13" s="177">
        <f>Assumptions!H19</f>
        <v>454</v>
      </c>
      <c r="I13" s="177">
        <f>Assumptions!I19</f>
        <v>454</v>
      </c>
      <c r="J13" s="177">
        <f>Assumptions!J19</f>
        <v>454</v>
      </c>
      <c r="K13" s="210"/>
      <c r="L13" s="210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8" t="s">
        <v>42</v>
      </c>
      <c r="B15" s="179"/>
      <c r="C15" s="150">
        <f>C37</f>
        <v>44926</v>
      </c>
      <c r="D15" s="150">
        <f t="shared" ref="D15:J15" si="1">D37</f>
        <v>45291</v>
      </c>
      <c r="E15" s="150">
        <f t="shared" si="1"/>
        <v>45657</v>
      </c>
      <c r="F15" s="150">
        <f t="shared" si="1"/>
        <v>46022</v>
      </c>
      <c r="G15" s="150">
        <f t="shared" si="1"/>
        <v>46022</v>
      </c>
      <c r="H15" s="150">
        <f t="shared" si="1"/>
        <v>46022</v>
      </c>
      <c r="I15" s="150">
        <f t="shared" si="1"/>
        <v>46022</v>
      </c>
      <c r="J15" s="150">
        <f t="shared" si="1"/>
        <v>46022</v>
      </c>
      <c r="K15" s="206"/>
      <c r="L15" s="206"/>
    </row>
    <row r="16" spans="1:12" x14ac:dyDescent="0.25">
      <c r="B16" s="4" t="s">
        <v>51</v>
      </c>
      <c r="C16" s="98">
        <v>6505</v>
      </c>
      <c r="D16" s="123">
        <v>7022</v>
      </c>
      <c r="E16" s="22">
        <v>8406</v>
      </c>
      <c r="F16" s="4">
        <f>E16*(1+F4)</f>
        <v>9391.361915260848</v>
      </c>
      <c r="G16" s="4">
        <f t="shared" ref="G16:J16" si="2">F16*(1+G4)</f>
        <v>9860.1031892319461</v>
      </c>
      <c r="H16" s="4">
        <f t="shared" si="2"/>
        <v>10320.855593700682</v>
      </c>
      <c r="I16" s="4">
        <f t="shared" si="2"/>
        <v>10769.831482200854</v>
      </c>
      <c r="J16" s="4">
        <f t="shared" si="2"/>
        <v>11203.577340428395</v>
      </c>
    </row>
    <row r="17" spans="1:12" x14ac:dyDescent="0.25">
      <c r="B17" s="4" t="s">
        <v>156</v>
      </c>
      <c r="C17" s="123">
        <v>2193</v>
      </c>
      <c r="D17" s="123">
        <v>1328</v>
      </c>
      <c r="E17" s="22">
        <v>2180</v>
      </c>
      <c r="F17" s="173">
        <f>F16*F5</f>
        <v>2426.150985844512</v>
      </c>
      <c r="G17" s="173">
        <f t="shared" ref="G17:J17" si="3">G16*G5</f>
        <v>2537.3848319900403</v>
      </c>
      <c r="H17" s="173">
        <f t="shared" si="3"/>
        <v>2645.6333402219302</v>
      </c>
      <c r="I17" s="173">
        <f t="shared" si="3"/>
        <v>2749.9533449250944</v>
      </c>
      <c r="J17" s="173">
        <f t="shared" si="3"/>
        <v>2849.5018137658458</v>
      </c>
      <c r="K17" s="207"/>
      <c r="L17" s="207"/>
    </row>
    <row r="18" spans="1:12" x14ac:dyDescent="0.25">
      <c r="B18" s="4" t="s">
        <v>52</v>
      </c>
      <c r="C18" s="123">
        <f>4607-C17</f>
        <v>2414</v>
      </c>
      <c r="D18" s="123">
        <f>4971-D17</f>
        <v>3643</v>
      </c>
      <c r="E18" s="22">
        <f>5987-E17</f>
        <v>3807</v>
      </c>
      <c r="F18" s="173">
        <f>F16*F6</f>
        <v>4243.8699765808187</v>
      </c>
      <c r="G18" s="173">
        <f t="shared" ref="G18:J18" si="4">G16*G6</f>
        <v>4445.8297390659827</v>
      </c>
      <c r="H18" s="173">
        <f t="shared" si="4"/>
        <v>4643.2579001732756</v>
      </c>
      <c r="I18" s="173">
        <f t="shared" si="4"/>
        <v>4834.4781868880718</v>
      </c>
      <c r="J18" s="173">
        <f t="shared" si="4"/>
        <v>5017.9791315004395</v>
      </c>
      <c r="K18" s="207"/>
      <c r="L18" s="207"/>
    </row>
    <row r="19" spans="1:12" s="11" customFormat="1" x14ac:dyDescent="0.25">
      <c r="A19" s="11" t="s">
        <v>126</v>
      </c>
      <c r="B19" s="17" t="s">
        <v>55</v>
      </c>
      <c r="C19" s="18">
        <f>C16-SUM(C17:C18)</f>
        <v>1898</v>
      </c>
      <c r="D19" s="18">
        <f>D16-SUM(D17:D18)</f>
        <v>2051</v>
      </c>
      <c r="E19" s="18">
        <f>E16-SUM(E17:E18)</f>
        <v>2419</v>
      </c>
      <c r="F19" s="18">
        <f>F16-SUM(F17:F18)</f>
        <v>2721.3409528355169</v>
      </c>
      <c r="G19" s="18">
        <f t="shared" ref="G19:J19" si="5">G16-SUM(G17:G18)</f>
        <v>2876.8886181759226</v>
      </c>
      <c r="H19" s="18">
        <f t="shared" si="5"/>
        <v>3031.9643533054768</v>
      </c>
      <c r="I19" s="18">
        <f t="shared" si="5"/>
        <v>3185.3999503876876</v>
      </c>
      <c r="J19" s="18">
        <f t="shared" si="5"/>
        <v>3336.0963951621106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4">
        <v>190</v>
      </c>
      <c r="D21" s="124">
        <v>191</v>
      </c>
      <c r="E21" s="25">
        <v>264</v>
      </c>
      <c r="F21" s="4">
        <f>Calcs!F8</f>
        <v>351.08392973324658</v>
      </c>
      <c r="G21" s="4">
        <f>Calcs!G8</f>
        <v>345.72050776025839</v>
      </c>
      <c r="H21" s="4">
        <f>Calcs!H8</f>
        <v>347.83210313446682</v>
      </c>
      <c r="I21" s="4">
        <f>Calcs!I8</f>
        <v>357.29558538900102</v>
      </c>
      <c r="J21" s="4">
        <f>Calcs!J8</f>
        <v>373.96770125014041</v>
      </c>
      <c r="K21" s="4"/>
      <c r="L21" s="4"/>
    </row>
    <row r="22" spans="1:12" s="11" customFormat="1" x14ac:dyDescent="0.25">
      <c r="B22" s="4" t="s">
        <v>54</v>
      </c>
      <c r="C22" s="98">
        <v>0</v>
      </c>
      <c r="D22" s="98">
        <v>0</v>
      </c>
      <c r="E22" s="125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8" customFormat="1" x14ac:dyDescent="0.25">
      <c r="A23" s="128" t="s">
        <v>126</v>
      </c>
      <c r="B23" s="129" t="s">
        <v>53</v>
      </c>
      <c r="C23" s="130">
        <f>SUM(C19,C21:C22)</f>
        <v>2088</v>
      </c>
      <c r="D23" s="130">
        <f t="shared" ref="D23:F23" si="7">SUM(D19,D21:D22)</f>
        <v>2242</v>
      </c>
      <c r="E23" s="130">
        <f t="shared" si="7"/>
        <v>2683</v>
      </c>
      <c r="F23" s="130">
        <f t="shared" si="7"/>
        <v>3072.4248825687637</v>
      </c>
      <c r="G23" s="130">
        <f t="shared" ref="G23:J23" si="8">SUM(G19,G21:G22)</f>
        <v>3222.609125936181</v>
      </c>
      <c r="H23" s="130">
        <f t="shared" si="8"/>
        <v>3379.7964564399435</v>
      </c>
      <c r="I23" s="130">
        <f t="shared" si="8"/>
        <v>3542.6955357766888</v>
      </c>
      <c r="J23" s="130">
        <f t="shared" si="8"/>
        <v>3710.0640964122513</v>
      </c>
    </row>
    <row r="24" spans="1:12" s="11" customFormat="1" x14ac:dyDescent="0.25">
      <c r="C24" s="13"/>
      <c r="D24" s="4"/>
      <c r="E24" s="36"/>
      <c r="F24" s="4"/>
      <c r="G24" s="4"/>
      <c r="H24" s="4"/>
      <c r="I24" s="4"/>
      <c r="J24" s="4"/>
      <c r="K24" s="13"/>
      <c r="L24" s="13"/>
    </row>
    <row r="25" spans="1:12" s="11" customFormat="1" x14ac:dyDescent="0.25">
      <c r="B25" s="4" t="s">
        <v>56</v>
      </c>
      <c r="C25" s="96">
        <v>0</v>
      </c>
      <c r="D25" s="96">
        <v>0</v>
      </c>
      <c r="E25" s="97">
        <v>0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6">
        <v>0</v>
      </c>
      <c r="D26" s="96">
        <v>0</v>
      </c>
      <c r="E26" s="97">
        <v>0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2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7</v>
      </c>
      <c r="D28" s="9">
        <v>40</v>
      </c>
      <c r="E28" s="45">
        <v>39</v>
      </c>
      <c r="F28" s="312">
        <f>IF(circ=1,Debt!F33,0)</f>
        <v>0</v>
      </c>
      <c r="G28" s="312">
        <f>IF(circ=1,Debt!G33,0)</f>
        <v>0</v>
      </c>
      <c r="H28" s="312">
        <f>IF(circ=1,Debt!H33,0)</f>
        <v>0</v>
      </c>
      <c r="I28" s="312">
        <f>IF(circ=1,Debt!I33,0)</f>
        <v>0</v>
      </c>
      <c r="J28" s="312">
        <f>IF(circ=1,Debt!J33,0)</f>
        <v>0</v>
      </c>
      <c r="K28" s="183"/>
      <c r="L28" s="183"/>
    </row>
    <row r="29" spans="1:12" x14ac:dyDescent="0.25">
      <c r="B29" s="4" t="s">
        <v>33</v>
      </c>
      <c r="C29" s="9">
        <f>-493-19-28</f>
        <v>-540</v>
      </c>
      <c r="D29" s="9">
        <f>-576-19-27</f>
        <v>-622</v>
      </c>
      <c r="E29" s="45">
        <f>-572-19-25</f>
        <v>-616</v>
      </c>
      <c r="F29" s="312">
        <f>IF(circ=1,-Debt!F22,0)</f>
        <v>0</v>
      </c>
      <c r="G29" s="312">
        <f>IF(circ=1,-Debt!G22,0)</f>
        <v>0</v>
      </c>
      <c r="H29" s="312">
        <f>IF(circ=1,-Debt!H22,0)</f>
        <v>0</v>
      </c>
      <c r="I29" s="312">
        <f>IF(circ=1,-Debt!I22,0)</f>
        <v>0</v>
      </c>
      <c r="J29" s="312">
        <f>IF(circ=1,-Debt!J22,0)</f>
        <v>0</v>
      </c>
      <c r="K29" s="183"/>
      <c r="L29" s="183"/>
    </row>
    <row r="30" spans="1:12" x14ac:dyDescent="0.25">
      <c r="C30" s="10"/>
      <c r="D30" s="10"/>
      <c r="E30" s="22"/>
      <c r="H30" s="4"/>
    </row>
    <row r="31" spans="1:12" s="11" customFormat="1" x14ac:dyDescent="0.25">
      <c r="A31" s="11" t="s">
        <v>126</v>
      </c>
      <c r="B31" s="17" t="s">
        <v>86</v>
      </c>
      <c r="C31" s="18">
        <f t="shared" ref="C31:D31" si="11">C19+SUM(C26:C29)</f>
        <v>1365</v>
      </c>
      <c r="D31" s="18">
        <f t="shared" si="11"/>
        <v>1469</v>
      </c>
      <c r="E31" s="18">
        <f>E19+SUM(E25:E29)</f>
        <v>1842</v>
      </c>
      <c r="F31" s="18">
        <f>F19+SUM(F25:F29)</f>
        <v>2721.3409528355169</v>
      </c>
      <c r="G31" s="18">
        <f t="shared" ref="G31:J31" si="12">G19+SUM(G25:G29)</f>
        <v>2876.8886181759226</v>
      </c>
      <c r="H31" s="18">
        <f t="shared" si="12"/>
        <v>3031.9643533054768</v>
      </c>
      <c r="I31" s="18">
        <f t="shared" si="12"/>
        <v>3185.3999503876876</v>
      </c>
      <c r="J31" s="18">
        <f t="shared" si="12"/>
        <v>3336.0963951621106</v>
      </c>
    </row>
    <row r="32" spans="1:12" x14ac:dyDescent="0.25">
      <c r="E32" s="37"/>
      <c r="H32" s="4"/>
    </row>
    <row r="33" spans="1:12" x14ac:dyDescent="0.25">
      <c r="B33" s="4" t="s">
        <v>58</v>
      </c>
      <c r="C33" s="132">
        <v>-117</v>
      </c>
      <c r="D33" s="4">
        <v>-265</v>
      </c>
      <c r="E33" s="59">
        <v>364</v>
      </c>
      <c r="F33" s="4">
        <f>F31*F10</f>
        <v>537.76770186326178</v>
      </c>
      <c r="G33" s="4">
        <f t="shared" ref="G33:J33" si="13">G31*G10</f>
        <v>568.50567699024748</v>
      </c>
      <c r="H33" s="4">
        <f t="shared" si="13"/>
        <v>599.15039337849817</v>
      </c>
      <c r="I33" s="4">
        <f t="shared" si="13"/>
        <v>629.47099996803377</v>
      </c>
      <c r="J33" s="4">
        <f t="shared" si="13"/>
        <v>659.25031913084058</v>
      </c>
    </row>
    <row r="34" spans="1:12" s="11" customFormat="1" x14ac:dyDescent="0.25">
      <c r="A34" s="11" t="s">
        <v>126</v>
      </c>
      <c r="B34" s="17" t="s">
        <v>59</v>
      </c>
      <c r="C34" s="18">
        <f>C31-C33</f>
        <v>1482</v>
      </c>
      <c r="D34" s="34">
        <f t="shared" ref="D34:F34" si="14">D31-D33</f>
        <v>1734</v>
      </c>
      <c r="E34" s="18">
        <f t="shared" si="14"/>
        <v>1478</v>
      </c>
      <c r="F34" s="18">
        <f t="shared" si="14"/>
        <v>2183.5732509722552</v>
      </c>
      <c r="G34" s="18">
        <f t="shared" ref="G34:J34" si="15">G31-G33</f>
        <v>2308.382941185675</v>
      </c>
      <c r="H34" s="18">
        <f t="shared" si="15"/>
        <v>2432.8139599269789</v>
      </c>
      <c r="I34" s="18">
        <f t="shared" si="15"/>
        <v>2555.928950419654</v>
      </c>
      <c r="J34" s="18">
        <f t="shared" si="15"/>
        <v>2676.8460760312701</v>
      </c>
    </row>
    <row r="35" spans="1:12" s="263" customFormat="1" x14ac:dyDescent="0.25">
      <c r="A35" s="266"/>
      <c r="B35" s="263" t="s">
        <v>175</v>
      </c>
      <c r="C35" s="270">
        <f t="shared" ref="C35:D35" si="16">C36/C38</f>
        <v>3.1628664495114007</v>
      </c>
      <c r="D35" s="273">
        <f t="shared" si="16"/>
        <v>3.1730769230769229</v>
      </c>
      <c r="E35" s="271">
        <f>E36/E38</f>
        <v>3.2257053291536049</v>
      </c>
      <c r="F35" s="263">
        <f>F11</f>
        <v>3.3257053291536049</v>
      </c>
      <c r="G35" s="263">
        <f t="shared" ref="G35:J35" si="17">G11</f>
        <v>3.425705329153605</v>
      </c>
      <c r="H35" s="263">
        <f t="shared" si="17"/>
        <v>3.5257053291536051</v>
      </c>
      <c r="I35" s="263">
        <f t="shared" si="17"/>
        <v>3.6257053291536052</v>
      </c>
      <c r="J35" s="263">
        <f t="shared" si="17"/>
        <v>3.7257053291536053</v>
      </c>
    </row>
    <row r="36" spans="1:12" x14ac:dyDescent="0.25">
      <c r="B36" s="4" t="s">
        <v>60</v>
      </c>
      <c r="C36" s="123">
        <v>971</v>
      </c>
      <c r="D36" s="123">
        <v>990</v>
      </c>
      <c r="E36" s="22">
        <v>1029</v>
      </c>
      <c r="F36" s="4">
        <f>F35*F38</f>
        <v>1060.9000000000001</v>
      </c>
      <c r="G36" s="4">
        <f t="shared" ref="G36:J36" si="18">G35*G38</f>
        <v>1092.8</v>
      </c>
      <c r="H36" s="4">
        <f t="shared" si="18"/>
        <v>1124.7</v>
      </c>
      <c r="I36" s="4">
        <f t="shared" si="18"/>
        <v>1156.6000000000001</v>
      </c>
      <c r="J36" s="4">
        <f t="shared" si="18"/>
        <v>1188.5</v>
      </c>
    </row>
    <row r="37" spans="1:12" x14ac:dyDescent="0.25">
      <c r="A37" s="20" t="s">
        <v>61</v>
      </c>
      <c r="B37" s="19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3"/>
      <c r="L37" s="203"/>
    </row>
    <row r="38" spans="1:12" x14ac:dyDescent="0.25">
      <c r="B38" s="4" t="s">
        <v>49</v>
      </c>
      <c r="C38" s="10">
        <v>307</v>
      </c>
      <c r="D38" s="10">
        <v>312</v>
      </c>
      <c r="E38" s="22">
        <v>319</v>
      </c>
      <c r="F38" s="174">
        <f>F12</f>
        <v>319</v>
      </c>
      <c r="G38" s="174">
        <f t="shared" ref="G38:J38" si="19">G12</f>
        <v>319</v>
      </c>
      <c r="H38" s="174">
        <f t="shared" si="19"/>
        <v>319</v>
      </c>
      <c r="I38" s="174">
        <f t="shared" si="19"/>
        <v>319</v>
      </c>
      <c r="J38" s="174">
        <f t="shared" si="19"/>
        <v>319</v>
      </c>
      <c r="K38" s="207"/>
      <c r="L38" s="207"/>
    </row>
    <row r="39" spans="1:12" x14ac:dyDescent="0.25">
      <c r="B39" s="4" t="s">
        <v>50</v>
      </c>
      <c r="C39" s="10">
        <v>455</v>
      </c>
      <c r="D39" s="10">
        <v>456</v>
      </c>
      <c r="E39" s="22">
        <v>454</v>
      </c>
      <c r="F39" s="174">
        <f>F13</f>
        <v>454</v>
      </c>
      <c r="G39" s="174">
        <f t="shared" ref="G39:J39" si="20">G13</f>
        <v>454</v>
      </c>
      <c r="H39" s="174">
        <f t="shared" si="20"/>
        <v>454</v>
      </c>
      <c r="I39" s="174">
        <f t="shared" si="20"/>
        <v>454</v>
      </c>
      <c r="J39" s="174">
        <f t="shared" si="20"/>
        <v>454</v>
      </c>
      <c r="K39" s="207"/>
      <c r="L39" s="207"/>
    </row>
    <row r="40" spans="1:12" x14ac:dyDescent="0.25">
      <c r="B40" s="4" t="s">
        <v>62</v>
      </c>
      <c r="C40" s="181">
        <f t="shared" ref="C40:D40" si="21">C34/C38</f>
        <v>4.8273615635179157</v>
      </c>
      <c r="D40" s="181">
        <f t="shared" si="21"/>
        <v>5.5576923076923075</v>
      </c>
      <c r="E40" s="182">
        <f>E34/E38</f>
        <v>4.6332288401253923</v>
      </c>
      <c r="F40" s="173">
        <f>F34/F38</f>
        <v>6.84505721307917</v>
      </c>
      <c r="G40" s="173">
        <f t="shared" ref="G40:J40" si="22">G34/G38</f>
        <v>7.2363101604566618</v>
      </c>
      <c r="H40" s="173">
        <f t="shared" si="22"/>
        <v>7.6263760499278339</v>
      </c>
      <c r="I40" s="173">
        <f t="shared" si="22"/>
        <v>8.0123164589957803</v>
      </c>
      <c r="J40" s="173">
        <f t="shared" si="22"/>
        <v>8.3913670095024138</v>
      </c>
      <c r="K40" s="207"/>
      <c r="L40" s="207"/>
    </row>
    <row r="41" spans="1:12" s="11" customFormat="1" x14ac:dyDescent="0.25">
      <c r="A41" s="11" t="s">
        <v>126</v>
      </c>
      <c r="B41" s="17" t="s">
        <v>63</v>
      </c>
      <c r="C41" s="180">
        <f t="shared" ref="C41:D41" si="23">C34/C39</f>
        <v>3.2571428571428571</v>
      </c>
      <c r="D41" s="180">
        <f t="shared" si="23"/>
        <v>3.8026315789473686</v>
      </c>
      <c r="E41" s="180">
        <f>E34/E39</f>
        <v>3.2555066079295156</v>
      </c>
      <c r="F41" s="180">
        <f>F34/F39</f>
        <v>4.8096327113926325</v>
      </c>
      <c r="G41" s="180">
        <f t="shared" ref="G41:J41" si="24">G34/G39</f>
        <v>5.0845439233164651</v>
      </c>
      <c r="H41" s="180">
        <f t="shared" si="24"/>
        <v>5.3586210571078832</v>
      </c>
      <c r="I41" s="180">
        <f t="shared" si="24"/>
        <v>5.6297994502635555</v>
      </c>
      <c r="J41" s="180">
        <f t="shared" si="24"/>
        <v>5.8961367313464095</v>
      </c>
      <c r="K41" s="211"/>
      <c r="L41" s="211"/>
    </row>
    <row r="42" spans="1:12" x14ac:dyDescent="0.25">
      <c r="C42" s="14"/>
      <c r="D42" s="14"/>
      <c r="E42" s="38"/>
      <c r="F42" s="14"/>
      <c r="G42" s="14"/>
      <c r="H42" s="14"/>
      <c r="I42" s="14"/>
      <c r="J42" s="14"/>
    </row>
    <row r="43" spans="1:12" x14ac:dyDescent="0.25">
      <c r="D43" s="14"/>
      <c r="E43" s="14"/>
      <c r="F43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4"/>
  <sheetViews>
    <sheetView showGridLines="0" zoomScaleNormal="100" workbookViewId="0">
      <selection activeCell="F41" sqref="F15:J41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212"/>
      <c r="L2" s="212"/>
    </row>
    <row r="3" spans="1:12" x14ac:dyDescent="0.25">
      <c r="K3" s="6"/>
      <c r="L3" s="6"/>
    </row>
    <row r="4" spans="1:12" x14ac:dyDescent="0.25">
      <c r="B4" s="4" t="s">
        <v>139</v>
      </c>
      <c r="C4" s="43"/>
      <c r="D4" s="43"/>
      <c r="E4" s="44"/>
      <c r="F4" s="103">
        <f>Assumptions!F44</f>
        <v>0.02</v>
      </c>
      <c r="G4" s="103">
        <f>F4</f>
        <v>0.02</v>
      </c>
      <c r="H4" s="103">
        <f t="shared" ref="H4:J4" si="1">G4</f>
        <v>0.02</v>
      </c>
      <c r="I4" s="103">
        <f t="shared" si="1"/>
        <v>0.02</v>
      </c>
      <c r="J4" s="103">
        <f t="shared" si="1"/>
        <v>0.02</v>
      </c>
      <c r="K4" s="170"/>
      <c r="L4" s="170"/>
    </row>
    <row r="5" spans="1:12" x14ac:dyDescent="0.25">
      <c r="B5" s="4" t="s">
        <v>152</v>
      </c>
      <c r="C5" s="43"/>
      <c r="D5" s="43"/>
      <c r="E5" s="44"/>
      <c r="F5" s="103">
        <f>Assumptions!F45</f>
        <v>8.3035926719010236E-2</v>
      </c>
      <c r="G5" s="103">
        <f>Assumptions!G45</f>
        <v>8.3035926719010236E-2</v>
      </c>
      <c r="H5" s="103">
        <f>Assumptions!H45</f>
        <v>8.3035926719010236E-2</v>
      </c>
      <c r="I5" s="103">
        <f>Assumptions!I45</f>
        <v>8.3035926719010236E-2</v>
      </c>
      <c r="J5" s="103">
        <f>Assumptions!J45</f>
        <v>8.3035926719010236E-2</v>
      </c>
      <c r="K5" s="170"/>
      <c r="L5" s="170"/>
    </row>
    <row r="6" spans="1:12" x14ac:dyDescent="0.25">
      <c r="B6" s="4" t="s">
        <v>65</v>
      </c>
      <c r="C6" s="43"/>
      <c r="D6" s="43"/>
      <c r="E6" s="44"/>
      <c r="F6" s="103">
        <f>Assumptions!F46</f>
        <v>6.5137614678899086E-2</v>
      </c>
      <c r="G6" s="103">
        <f>Assumptions!G46</f>
        <v>6.5137614678899086E-2</v>
      </c>
      <c r="H6" s="103">
        <f>Assumptions!H46</f>
        <v>6.5137614678899086E-2</v>
      </c>
      <c r="I6" s="103">
        <f>Assumptions!I46</f>
        <v>6.5137614678899086E-2</v>
      </c>
      <c r="J6" s="103">
        <f>Assumptions!J46</f>
        <v>6.5137614678899086E-2</v>
      </c>
      <c r="K6" s="170"/>
      <c r="L6" s="170"/>
    </row>
    <row r="7" spans="1:12" x14ac:dyDescent="0.25">
      <c r="B7" s="4" t="s">
        <v>66</v>
      </c>
      <c r="C7" s="43"/>
      <c r="D7" s="43"/>
      <c r="E7" s="44"/>
      <c r="F7" s="103">
        <f>Assumptions!F47</f>
        <v>1.284796573875803E-2</v>
      </c>
      <c r="G7" s="103">
        <f>Assumptions!G47</f>
        <v>1.284796573875803E-2</v>
      </c>
      <c r="H7" s="103">
        <f>Assumptions!H47</f>
        <v>1.284796573875803E-2</v>
      </c>
      <c r="I7" s="103">
        <f>Assumptions!I47</f>
        <v>1.284796573875803E-2</v>
      </c>
      <c r="J7" s="103">
        <f>Assumptions!J47</f>
        <v>1.284796573875803E-2</v>
      </c>
      <c r="K7" s="170"/>
      <c r="L7" s="170"/>
    </row>
    <row r="8" spans="1:12" x14ac:dyDescent="0.25">
      <c r="B8" s="4" t="s">
        <v>67</v>
      </c>
      <c r="C8" s="43"/>
      <c r="D8" s="43"/>
      <c r="E8" s="44"/>
      <c r="F8" s="103">
        <f>Assumptions!F48</f>
        <v>0.16107542231739233</v>
      </c>
      <c r="G8" s="103">
        <f>Assumptions!G48</f>
        <v>0.16107542231739233</v>
      </c>
      <c r="H8" s="103">
        <f>Assumptions!H48</f>
        <v>0.16107542231739233</v>
      </c>
      <c r="I8" s="103">
        <f>Assumptions!I48</f>
        <v>0.16107542231739233</v>
      </c>
      <c r="J8" s="103">
        <f>Assumptions!J48</f>
        <v>0.16107542231739233</v>
      </c>
      <c r="K8" s="170"/>
      <c r="L8" s="170"/>
    </row>
    <row r="9" spans="1:12" x14ac:dyDescent="0.25">
      <c r="C9" s="30"/>
      <c r="D9" s="30"/>
      <c r="E9" s="30"/>
      <c r="F9" s="104"/>
      <c r="G9" s="104"/>
      <c r="H9" s="104"/>
      <c r="I9" s="104"/>
      <c r="J9" s="104"/>
      <c r="K9" s="170"/>
      <c r="L9" s="170"/>
    </row>
    <row r="10" spans="1:12" x14ac:dyDescent="0.25">
      <c r="B10" s="4" t="s">
        <v>151</v>
      </c>
      <c r="C10" s="43"/>
      <c r="D10" s="43"/>
      <c r="E10" s="44"/>
      <c r="F10" s="103">
        <f>Assumptions!F52</f>
        <v>0.87431192660550461</v>
      </c>
      <c r="G10" s="103">
        <f>Assumptions!G52</f>
        <v>0.87431192660550461</v>
      </c>
      <c r="H10" s="103">
        <f>Assumptions!H52</f>
        <v>0.87431192660550461</v>
      </c>
      <c r="I10" s="103">
        <f>Assumptions!I52</f>
        <v>0.87431192660550461</v>
      </c>
      <c r="J10" s="103">
        <f>Assumptions!J52</f>
        <v>0.87431192660550461</v>
      </c>
      <c r="K10" s="170"/>
      <c r="L10" s="170"/>
    </row>
    <row r="11" spans="1:12" x14ac:dyDescent="0.25">
      <c r="B11" s="4" t="s">
        <v>68</v>
      </c>
      <c r="C11" s="43"/>
      <c r="D11" s="43"/>
      <c r="E11" s="26"/>
      <c r="F11" s="103">
        <f>Assumptions!F53</f>
        <v>2.8075184392100879E-2</v>
      </c>
      <c r="G11" s="103">
        <f>Assumptions!G53</f>
        <v>2.8075184392100879E-2</v>
      </c>
      <c r="H11" s="103">
        <f>Assumptions!H53</f>
        <v>2.8075184392100879E-2</v>
      </c>
      <c r="I11" s="103">
        <f>Assumptions!I53</f>
        <v>2.8075184392100879E-2</v>
      </c>
      <c r="J11" s="103">
        <f>Assumptions!J53</f>
        <v>2.8075184392100879E-2</v>
      </c>
      <c r="K11" s="170"/>
      <c r="L11" s="170"/>
    </row>
    <row r="12" spans="1:12" x14ac:dyDescent="0.25">
      <c r="B12" s="4" t="s">
        <v>69</v>
      </c>
      <c r="C12" s="43"/>
      <c r="D12" s="43"/>
      <c r="E12" s="44"/>
      <c r="F12" s="255">
        <f>Assumptions!F54</f>
        <v>0.47228170354508686</v>
      </c>
      <c r="G12" s="255">
        <f>Assumptions!G54</f>
        <v>0.47228170354508686</v>
      </c>
      <c r="H12" s="255">
        <f>Assumptions!H54</f>
        <v>0.47228170354508686</v>
      </c>
      <c r="I12" s="255">
        <f>Assumptions!I54</f>
        <v>0.47228170354508686</v>
      </c>
      <c r="J12" s="255">
        <f>Assumptions!J54</f>
        <v>0.47228170354508686</v>
      </c>
      <c r="K12" s="170"/>
      <c r="L12" s="170"/>
    </row>
    <row r="13" spans="1:12" x14ac:dyDescent="0.25">
      <c r="C13" s="43"/>
      <c r="D13" s="43"/>
      <c r="E13" s="43"/>
      <c r="F13" s="104"/>
      <c r="G13" s="104"/>
      <c r="H13" s="104"/>
      <c r="I13" s="104"/>
      <c r="J13" s="104"/>
      <c r="K13" s="170"/>
      <c r="L13" s="170"/>
    </row>
    <row r="14" spans="1:12" ht="15" customHeight="1" x14ac:dyDescent="0.25">
      <c r="A14" s="178" t="s">
        <v>64</v>
      </c>
      <c r="B14" s="179"/>
      <c r="C14" s="253">
        <f t="shared" ref="C14:J14" si="2">C2</f>
        <v>2022</v>
      </c>
      <c r="D14" s="253">
        <f t="shared" si="2"/>
        <v>2023</v>
      </c>
      <c r="E14" s="253">
        <f t="shared" si="2"/>
        <v>2024</v>
      </c>
      <c r="F14" s="253">
        <f t="shared" si="2"/>
        <v>2025</v>
      </c>
      <c r="G14" s="253">
        <f t="shared" si="2"/>
        <v>2026</v>
      </c>
      <c r="H14" s="253">
        <f t="shared" si="2"/>
        <v>2027</v>
      </c>
      <c r="I14" s="253">
        <f t="shared" si="2"/>
        <v>2028</v>
      </c>
      <c r="J14" s="253">
        <f t="shared" si="2"/>
        <v>2029</v>
      </c>
      <c r="K14" s="206"/>
      <c r="L14" s="206"/>
    </row>
    <row r="15" spans="1:12" x14ac:dyDescent="0.25">
      <c r="B15" s="4" t="s">
        <v>157</v>
      </c>
      <c r="C15" s="185">
        <f>2%*IncState!C16</f>
        <v>130.1</v>
      </c>
      <c r="D15" s="185">
        <f>2%*IncState!D16</f>
        <v>140.44</v>
      </c>
      <c r="E15" s="186">
        <f>2%*IncState!E16</f>
        <v>168.12</v>
      </c>
      <c r="F15" s="4">
        <f>F4*IncState!F16</f>
        <v>187.82723830521695</v>
      </c>
      <c r="G15" s="4">
        <f>G4*IncState!G16</f>
        <v>197.20206378463894</v>
      </c>
      <c r="H15" s="4">
        <f>H4*IncState!H16</f>
        <v>206.41711187401364</v>
      </c>
      <c r="I15" s="4">
        <f>I4*IncState!I16</f>
        <v>215.39662964401708</v>
      </c>
      <c r="J15" s="4">
        <f>J4*IncState!J16</f>
        <v>224.07154680856792</v>
      </c>
    </row>
    <row r="16" spans="1:12" x14ac:dyDescent="0.25">
      <c r="B16" s="4" t="s">
        <v>158</v>
      </c>
      <c r="C16" s="185">
        <f>1178-C15</f>
        <v>1047.9000000000001</v>
      </c>
      <c r="D16" s="185">
        <f>1139-D15</f>
        <v>998.56</v>
      </c>
      <c r="E16" s="186">
        <f>1334-E15</f>
        <v>1165.8800000000001</v>
      </c>
      <c r="F16" s="4">
        <f>MAX(CashFlow!F23,0)</f>
        <v>2094.6139008486234</v>
      </c>
      <c r="G16" s="4">
        <f>MAX(CashFlow!G23,0)</f>
        <v>3457.0456063577244</v>
      </c>
      <c r="H16" s="4">
        <f>MAX(CashFlow!H23,0)</f>
        <v>4822.5289706439062</v>
      </c>
      <c r="I16" s="4">
        <f>MAX(CashFlow!I23,0)</f>
        <v>6189.9919441771999</v>
      </c>
      <c r="J16" s="4">
        <f>MAX(CashFlow!J23,0)</f>
        <v>7557.9192292753251</v>
      </c>
    </row>
    <row r="17" spans="1:12" x14ac:dyDescent="0.25">
      <c r="B17" s="4" t="s">
        <v>70</v>
      </c>
      <c r="C17" s="187">
        <v>614</v>
      </c>
      <c r="D17" s="187">
        <v>749</v>
      </c>
      <c r="E17" s="188">
        <v>698</v>
      </c>
      <c r="F17" s="4">
        <f>F5*IncState!F16</f>
        <v>779.82043978730337</v>
      </c>
      <c r="G17" s="4">
        <f>G5*IncState!G16</f>
        <v>818.74280586294299</v>
      </c>
      <c r="H17" s="4">
        <f>H5*IncState!H16</f>
        <v>857.00180875601677</v>
      </c>
      <c r="I17" s="4">
        <f>I5*IncState!I16</f>
        <v>894.28293773211954</v>
      </c>
      <c r="J17" s="4">
        <f>J5*IncState!J16</f>
        <v>930.29942703057588</v>
      </c>
    </row>
    <row r="18" spans="1:12" x14ac:dyDescent="0.25">
      <c r="B18" s="4" t="s">
        <v>71</v>
      </c>
      <c r="C18" s="187">
        <v>133</v>
      </c>
      <c r="D18" s="187">
        <v>166</v>
      </c>
      <c r="E18" s="188">
        <v>142</v>
      </c>
      <c r="F18" s="4">
        <f>F6*IncState!F16</f>
        <v>611.73091374634885</v>
      </c>
      <c r="G18" s="4">
        <f>G6*IncState!G16</f>
        <v>642.2636022343745</v>
      </c>
      <c r="H18" s="4">
        <f>H6*IncState!H16</f>
        <v>672.27591481903528</v>
      </c>
      <c r="I18" s="4">
        <f>I6*IncState!I16</f>
        <v>701.52113324427592</v>
      </c>
      <c r="J18" s="4">
        <f>J6*IncState!J16</f>
        <v>729.77430382606985</v>
      </c>
    </row>
    <row r="19" spans="1:12" x14ac:dyDescent="0.25">
      <c r="B19" s="4" t="s">
        <v>72</v>
      </c>
      <c r="C19" s="187">
        <v>123</v>
      </c>
      <c r="D19" s="187">
        <v>119</v>
      </c>
      <c r="E19" s="188">
        <v>108</v>
      </c>
      <c r="F19" s="4">
        <f>F7*IncState!F16</f>
        <v>120.65989612754836</v>
      </c>
      <c r="G19" s="4">
        <f>G7*IncState!G16</f>
        <v>126.68226795587083</v>
      </c>
      <c r="H19" s="4">
        <f>H7*IncState!H16</f>
        <v>132.60199906253553</v>
      </c>
      <c r="I19" s="4">
        <f>I7*IncState!I16</f>
        <v>138.37042589551419</v>
      </c>
      <c r="J19" s="4">
        <f>J7*IncState!J16</f>
        <v>143.94317782134982</v>
      </c>
    </row>
    <row r="20" spans="1:12" s="11" customFormat="1" x14ac:dyDescent="0.25">
      <c r="B20" s="11" t="s">
        <v>73</v>
      </c>
      <c r="C20" s="11">
        <f>SUM(C15:C19)</f>
        <v>2048</v>
      </c>
      <c r="D20" s="11">
        <f>SUM(D15:D19)</f>
        <v>2173</v>
      </c>
      <c r="E20" s="24">
        <f t="shared" ref="E20" si="3">SUM(E15:E19)</f>
        <v>2282</v>
      </c>
      <c r="F20" s="11">
        <f>SUM(F15:F19)</f>
        <v>3794.6523888150414</v>
      </c>
      <c r="G20" s="11">
        <f t="shared" ref="G20:J20" si="4">SUM(G15:G19)</f>
        <v>5241.9363461955518</v>
      </c>
      <c r="H20" s="11">
        <f t="shared" si="4"/>
        <v>6690.8258051555067</v>
      </c>
      <c r="I20" s="11">
        <f t="shared" si="4"/>
        <v>8139.5630706931261</v>
      </c>
      <c r="J20" s="11">
        <f t="shared" si="4"/>
        <v>9586.0076847618893</v>
      </c>
    </row>
    <row r="21" spans="1:12" x14ac:dyDescent="0.25">
      <c r="A21" s="7"/>
      <c r="E21" s="27"/>
      <c r="I21" s="4"/>
      <c r="J21" s="4"/>
    </row>
    <row r="22" spans="1:12" x14ac:dyDescent="0.25">
      <c r="B22" s="4" t="s">
        <v>74</v>
      </c>
      <c r="C22" s="187">
        <f>1950+1082</f>
        <v>3032</v>
      </c>
      <c r="D22" s="187">
        <f>1952+1122</f>
        <v>3074</v>
      </c>
      <c r="E22" s="188">
        <f>2236+1852</f>
        <v>4088</v>
      </c>
      <c r="F22" s="4">
        <f>Calcs!F9</f>
        <v>4025.5486396024025</v>
      </c>
      <c r="G22" s="4">
        <f>Calcs!G9</f>
        <v>4050.1359281642081</v>
      </c>
      <c r="H22" s="4">
        <f>Calcs!H9</f>
        <v>4160.3281419916257</v>
      </c>
      <c r="I22" s="4">
        <f>Calcs!I9</f>
        <v>4354.4572486474681</v>
      </c>
      <c r="J22" s="4">
        <f>Calcs!J9</f>
        <v>4630.5570546787176</v>
      </c>
    </row>
    <row r="23" spans="1:12" x14ac:dyDescent="0.25">
      <c r="B23" s="4" t="s">
        <v>159</v>
      </c>
      <c r="C23" s="187">
        <f>10991+5688</f>
        <v>16679</v>
      </c>
      <c r="D23" s="187">
        <f>11107+5775</f>
        <v>16882</v>
      </c>
      <c r="E23" s="188">
        <f>10922+5986</f>
        <v>16908</v>
      </c>
      <c r="F23" s="131">
        <f>E23-IncState!F22</f>
        <v>16908</v>
      </c>
      <c r="G23" s="131">
        <f>F23-IncState!G22</f>
        <v>16908</v>
      </c>
      <c r="H23" s="131">
        <f>G23-IncState!H22</f>
        <v>16908</v>
      </c>
      <c r="I23" s="131">
        <f>H23-IncState!I22</f>
        <v>16908</v>
      </c>
      <c r="J23" s="131">
        <f>I23-IncState!J22</f>
        <v>16908</v>
      </c>
      <c r="K23" s="131"/>
      <c r="L23" s="131"/>
    </row>
    <row r="24" spans="1:12" x14ac:dyDescent="0.25">
      <c r="B24" s="4" t="s">
        <v>160</v>
      </c>
      <c r="C24" s="187">
        <v>987</v>
      </c>
      <c r="D24" s="187">
        <v>1262</v>
      </c>
      <c r="E24" s="188">
        <f>1354</f>
        <v>1354</v>
      </c>
      <c r="F24" s="4">
        <f>F8*IncState!F16</f>
        <v>1512.7175866361156</v>
      </c>
      <c r="G24" s="4">
        <f>G8*IncState!G16</f>
        <v>1588.2202852986027</v>
      </c>
      <c r="H24" s="4">
        <f>H8*IncState!H16</f>
        <v>1662.4361734321583</v>
      </c>
      <c r="I24" s="4">
        <f>I8*IncState!I16</f>
        <v>1734.75515428265</v>
      </c>
      <c r="J24" s="4">
        <f>J8*IncState!J16</f>
        <v>1804.6209515750709</v>
      </c>
    </row>
    <row r="25" spans="1:12" s="11" customFormat="1" x14ac:dyDescent="0.25">
      <c r="B25" s="11" t="s">
        <v>75</v>
      </c>
      <c r="C25" s="11">
        <f t="shared" ref="C25:J25" si="5">SUM(C22:C24)</f>
        <v>20698</v>
      </c>
      <c r="D25" s="11">
        <f t="shared" si="5"/>
        <v>21218</v>
      </c>
      <c r="E25" s="24">
        <f t="shared" si="5"/>
        <v>22350</v>
      </c>
      <c r="F25" s="11">
        <f t="shared" si="5"/>
        <v>22446.266226238517</v>
      </c>
      <c r="G25" s="11">
        <f t="shared" ref="G25" si="6">SUM(G22:G24)</f>
        <v>22546.356213462808</v>
      </c>
      <c r="H25" s="11">
        <f t="shared" ref="H25" si="7">SUM(H22:H24)</f>
        <v>22730.764315423781</v>
      </c>
      <c r="I25" s="11">
        <f t="shared" ref="I25" si="8">SUM(I22:I24)</f>
        <v>22997.212402930119</v>
      </c>
      <c r="J25" s="11">
        <f t="shared" ref="J25" si="9">SUM(J22:J24)</f>
        <v>23343.178006253787</v>
      </c>
    </row>
    <row r="26" spans="1:12" x14ac:dyDescent="0.25">
      <c r="E26" s="27"/>
      <c r="I26" s="4"/>
      <c r="J26" s="4"/>
    </row>
    <row r="27" spans="1:12" s="11" customFormat="1" x14ac:dyDescent="0.25">
      <c r="A27" s="11" t="s">
        <v>126</v>
      </c>
      <c r="B27" s="17" t="s">
        <v>76</v>
      </c>
      <c r="C27" s="18">
        <f t="shared" ref="C27:J27" si="10">SUM(C25,C20)</f>
        <v>22746</v>
      </c>
      <c r="D27" s="18">
        <f t="shared" si="10"/>
        <v>23391</v>
      </c>
      <c r="E27" s="18">
        <f t="shared" si="10"/>
        <v>24632</v>
      </c>
      <c r="F27" s="18">
        <f t="shared" si="10"/>
        <v>26240.918615053557</v>
      </c>
      <c r="G27" s="18">
        <f t="shared" ref="G27:J27" si="11">SUM(G25,G20)</f>
        <v>27788.292559658359</v>
      </c>
      <c r="H27" s="18">
        <f t="shared" si="11"/>
        <v>29421.590120579287</v>
      </c>
      <c r="I27" s="18">
        <f t="shared" si="11"/>
        <v>31136.775473623245</v>
      </c>
      <c r="J27" s="18">
        <f t="shared" si="11"/>
        <v>32929.185691015678</v>
      </c>
    </row>
    <row r="28" spans="1:12" x14ac:dyDescent="0.25">
      <c r="A28" s="11"/>
      <c r="E28" s="27"/>
      <c r="I28" s="4"/>
      <c r="J28" s="4"/>
      <c r="K28" s="6"/>
      <c r="L28" s="6"/>
    </row>
    <row r="29" spans="1:12" x14ac:dyDescent="0.25">
      <c r="B29" s="4" t="s">
        <v>77</v>
      </c>
      <c r="C29" s="9">
        <v>0</v>
      </c>
      <c r="D29" s="9">
        <v>0</v>
      </c>
      <c r="E29" s="45">
        <v>0</v>
      </c>
      <c r="F29" s="4">
        <f>MIN(CashFlow!F23,0)</f>
        <v>0</v>
      </c>
      <c r="G29" s="4">
        <f>MIN(CashFlow!G23,0)</f>
        <v>0</v>
      </c>
      <c r="H29" s="4">
        <f>MIN(CashFlow!H23,0)</f>
        <v>0</v>
      </c>
      <c r="I29" s="4">
        <f>MIN(CashFlow!I23,0)</f>
        <v>0</v>
      </c>
      <c r="J29" s="4">
        <f>MIN(CashFlow!J23,0)</f>
        <v>0</v>
      </c>
    </row>
    <row r="30" spans="1:12" x14ac:dyDescent="0.25">
      <c r="B30" s="4" t="s">
        <v>150</v>
      </c>
      <c r="C30" s="187">
        <f>758+1001</f>
        <v>1759</v>
      </c>
      <c r="D30" s="9">
        <f>1005+790</f>
        <v>1795</v>
      </c>
      <c r="E30" s="45">
        <f>765+1141</f>
        <v>1906</v>
      </c>
      <c r="F30" s="4">
        <f>F10*IncState!F17</f>
        <v>2121.2127426695597</v>
      </c>
      <c r="G30" s="4">
        <f>G10*IncState!G17</f>
        <v>2218.465820996797</v>
      </c>
      <c r="H30" s="4">
        <f>H10*IncState!H17</f>
        <v>2313.1087827811921</v>
      </c>
      <c r="I30" s="4">
        <f>I10*IncState!I17</f>
        <v>2404.317007076711</v>
      </c>
      <c r="J30" s="4">
        <f>J10*IncState!J17</f>
        <v>2491.3534206594964</v>
      </c>
    </row>
    <row r="31" spans="1:12" x14ac:dyDescent="0.25">
      <c r="B31" s="4" t="s">
        <v>78</v>
      </c>
      <c r="C31" s="187">
        <v>230</v>
      </c>
      <c r="D31" s="9">
        <f>248</f>
        <v>248</v>
      </c>
      <c r="E31" s="45">
        <f>236</f>
        <v>236</v>
      </c>
      <c r="F31" s="4">
        <f>F11*IncState!F16</f>
        <v>263.66421746390199</v>
      </c>
      <c r="G31" s="4">
        <f>G11*IncState!G16</f>
        <v>276.82421516282881</v>
      </c>
      <c r="H31" s="4">
        <f>H11*IncState!H16</f>
        <v>289.75992387739245</v>
      </c>
      <c r="I31" s="4">
        <f>I11*IncState!I16</f>
        <v>302.36500473464213</v>
      </c>
      <c r="J31" s="4">
        <f>J11*IncState!J16</f>
        <v>314.54249968369038</v>
      </c>
    </row>
    <row r="32" spans="1:12" s="11" customFormat="1" x14ac:dyDescent="0.25">
      <c r="B32" s="11" t="s">
        <v>79</v>
      </c>
      <c r="C32" s="11">
        <f t="shared" ref="C32:E32" si="12">SUM(C29:C31)</f>
        <v>1989</v>
      </c>
      <c r="D32" s="11">
        <f t="shared" si="12"/>
        <v>2043</v>
      </c>
      <c r="E32" s="24">
        <f t="shared" si="12"/>
        <v>2142</v>
      </c>
      <c r="F32" s="11">
        <f>SUM(F29:F31)</f>
        <v>2384.8769601334616</v>
      </c>
      <c r="G32" s="11">
        <f t="shared" ref="G32:J32" si="13">SUM(G29:G31)</f>
        <v>2495.2900361596257</v>
      </c>
      <c r="H32" s="11">
        <f t="shared" si="13"/>
        <v>2602.8687066585844</v>
      </c>
      <c r="I32" s="11">
        <f t="shared" si="13"/>
        <v>2706.6820118113533</v>
      </c>
      <c r="J32" s="11">
        <f t="shared" si="13"/>
        <v>2805.8959203431868</v>
      </c>
    </row>
    <row r="33" spans="1:12" x14ac:dyDescent="0.25">
      <c r="B33" s="11"/>
      <c r="E33" s="27"/>
      <c r="I33" s="4"/>
      <c r="J33" s="4"/>
    </row>
    <row r="34" spans="1:12" x14ac:dyDescent="0.25">
      <c r="B34" s="4" t="s">
        <v>80</v>
      </c>
      <c r="C34" s="187">
        <f>127+12839</f>
        <v>12966</v>
      </c>
      <c r="D34" s="9">
        <f>12854+101</f>
        <v>12955</v>
      </c>
      <c r="E34" s="45">
        <f>13455+222</f>
        <v>13677</v>
      </c>
      <c r="F34" s="4">
        <f>Debt!F20</f>
        <v>13455</v>
      </c>
      <c r="G34" s="4">
        <f>Debt!G20</f>
        <v>13455</v>
      </c>
      <c r="H34" s="4">
        <f>Debt!H20</f>
        <v>13455</v>
      </c>
      <c r="I34" s="4">
        <f>Debt!I20</f>
        <v>13455</v>
      </c>
      <c r="J34" s="4">
        <f>Debt!J20</f>
        <v>13455</v>
      </c>
    </row>
    <row r="35" spans="1:12" x14ac:dyDescent="0.25">
      <c r="B35" s="4" t="s">
        <v>81</v>
      </c>
      <c r="C35" s="187">
        <f>311+1027+872+1313</f>
        <v>3523</v>
      </c>
      <c r="D35" s="9">
        <f>312+1059+996+1296</f>
        <v>3663</v>
      </c>
      <c r="E35" s="45">
        <f>286+1770+706+1208</f>
        <v>3970</v>
      </c>
      <c r="F35" s="4">
        <f>F12*IncState!F16</f>
        <v>4435.368403947843</v>
      </c>
      <c r="G35" s="4">
        <f>G12*IncState!G16</f>
        <v>4656.746331340807</v>
      </c>
      <c r="H35" s="4">
        <f>H12*IncState!H16</f>
        <v>4874.3512618357972</v>
      </c>
      <c r="I35" s="4">
        <f>I12*IncState!I16</f>
        <v>5086.3943593073272</v>
      </c>
      <c r="J35" s="4">
        <f>J12*IncState!J16</f>
        <v>5291.2445921366561</v>
      </c>
    </row>
    <row r="36" spans="1:12" x14ac:dyDescent="0.25">
      <c r="B36" s="11" t="s">
        <v>82</v>
      </c>
      <c r="C36" s="11">
        <f t="shared" ref="C36:E36" si="14">SUM(C34:C35)</f>
        <v>16489</v>
      </c>
      <c r="D36" s="11">
        <f t="shared" si="14"/>
        <v>16618</v>
      </c>
      <c r="E36" s="24">
        <f t="shared" si="14"/>
        <v>17647</v>
      </c>
      <c r="F36" s="11">
        <f>SUM(F34:F35)</f>
        <v>17890.368403947843</v>
      </c>
      <c r="G36" s="11">
        <f t="shared" ref="G36:J36" si="15">SUM(G34:G35)</f>
        <v>18111.746331340808</v>
      </c>
      <c r="H36" s="11">
        <f t="shared" si="15"/>
        <v>18329.351261835796</v>
      </c>
      <c r="I36" s="11">
        <f t="shared" si="15"/>
        <v>18541.394359307327</v>
      </c>
      <c r="J36" s="11">
        <f t="shared" si="15"/>
        <v>18746.244592136656</v>
      </c>
      <c r="K36" s="11"/>
      <c r="L36" s="11"/>
    </row>
    <row r="37" spans="1:12" x14ac:dyDescent="0.25">
      <c r="E37" s="27"/>
      <c r="I37" s="4"/>
      <c r="J37" s="4"/>
    </row>
    <row r="38" spans="1:12" x14ac:dyDescent="0.25">
      <c r="B38" s="4" t="s">
        <v>17</v>
      </c>
      <c r="C38" s="189">
        <v>4268</v>
      </c>
      <c r="D38" s="189">
        <v>4730</v>
      </c>
      <c r="E38" s="217">
        <v>4843</v>
      </c>
      <c r="F38" s="4">
        <f>Calcs!F17</f>
        <v>5965.6732509722551</v>
      </c>
      <c r="G38" s="4">
        <f>Calcs!G17</f>
        <v>7181.2561921579299</v>
      </c>
      <c r="H38" s="4">
        <f>Calcs!H17</f>
        <v>8489.3701520849081</v>
      </c>
      <c r="I38" s="4">
        <f>Calcs!I17</f>
        <v>9888.6991025045627</v>
      </c>
      <c r="J38" s="4">
        <f>Calcs!J17</f>
        <v>11377.045178535833</v>
      </c>
    </row>
    <row r="39" spans="1:12" s="11" customFormat="1" x14ac:dyDescent="0.25">
      <c r="A39" s="11" t="s">
        <v>126</v>
      </c>
      <c r="B39" s="17" t="s">
        <v>83</v>
      </c>
      <c r="C39" s="18">
        <f>SUM(C38,C36,C32)</f>
        <v>22746</v>
      </c>
      <c r="D39" s="18">
        <f>SUM(D38,D36,D32)</f>
        <v>23391</v>
      </c>
      <c r="E39" s="18">
        <f t="shared" ref="E39:F39" si="16">SUM(E38,E36,E32)</f>
        <v>24632</v>
      </c>
      <c r="F39" s="18">
        <f t="shared" si="16"/>
        <v>26240.918615053557</v>
      </c>
      <c r="G39" s="18">
        <f t="shared" ref="G39:J39" si="17">SUM(G38,G36,G32)</f>
        <v>27788.292559658363</v>
      </c>
      <c r="H39" s="18">
        <f t="shared" si="17"/>
        <v>29421.590120579291</v>
      </c>
      <c r="I39" s="18">
        <f t="shared" si="17"/>
        <v>31136.775473623245</v>
      </c>
      <c r="J39" s="18">
        <f t="shared" si="17"/>
        <v>32929.185691015678</v>
      </c>
    </row>
    <row r="40" spans="1:12" x14ac:dyDescent="0.25">
      <c r="E40" s="27"/>
      <c r="I40" s="4"/>
      <c r="J40" s="4"/>
      <c r="K40" s="6"/>
      <c r="L40" s="6"/>
    </row>
    <row r="41" spans="1:12" x14ac:dyDescent="0.25">
      <c r="A41" s="4" t="s">
        <v>126</v>
      </c>
      <c r="B41" s="11" t="s">
        <v>84</v>
      </c>
      <c r="C41" s="46">
        <f>C39-C27</f>
        <v>0</v>
      </c>
      <c r="D41" s="46">
        <f t="shared" ref="D41:J41" si="18">D39-D27</f>
        <v>0</v>
      </c>
      <c r="E41" s="151">
        <f t="shared" si="18"/>
        <v>0</v>
      </c>
      <c r="F41" s="46">
        <f t="shared" si="18"/>
        <v>0</v>
      </c>
      <c r="G41" s="46">
        <f t="shared" ref="G41:J41" si="19">G39-G27</f>
        <v>0</v>
      </c>
      <c r="H41" s="46">
        <f t="shared" si="19"/>
        <v>0</v>
      </c>
      <c r="I41" s="46">
        <f t="shared" si="19"/>
        <v>0</v>
      </c>
      <c r="J41" s="46">
        <f t="shared" si="19"/>
        <v>0</v>
      </c>
      <c r="K41" s="46"/>
      <c r="L41" s="46"/>
    </row>
    <row r="42" spans="1:12" x14ac:dyDescent="0.25">
      <c r="I42" s="4"/>
      <c r="J42" s="4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</sheetData>
  <conditionalFormatting sqref="F4:L13">
    <cfRule type="expression" dxfId="0" priority="36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8" t="s">
        <v>85</v>
      </c>
      <c r="B2" s="179"/>
      <c r="C2" s="184">
        <v>2022</v>
      </c>
      <c r="D2" s="184">
        <f>C2+1</f>
        <v>2023</v>
      </c>
      <c r="E2" s="184">
        <f t="shared" ref="E2:J2" si="0">D2+1</f>
        <v>2024</v>
      </c>
      <c r="F2" s="184">
        <f t="shared" si="0"/>
        <v>2025</v>
      </c>
      <c r="G2" s="184">
        <f t="shared" si="0"/>
        <v>2026</v>
      </c>
      <c r="H2" s="184">
        <f t="shared" si="0"/>
        <v>2027</v>
      </c>
      <c r="I2" s="184">
        <f t="shared" si="0"/>
        <v>2028</v>
      </c>
      <c r="J2" s="184">
        <f t="shared" si="0"/>
        <v>2029</v>
      </c>
      <c r="K2" s="206"/>
      <c r="L2" s="206"/>
    </row>
    <row r="3" spans="1:12" x14ac:dyDescent="0.25">
      <c r="B3" s="4" t="s">
        <v>155</v>
      </c>
      <c r="F3" s="4">
        <f>IncState!F34</f>
        <v>2183.5732509722552</v>
      </c>
      <c r="G3" s="4">
        <f>IncState!G34</f>
        <v>2308.382941185675</v>
      </c>
      <c r="H3" s="4">
        <f>IncState!H34</f>
        <v>2432.8139599269789</v>
      </c>
      <c r="I3" s="4">
        <f>IncState!I34</f>
        <v>2555.928950419654</v>
      </c>
      <c r="J3" s="4">
        <f>IncState!J34</f>
        <v>2676.8460760312701</v>
      </c>
    </row>
    <row r="4" spans="1:12" x14ac:dyDescent="0.25">
      <c r="B4" s="4" t="s">
        <v>15</v>
      </c>
      <c r="F4" s="4">
        <f>IncState!F21</f>
        <v>351.08392973324658</v>
      </c>
      <c r="G4" s="4">
        <f>IncState!G21</f>
        <v>345.72050776025839</v>
      </c>
      <c r="H4" s="4">
        <f>IncState!H21</f>
        <v>347.83210313446682</v>
      </c>
      <c r="I4" s="4">
        <f>IncState!I21</f>
        <v>357.29558538900102</v>
      </c>
      <c r="J4" s="4">
        <f>IncState!J21</f>
        <v>373.96770125014041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91</v>
      </c>
      <c r="F6" s="4">
        <f>Calcs!F26</f>
        <v>-341.04152783295604</v>
      </c>
      <c r="G6" s="4">
        <f>Calcs!G26</f>
        <v>25.5608241547543</v>
      </c>
      <c r="H6" s="4">
        <f>Calcs!H26</f>
        <v>24.172575825184822</v>
      </c>
      <c r="I6" s="4">
        <f>Calcs!I26</f>
        <v>22.539013148443246</v>
      </c>
      <c r="J6" s="4">
        <f>Calcs!J26</f>
        <v>20.696579561197041</v>
      </c>
    </row>
    <row r="7" spans="1:12" x14ac:dyDescent="0.25">
      <c r="B7" s="4" t="s">
        <v>229</v>
      </c>
      <c r="F7" s="4">
        <f>BalSheet!E24-BalSheet!F24</f>
        <v>-158.71758663611558</v>
      </c>
      <c r="G7" s="4">
        <f>BalSheet!F24-BalSheet!G24</f>
        <v>-75.502698662487091</v>
      </c>
      <c r="H7" s="4">
        <f>BalSheet!G24-BalSheet!H24</f>
        <v>-74.215888133555609</v>
      </c>
      <c r="I7" s="4">
        <f>BalSheet!H24-BalSheet!I24</f>
        <v>-72.318980850491698</v>
      </c>
      <c r="J7" s="4">
        <f>BalSheet!I24-BalSheet!J24</f>
        <v>-69.865797292420893</v>
      </c>
    </row>
    <row r="8" spans="1:12" x14ac:dyDescent="0.25">
      <c r="B8" s="4" t="s">
        <v>230</v>
      </c>
      <c r="F8" s="4">
        <f>BalSheet!F35-BalSheet!E35</f>
        <v>465.36840394784303</v>
      </c>
      <c r="G8" s="4">
        <f>BalSheet!G35-BalSheet!F35</f>
        <v>221.37792739296401</v>
      </c>
      <c r="H8" s="4">
        <f>BalSheet!H35-BalSheet!G35</f>
        <v>217.60493049499019</v>
      </c>
      <c r="I8" s="4">
        <f>BalSheet!I35-BalSheet!H35</f>
        <v>212.04309747153002</v>
      </c>
      <c r="J8" s="4">
        <f>BalSheet!J35-BalSheet!I35</f>
        <v>204.85023282932889</v>
      </c>
    </row>
    <row r="9" spans="1:12" s="11" customFormat="1" x14ac:dyDescent="0.25">
      <c r="B9" s="11" t="s">
        <v>231</v>
      </c>
      <c r="F9" s="11">
        <f>SUM(F3:F8)</f>
        <v>2500.2664701842732</v>
      </c>
      <c r="G9" s="11">
        <f t="shared" ref="G9:J9" si="1">SUM(G3:G8)</f>
        <v>2825.5395018311647</v>
      </c>
      <c r="H9" s="11">
        <f t="shared" si="1"/>
        <v>2948.2076812480655</v>
      </c>
      <c r="I9" s="11">
        <f t="shared" si="1"/>
        <v>3075.4876655781368</v>
      </c>
      <c r="J9" s="11">
        <f t="shared" si="1"/>
        <v>3206.4947923795153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Calcs!F7</f>
        <v>288.63256933564958</v>
      </c>
      <c r="G11" s="4">
        <f>Calcs!G7</f>
        <v>370.30779632206367</v>
      </c>
      <c r="H11" s="4">
        <f>Calcs!H7</f>
        <v>458.02431696188393</v>
      </c>
      <c r="I11" s="4">
        <f>Calcs!I7</f>
        <v>551.42469204484314</v>
      </c>
      <c r="J11" s="4">
        <f>Calcs!J7</f>
        <v>650.06750728139014</v>
      </c>
    </row>
    <row r="12" spans="1:12" s="11" customFormat="1" x14ac:dyDescent="0.25">
      <c r="B12" s="11" t="s">
        <v>232</v>
      </c>
      <c r="F12" s="11">
        <f>-F11</f>
        <v>-288.63256933564958</v>
      </c>
      <c r="G12" s="11">
        <f t="shared" ref="G12:J12" si="2">-G11</f>
        <v>-370.30779632206367</v>
      </c>
      <c r="H12" s="11">
        <f t="shared" si="2"/>
        <v>-458.02431696188393</v>
      </c>
      <c r="I12" s="11">
        <f t="shared" si="2"/>
        <v>-551.42469204484314</v>
      </c>
      <c r="J12" s="11">
        <f t="shared" si="2"/>
        <v>-650.06750728139014</v>
      </c>
    </row>
    <row r="13" spans="1:12" x14ac:dyDescent="0.25">
      <c r="I13" s="4"/>
      <c r="J13" s="4"/>
    </row>
    <row r="14" spans="1:12" x14ac:dyDescent="0.25">
      <c r="B14" s="4" t="s">
        <v>233</v>
      </c>
      <c r="F14" s="4">
        <f>-IncState!F36</f>
        <v>-1060.9000000000001</v>
      </c>
      <c r="G14" s="4">
        <f>-IncState!G36</f>
        <v>-1092.8</v>
      </c>
      <c r="H14" s="4">
        <f>-IncState!H36</f>
        <v>-1124.7</v>
      </c>
      <c r="I14" s="4">
        <f>-IncState!I36</f>
        <v>-1156.6000000000001</v>
      </c>
      <c r="J14" s="4">
        <f>-IncState!J36</f>
        <v>-1188.5</v>
      </c>
    </row>
    <row r="15" spans="1:12" x14ac:dyDescent="0.25">
      <c r="B15" s="4" t="s">
        <v>234</v>
      </c>
      <c r="F15" s="4">
        <f>SUM(Debt!F8:F9)</f>
        <v>-222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142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235</v>
      </c>
      <c r="F17" s="11">
        <f>SUM(F14:F16)</f>
        <v>-1282.9000000000001</v>
      </c>
      <c r="G17" s="11">
        <f t="shared" ref="G17:J17" si="3">SUM(G14:G16)</f>
        <v>-1092.8</v>
      </c>
      <c r="H17" s="11">
        <f t="shared" si="3"/>
        <v>-1124.7</v>
      </c>
      <c r="I17" s="11">
        <f t="shared" si="3"/>
        <v>-1156.6000000000001</v>
      </c>
      <c r="J17" s="11">
        <f t="shared" si="3"/>
        <v>-1188.5</v>
      </c>
    </row>
    <row r="18" spans="2:10" x14ac:dyDescent="0.25">
      <c r="I18" s="4"/>
      <c r="J18" s="4"/>
    </row>
    <row r="19" spans="2:10" x14ac:dyDescent="0.25">
      <c r="B19" s="4" t="s">
        <v>236</v>
      </c>
      <c r="F19" s="4">
        <f>SUM(F17,F12,F9)</f>
        <v>928.73390084862353</v>
      </c>
      <c r="G19" s="4">
        <f t="shared" ref="G19:J19" si="4">SUM(G17,G12,G9)</f>
        <v>1362.431705509101</v>
      </c>
      <c r="H19" s="4">
        <f t="shared" si="4"/>
        <v>1365.4833642861815</v>
      </c>
      <c r="I19" s="4">
        <f t="shared" si="4"/>
        <v>1367.4629735332935</v>
      </c>
      <c r="J19" s="4">
        <f t="shared" si="4"/>
        <v>1367.9272850981251</v>
      </c>
    </row>
    <row r="20" spans="2:10" x14ac:dyDescent="0.25">
      <c r="I20" s="4"/>
      <c r="J20" s="4"/>
    </row>
    <row r="21" spans="2:10" x14ac:dyDescent="0.25">
      <c r="B21" s="4" t="s">
        <v>237</v>
      </c>
      <c r="F21" s="4">
        <f>BalSheet!E16</f>
        <v>1165.8800000000001</v>
      </c>
      <c r="G21" s="4">
        <f>BalSheet!F16</f>
        <v>2094.6139008486234</v>
      </c>
      <c r="H21" s="4">
        <f>BalSheet!G16</f>
        <v>3457.0456063577244</v>
      </c>
      <c r="I21" s="4">
        <f>BalSheet!H16</f>
        <v>4822.5289706439062</v>
      </c>
      <c r="J21" s="4">
        <f>BalSheet!I16</f>
        <v>6189.9919441771999</v>
      </c>
    </row>
    <row r="22" spans="2:10" x14ac:dyDescent="0.25">
      <c r="B22" s="4" t="str">
        <f>B19</f>
        <v>Net changes In cash</v>
      </c>
      <c r="F22" s="4">
        <f>F19</f>
        <v>928.73390084862353</v>
      </c>
      <c r="G22" s="4">
        <f t="shared" ref="G22:J22" si="5">G19</f>
        <v>1362.431705509101</v>
      </c>
      <c r="H22" s="4">
        <f t="shared" si="5"/>
        <v>1365.4833642861815</v>
      </c>
      <c r="I22" s="4">
        <f t="shared" si="5"/>
        <v>1367.4629735332935</v>
      </c>
      <c r="J22" s="4">
        <f t="shared" si="5"/>
        <v>1367.9272850981251</v>
      </c>
    </row>
    <row r="23" spans="2:10" x14ac:dyDescent="0.25">
      <c r="B23" s="4" t="s">
        <v>238</v>
      </c>
      <c r="F23" s="4">
        <f>SUM(F21:F22)</f>
        <v>2094.6139008486234</v>
      </c>
      <c r="G23" s="4">
        <f t="shared" ref="G23:J23" si="6">SUM(G21:G22)</f>
        <v>3457.0456063577244</v>
      </c>
      <c r="H23" s="4">
        <f t="shared" si="6"/>
        <v>4822.5289706439062</v>
      </c>
      <c r="I23" s="4">
        <f t="shared" si="6"/>
        <v>6189.9919441771999</v>
      </c>
      <c r="J23" s="4">
        <f t="shared" si="6"/>
        <v>7557.9192292753251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1"/>
  <sheetViews>
    <sheetView showGridLines="0" zoomScaleNormal="100" workbookViewId="0">
      <selection activeCell="F21" sqref="F2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4" t="str">
        <f>CoName</f>
        <v>Resturant Brands International Inc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8" t="s">
        <v>88</v>
      </c>
      <c r="B2" s="179"/>
      <c r="C2" s="184">
        <v>2022</v>
      </c>
      <c r="D2" s="184">
        <f>C2+1</f>
        <v>2023</v>
      </c>
      <c r="E2" s="184">
        <f t="shared" ref="E2:J2" si="0">D2+1</f>
        <v>2024</v>
      </c>
      <c r="F2" s="184">
        <f t="shared" si="0"/>
        <v>2025</v>
      </c>
      <c r="G2" s="184">
        <f t="shared" si="0"/>
        <v>2026</v>
      </c>
      <c r="H2" s="184">
        <f t="shared" si="0"/>
        <v>2027</v>
      </c>
      <c r="I2" s="184">
        <f t="shared" si="0"/>
        <v>2028</v>
      </c>
      <c r="J2" s="184">
        <f t="shared" si="0"/>
        <v>2029</v>
      </c>
      <c r="K2" s="206"/>
      <c r="L2" s="206"/>
    </row>
    <row r="3" spans="1:12" x14ac:dyDescent="0.25">
      <c r="A3" s="11" t="s">
        <v>126</v>
      </c>
      <c r="B3" s="4" t="s">
        <v>89</v>
      </c>
      <c r="D3" s="236"/>
      <c r="E3" s="23"/>
      <c r="F3" s="237">
        <f>IncState!F16</f>
        <v>9391.361915260848</v>
      </c>
      <c r="G3" s="237">
        <f>IncState!G16</f>
        <v>9860.1031892319461</v>
      </c>
      <c r="H3" s="237">
        <f>IncState!H16</f>
        <v>10320.855593700682</v>
      </c>
      <c r="I3" s="237">
        <f>IncState!I16</f>
        <v>10769.831482200854</v>
      </c>
      <c r="J3" s="237">
        <f>IncState!J16</f>
        <v>11203.577340428395</v>
      </c>
      <c r="K3" s="214"/>
      <c r="L3" s="214"/>
    </row>
    <row r="4" spans="1:12" x14ac:dyDescent="0.25">
      <c r="B4" s="4" t="s">
        <v>55</v>
      </c>
      <c r="E4" s="27"/>
      <c r="F4" s="4">
        <f>IncState!F19</f>
        <v>2721.3409528355169</v>
      </c>
      <c r="G4" s="4">
        <f>IncState!G19</f>
        <v>2876.8886181759226</v>
      </c>
      <c r="H4" s="4">
        <f>IncState!H19</f>
        <v>3031.9643533054768</v>
      </c>
      <c r="I4" s="4">
        <f>IncState!I19</f>
        <v>3185.3999503876876</v>
      </c>
      <c r="J4" s="4">
        <f>IncState!J19</f>
        <v>3336.0963951621106</v>
      </c>
    </row>
    <row r="5" spans="1:12" x14ac:dyDescent="0.25">
      <c r="B5" s="30" t="s">
        <v>94</v>
      </c>
      <c r="C5" s="30"/>
      <c r="D5" s="30"/>
      <c r="E5" s="39"/>
      <c r="F5" s="43">
        <f>Assumptions!F16</f>
        <v>0.19761129207383279</v>
      </c>
      <c r="G5" s="43">
        <f>Assumptions!G16</f>
        <v>0.19761129207383279</v>
      </c>
      <c r="H5" s="43">
        <f>Assumptions!H16</f>
        <v>0.19761129207383279</v>
      </c>
      <c r="I5" s="43">
        <f>Assumptions!I16</f>
        <v>0.19761129207383279</v>
      </c>
      <c r="J5" s="43">
        <f>Assumptions!J16</f>
        <v>0.19761129207383279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1"/>
      <c r="L6" s="171"/>
    </row>
    <row r="7" spans="1:12" x14ac:dyDescent="0.25">
      <c r="A7" s="24" t="s">
        <v>126</v>
      </c>
      <c r="B7" s="21" t="s">
        <v>90</v>
      </c>
      <c r="C7" s="118"/>
      <c r="D7" s="118"/>
      <c r="E7" s="118"/>
      <c r="F7" s="133">
        <f t="shared" ref="F7:J7" si="1">F4*(1-F5)</f>
        <v>2183.5732509722552</v>
      </c>
      <c r="G7" s="133">
        <f t="shared" ref="G7:J7" si="2">G4*(1-G5)</f>
        <v>2308.382941185675</v>
      </c>
      <c r="H7" s="133">
        <f t="shared" si="2"/>
        <v>2432.8139599269789</v>
      </c>
      <c r="I7" s="133">
        <f t="shared" si="2"/>
        <v>2555.928950419654</v>
      </c>
      <c r="J7" s="133">
        <f t="shared" si="2"/>
        <v>2676.8460760312701</v>
      </c>
      <c r="K7" s="214"/>
      <c r="L7" s="214"/>
    </row>
    <row r="8" spans="1:12" x14ac:dyDescent="0.25">
      <c r="B8" s="4" t="s">
        <v>15</v>
      </c>
      <c r="C8" s="118"/>
      <c r="D8" s="118"/>
      <c r="E8" s="119"/>
      <c r="F8" s="134">
        <f>CashFlow!F4</f>
        <v>351.08392973324658</v>
      </c>
      <c r="G8" s="134">
        <f>CashFlow!G4</f>
        <v>345.72050776025839</v>
      </c>
      <c r="H8" s="134">
        <f>CashFlow!H4</f>
        <v>347.83210313446682</v>
      </c>
      <c r="I8" s="134">
        <f>CashFlow!I4</f>
        <v>357.29558538900102</v>
      </c>
      <c r="J8" s="134">
        <f>CashFlow!J4</f>
        <v>373.96770125014041</v>
      </c>
      <c r="K8" s="213"/>
      <c r="L8" s="213"/>
    </row>
    <row r="9" spans="1:12" x14ac:dyDescent="0.25">
      <c r="B9" s="4" t="s">
        <v>54</v>
      </c>
      <c r="C9" s="5"/>
      <c r="D9" s="5"/>
      <c r="E9" s="23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213"/>
      <c r="L9" s="213"/>
    </row>
    <row r="10" spans="1:12" x14ac:dyDescent="0.25">
      <c r="B10" s="4" t="s">
        <v>91</v>
      </c>
      <c r="C10" s="5"/>
      <c r="D10" s="5"/>
      <c r="E10" s="23"/>
      <c r="F10" s="135">
        <f>CashFlow!F6</f>
        <v>-341.04152783295604</v>
      </c>
      <c r="G10" s="135">
        <f>CashFlow!G6</f>
        <v>25.5608241547543</v>
      </c>
      <c r="H10" s="135">
        <f>CashFlow!H6</f>
        <v>24.172575825184822</v>
      </c>
      <c r="I10" s="135">
        <f>CashFlow!I6</f>
        <v>22.539013148443246</v>
      </c>
      <c r="J10" s="135">
        <f>CashFlow!J6</f>
        <v>20.696579561197041</v>
      </c>
      <c r="K10" s="213"/>
      <c r="L10" s="213"/>
    </row>
    <row r="11" spans="1:12" x14ac:dyDescent="0.25">
      <c r="B11" s="4" t="s">
        <v>162</v>
      </c>
      <c r="C11" s="5"/>
      <c r="D11" s="5"/>
      <c r="E11" s="23"/>
      <c r="F11" s="135">
        <f>CashFlow!F7</f>
        <v>-158.71758663611558</v>
      </c>
      <c r="G11" s="135">
        <f>CashFlow!G7</f>
        <v>-75.502698662487091</v>
      </c>
      <c r="H11" s="135">
        <f>CashFlow!H7</f>
        <v>-74.215888133555609</v>
      </c>
      <c r="I11" s="135">
        <f>CashFlow!I7</f>
        <v>-72.318980850491698</v>
      </c>
      <c r="J11" s="135">
        <f>CashFlow!J7</f>
        <v>-69.865797292420893</v>
      </c>
      <c r="K11" s="213"/>
      <c r="L11" s="213"/>
    </row>
    <row r="12" spans="1:12" x14ac:dyDescent="0.25">
      <c r="B12" s="4" t="s">
        <v>163</v>
      </c>
      <c r="E12" s="27"/>
      <c r="F12" s="135">
        <f>CashFlow!F8</f>
        <v>465.36840394784303</v>
      </c>
      <c r="G12" s="135">
        <f>CashFlow!G8</f>
        <v>221.37792739296401</v>
      </c>
      <c r="H12" s="135">
        <f>CashFlow!H8</f>
        <v>217.60493049499019</v>
      </c>
      <c r="I12" s="135">
        <f>CashFlow!I8</f>
        <v>212.04309747153002</v>
      </c>
      <c r="J12" s="135">
        <f>CashFlow!J8</f>
        <v>204.85023282932889</v>
      </c>
      <c r="K12" s="213"/>
      <c r="L12" s="213"/>
    </row>
    <row r="13" spans="1:12" x14ac:dyDescent="0.25">
      <c r="B13" s="4" t="s">
        <v>92</v>
      </c>
      <c r="E13" s="27"/>
      <c r="F13" s="131">
        <f>CashFlow!F12</f>
        <v>-288.63256933564958</v>
      </c>
      <c r="G13" s="131">
        <f>CashFlow!G12</f>
        <v>-370.30779632206367</v>
      </c>
      <c r="H13" s="131">
        <f>CashFlow!H12</f>
        <v>-458.02431696188393</v>
      </c>
      <c r="I13" s="131">
        <f>CashFlow!I12</f>
        <v>-551.42469204484314</v>
      </c>
      <c r="J13" s="131">
        <f>CashFlow!J12</f>
        <v>-650.06750728139014</v>
      </c>
      <c r="K13" s="131"/>
      <c r="L13" s="131"/>
    </row>
    <row r="14" spans="1:12" x14ac:dyDescent="0.25">
      <c r="E14" s="63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126</v>
      </c>
      <c r="B15" s="34" t="s">
        <v>93</v>
      </c>
      <c r="C15" s="34"/>
      <c r="D15" s="34"/>
      <c r="E15" s="34"/>
      <c r="F15" s="34">
        <f>SUM(F7:F13)</f>
        <v>2211.6339008486239</v>
      </c>
      <c r="G15" s="34">
        <f t="shared" ref="G15:J15" si="3">SUM(G7:G13)</f>
        <v>2455.2317055091012</v>
      </c>
      <c r="H15" s="34">
        <f t="shared" si="3"/>
        <v>2490.1833642861816</v>
      </c>
      <c r="I15" s="34">
        <f t="shared" si="3"/>
        <v>2524.0629735332936</v>
      </c>
      <c r="J15" s="34">
        <f t="shared" si="3"/>
        <v>2556.4272850981251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66"/>
      <c r="J16" s="66"/>
    </row>
    <row r="17" spans="1:10" s="309" customFormat="1" x14ac:dyDescent="0.25">
      <c r="A17" s="308"/>
      <c r="B17" s="309" t="s">
        <v>239</v>
      </c>
      <c r="C17" s="310"/>
      <c r="D17" s="310"/>
      <c r="E17" s="310"/>
      <c r="F17" s="310">
        <f>SUM(BalSheet!F15,BalSheet!F17:F19,BalSheet!F22:F24)</f>
        <v>24146.304714204933</v>
      </c>
      <c r="G17" s="310">
        <f>SUM(BalSheet!G15,BalSheet!G17:G19,BalSheet!G22:G24)</f>
        <v>24331.246953300637</v>
      </c>
      <c r="H17" s="310">
        <f>SUM(BalSheet!H15,BalSheet!H17:H19,BalSheet!H22:H24)</f>
        <v>24599.061149935384</v>
      </c>
      <c r="I17" s="310">
        <f>SUM(BalSheet!I15,BalSheet!I17:I19,BalSheet!I22:I24)</f>
        <v>24946.783529446046</v>
      </c>
      <c r="J17" s="310">
        <f>SUM(BalSheet!J15,BalSheet!J17:J19,BalSheet!J22:J24)</f>
        <v>25371.266461740353</v>
      </c>
    </row>
    <row r="18" spans="1:10" s="309" customFormat="1" x14ac:dyDescent="0.25">
      <c r="A18" s="308"/>
      <c r="B18" s="309" t="s">
        <v>240</v>
      </c>
      <c r="F18" s="309">
        <f>SUM(BalSheet!F30:F31)</f>
        <v>2384.8769601334616</v>
      </c>
      <c r="G18" s="309">
        <f>SUM(BalSheet!G30:G31)</f>
        <v>2495.2900361596257</v>
      </c>
      <c r="H18" s="309">
        <f>SUM(BalSheet!H30:H31)</f>
        <v>2602.8687066585844</v>
      </c>
      <c r="I18" s="309">
        <f>SUM(BalSheet!I30:I31)</f>
        <v>2706.6820118113533</v>
      </c>
      <c r="J18" s="309">
        <f>SUM(BalSheet!J30:J31)</f>
        <v>2805.8959203431868</v>
      </c>
    </row>
    <row r="19" spans="1:10" s="309" customFormat="1" x14ac:dyDescent="0.25">
      <c r="A19" s="308"/>
      <c r="B19" s="309" t="s">
        <v>242</v>
      </c>
      <c r="F19" s="309">
        <f>F17-F18</f>
        <v>21761.427754071472</v>
      </c>
      <c r="G19" s="309">
        <f t="shared" ref="G19:J19" si="4">G17-G18</f>
        <v>21835.956917141011</v>
      </c>
      <c r="H19" s="309">
        <f t="shared" si="4"/>
        <v>21996.192443276799</v>
      </c>
      <c r="I19" s="309">
        <f t="shared" si="4"/>
        <v>22240.101517634692</v>
      </c>
      <c r="J19" s="309">
        <f t="shared" si="4"/>
        <v>22565.370541397166</v>
      </c>
    </row>
    <row r="20" spans="1:10" s="190" customFormat="1" x14ac:dyDescent="0.25">
      <c r="A20" s="311"/>
      <c r="B20" s="190" t="s">
        <v>241</v>
      </c>
      <c r="F20" s="190">
        <f>F7/F19</f>
        <v>0.10034145165699056</v>
      </c>
      <c r="G20" s="190">
        <f t="shared" ref="G20:J20" si="5">G7/G19</f>
        <v>0.10571475983146024</v>
      </c>
      <c r="H20" s="190">
        <f t="shared" si="5"/>
        <v>0.11060159462600881</v>
      </c>
      <c r="I20" s="190">
        <f t="shared" si="5"/>
        <v>0.11492433829013769</v>
      </c>
      <c r="J20" s="190">
        <f t="shared" si="5"/>
        <v>0.11862628495820524</v>
      </c>
    </row>
    <row r="21" spans="1:10" x14ac:dyDescent="0.25">
      <c r="C21" s="5"/>
      <c r="D21" s="5"/>
      <c r="E21" s="5"/>
      <c r="F21" s="5"/>
      <c r="G21" s="5"/>
      <c r="H21" s="5"/>
    </row>
    <row r="29" spans="1:10" x14ac:dyDescent="0.25">
      <c r="C29" s="5"/>
      <c r="D29" s="5"/>
      <c r="E29" s="5"/>
      <c r="F29" s="5"/>
      <c r="G29" s="5"/>
      <c r="H29" s="5"/>
    </row>
    <row r="30" spans="1:10" x14ac:dyDescent="0.25">
      <c r="C30" s="5"/>
      <c r="D30" s="5"/>
      <c r="E30" s="5"/>
      <c r="F30" s="5"/>
      <c r="G30" s="5"/>
      <c r="H30" s="5"/>
    </row>
    <row r="31" spans="1:10" x14ac:dyDescent="0.25">
      <c r="C31" s="5"/>
      <c r="D31" s="5"/>
      <c r="E31" s="5"/>
      <c r="F31" s="5"/>
      <c r="G31" s="5"/>
      <c r="H31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4" t="str">
        <f>CoName</f>
        <v>Resturant Brands International Inc</v>
      </c>
    </row>
    <row r="2" spans="1:13" x14ac:dyDescent="0.25">
      <c r="G2" s="146"/>
    </row>
    <row r="3" spans="1:13" x14ac:dyDescent="0.25">
      <c r="A3" s="27" t="s">
        <v>126</v>
      </c>
      <c r="B3" s="161" t="s">
        <v>102</v>
      </c>
      <c r="C3" s="162"/>
      <c r="D3" s="162"/>
      <c r="E3" s="163"/>
      <c r="F3" s="11"/>
      <c r="G3" s="77" t="s">
        <v>110</v>
      </c>
      <c r="H3" s="77" t="s">
        <v>105</v>
      </c>
      <c r="I3" s="77" t="s">
        <v>106</v>
      </c>
      <c r="J3" s="77" t="s">
        <v>107</v>
      </c>
      <c r="K3" s="77" t="s">
        <v>108</v>
      </c>
      <c r="L3" s="77" t="s">
        <v>113</v>
      </c>
      <c r="M3" s="77" t="s">
        <v>109</v>
      </c>
    </row>
    <row r="4" spans="1:13" x14ac:dyDescent="0.25">
      <c r="A4" s="27"/>
      <c r="B4" s="256" t="s">
        <v>164</v>
      </c>
      <c r="C4" s="67"/>
      <c r="D4" s="72"/>
      <c r="E4" s="257">
        <f>Assumptions!F16</f>
        <v>0.19761129207383279</v>
      </c>
      <c r="G4" s="138"/>
      <c r="H4" s="139"/>
      <c r="I4" s="80"/>
      <c r="J4" s="81"/>
      <c r="K4" s="141"/>
      <c r="L4" s="152">
        <f>E4</f>
        <v>0.19761129207383279</v>
      </c>
      <c r="M4" s="142">
        <f>H4/((1+K4*(1-L4)))</f>
        <v>0</v>
      </c>
    </row>
    <row r="5" spans="1:13" x14ac:dyDescent="0.25">
      <c r="A5" s="27"/>
      <c r="B5" s="67" t="s">
        <v>95</v>
      </c>
      <c r="C5" s="67"/>
      <c r="D5" s="72"/>
      <c r="E5" s="137">
        <v>4.1000000000000002E-2</v>
      </c>
      <c r="G5" s="138"/>
      <c r="H5" s="139"/>
      <c r="I5" s="80"/>
      <c r="J5" s="81"/>
      <c r="K5" s="141"/>
      <c r="L5" s="152">
        <f>L4</f>
        <v>0.19761129207383279</v>
      </c>
      <c r="M5" s="142">
        <f t="shared" ref="M5:M7" si="0">H5/((1+K5*(1-L5)))</f>
        <v>0</v>
      </c>
    </row>
    <row r="6" spans="1:13" x14ac:dyDescent="0.25">
      <c r="A6" s="27"/>
      <c r="B6" s="67" t="s">
        <v>96</v>
      </c>
      <c r="C6" s="67"/>
      <c r="D6" s="72"/>
      <c r="E6" s="137">
        <v>0.05</v>
      </c>
      <c r="G6" s="138"/>
      <c r="H6" s="140"/>
      <c r="I6" s="82"/>
      <c r="J6" s="81"/>
      <c r="K6" s="141"/>
      <c r="L6" s="152">
        <f t="shared" ref="L6:L7" si="1">L5</f>
        <v>0.19761129207383279</v>
      </c>
      <c r="M6" s="142">
        <f t="shared" si="0"/>
        <v>0</v>
      </c>
    </row>
    <row r="7" spans="1:13" x14ac:dyDescent="0.25">
      <c r="A7" s="27"/>
      <c r="B7" s="67" t="s">
        <v>97</v>
      </c>
      <c r="C7" s="67"/>
      <c r="D7" s="72"/>
      <c r="E7" s="219">
        <v>0.82</v>
      </c>
      <c r="G7" s="138"/>
      <c r="H7" s="140"/>
      <c r="I7" s="82"/>
      <c r="J7" s="83"/>
      <c r="K7" s="141"/>
      <c r="L7" s="152">
        <f t="shared" si="1"/>
        <v>0.19761129207383279</v>
      </c>
      <c r="M7" s="142">
        <f t="shared" si="0"/>
        <v>0</v>
      </c>
    </row>
    <row r="8" spans="1:13" x14ac:dyDescent="0.25">
      <c r="A8" s="27"/>
      <c r="B8" s="67" t="s">
        <v>98</v>
      </c>
      <c r="C8" s="67"/>
      <c r="D8" s="72"/>
      <c r="E8" s="137">
        <f>E5+E6*E7</f>
        <v>8.2000000000000003E-2</v>
      </c>
      <c r="L8" s="66"/>
    </row>
    <row r="9" spans="1:13" x14ac:dyDescent="0.25">
      <c r="A9" s="27"/>
      <c r="B9" s="68" t="s">
        <v>99</v>
      </c>
      <c r="C9" s="68"/>
      <c r="D9" s="73"/>
      <c r="E9" s="143">
        <f>1-E10</f>
        <v>0.59488199584092816</v>
      </c>
      <c r="G9" s="4" t="s">
        <v>111</v>
      </c>
      <c r="L9" s="27"/>
      <c r="M9" s="218">
        <f>AVERAGE(M4:M7)</f>
        <v>0</v>
      </c>
    </row>
    <row r="10" spans="1:13" x14ac:dyDescent="0.25">
      <c r="A10" s="27"/>
      <c r="B10" s="69" t="s">
        <v>100</v>
      </c>
      <c r="C10" s="69"/>
      <c r="D10" s="74"/>
      <c r="E10" s="144">
        <f>MAIN!F8/MAIN!F6</f>
        <v>0.40511800415907179</v>
      </c>
      <c r="M10" s="66"/>
    </row>
    <row r="11" spans="1:13" x14ac:dyDescent="0.25">
      <c r="A11" s="27"/>
      <c r="B11" s="160" t="s">
        <v>176</v>
      </c>
      <c r="C11" s="70"/>
      <c r="D11" s="75"/>
      <c r="E11" s="145">
        <f>Assumptions!F24</f>
        <v>4.4999999999999998E-2</v>
      </c>
      <c r="G11" s="4" t="s">
        <v>112</v>
      </c>
      <c r="L11" s="27"/>
      <c r="M11" s="218">
        <f>M9*(1+E10*(1-E4))</f>
        <v>0</v>
      </c>
    </row>
    <row r="12" spans="1:13" x14ac:dyDescent="0.25">
      <c r="A12" s="27"/>
      <c r="B12" s="71" t="s">
        <v>101</v>
      </c>
      <c r="C12" s="71"/>
      <c r="D12" s="76"/>
      <c r="E12" s="145">
        <f>E11*(1-E4)</f>
        <v>3.6107491856677526E-2</v>
      </c>
      <c r="M12" s="66"/>
    </row>
    <row r="13" spans="1:13" s="11" customFormat="1" x14ac:dyDescent="0.25">
      <c r="A13" s="24" t="s">
        <v>126</v>
      </c>
      <c r="B13" s="161" t="s">
        <v>102</v>
      </c>
      <c r="C13" s="162"/>
      <c r="D13" s="163"/>
      <c r="E13" s="157">
        <f>WACC!E8*WACC!E9+WACC!E12*WACC!E10</f>
        <v>6.340811869512325E-2</v>
      </c>
      <c r="F13" s="4"/>
    </row>
    <row r="14" spans="1:13" s="11" customFormat="1" x14ac:dyDescent="0.25">
      <c r="A14" s="24"/>
      <c r="B14" s="77" t="s">
        <v>103</v>
      </c>
      <c r="C14" s="77"/>
      <c r="D14" s="113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K13" sqref="K1:K13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3" width="11.7109375" style="4" customWidth="1"/>
    <col min="14" max="16384" width="9" style="4"/>
  </cols>
  <sheetData>
    <row r="1" spans="1:14" ht="19.5" x14ac:dyDescent="0.3">
      <c r="A1" s="254" t="str">
        <f>CoName</f>
        <v>Resturant Brands International Inc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114</v>
      </c>
      <c r="B2" s="19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158"/>
      <c r="J2" s="158"/>
      <c r="K2" s="158"/>
      <c r="L2" s="158"/>
      <c r="M2" s="158"/>
      <c r="N2" s="158"/>
    </row>
    <row r="3" spans="1:14" x14ac:dyDescent="0.25">
      <c r="B3" s="4" t="s">
        <v>181</v>
      </c>
      <c r="D3" s="8">
        <f>1/(1+$K$17)^D2</f>
        <v>0.94037273406100241</v>
      </c>
      <c r="E3" s="8">
        <f t="shared" ref="E3:H3" si="1">1/(1+$K$17)^E2</f>
        <v>0.8843008789653648</v>
      </c>
      <c r="F3" s="8">
        <f t="shared" si="1"/>
        <v>0.83157243528520763</v>
      </c>
      <c r="G3" s="8">
        <f t="shared" si="1"/>
        <v>0.78198804453891668</v>
      </c>
      <c r="H3" s="8">
        <f t="shared" si="1"/>
        <v>0.73536023544607809</v>
      </c>
      <c r="I3" s="8"/>
      <c r="J3" s="8"/>
      <c r="K3" s="8"/>
    </row>
    <row r="4" spans="1:14" x14ac:dyDescent="0.25">
      <c r="B4" s="4" t="s">
        <v>182</v>
      </c>
      <c r="D4" s="4">
        <f>D3*'Free Cash Flow'!F15</f>
        <v>2079.7602180830204</v>
      </c>
      <c r="E4" s="4">
        <f>E3*'Free Cash Flow'!G15</f>
        <v>2171.1635552453299</v>
      </c>
      <c r="F4" s="4">
        <f>F3*'Free Cash Flow'!H15</f>
        <v>2070.7678445461715</v>
      </c>
      <c r="G4" s="4">
        <f>G3*'Free Cash Flow'!I15</f>
        <v>1973.7870689663837</v>
      </c>
      <c r="H4" s="4">
        <f>H3*'Free Cash Flow'!J15</f>
        <v>1879.8949702705354</v>
      </c>
      <c r="I4" s="4">
        <f>(H4*(1+K18))/(K17-K18)</f>
        <v>50168.881215521753</v>
      </c>
    </row>
    <row r="5" spans="1:14" x14ac:dyDescent="0.25">
      <c r="G5" s="146"/>
    </row>
    <row r="6" spans="1:14" x14ac:dyDescent="0.25">
      <c r="A6" s="77" t="s">
        <v>115</v>
      </c>
      <c r="B6" s="19"/>
      <c r="C6" s="42"/>
      <c r="D6" s="86"/>
      <c r="E6" s="77" t="s">
        <v>169</v>
      </c>
      <c r="F6" s="19"/>
      <c r="G6" s="42"/>
      <c r="H6" s="86" t="s">
        <v>165</v>
      </c>
      <c r="I6" s="77" t="s">
        <v>247</v>
      </c>
      <c r="J6" s="19"/>
      <c r="K6" s="42"/>
    </row>
    <row r="7" spans="1:14" x14ac:dyDescent="0.25">
      <c r="B7" s="4" t="s">
        <v>116</v>
      </c>
      <c r="C7" s="4">
        <f>SUM(D4:H4)</f>
        <v>10175.37365711144</v>
      </c>
      <c r="E7" s="4" t="s">
        <v>116</v>
      </c>
      <c r="G7" s="4">
        <f>C7</f>
        <v>10175.37365711144</v>
      </c>
      <c r="I7" s="4" t="s">
        <v>248</v>
      </c>
      <c r="K7" s="4">
        <f>IncState!J36</f>
        <v>1188.5</v>
      </c>
    </row>
    <row r="8" spans="1:14" x14ac:dyDescent="0.25">
      <c r="B8" s="4" t="s">
        <v>117</v>
      </c>
      <c r="C8" s="4">
        <f>I4*H3</f>
        <v>36892.200302712401</v>
      </c>
      <c r="E8" s="4" t="s">
        <v>170</v>
      </c>
      <c r="G8" s="4">
        <f>G10*H3*IncState!J23</f>
        <v>40923.504111866307</v>
      </c>
      <c r="I8" s="4" t="s">
        <v>123</v>
      </c>
      <c r="K8" s="4">
        <f>K7/(K17-K18)</f>
        <v>30943.97852272067</v>
      </c>
    </row>
    <row r="9" spans="1:14" x14ac:dyDescent="0.25">
      <c r="B9" s="4" t="s">
        <v>118</v>
      </c>
      <c r="C9" s="4">
        <f>SUM(C7:C8)</f>
        <v>47067.573959823843</v>
      </c>
      <c r="E9" s="4" t="s">
        <v>118</v>
      </c>
      <c r="G9" s="4">
        <f>SUM(G7:G8)</f>
        <v>51098.877768977749</v>
      </c>
    </row>
    <row r="10" spans="1:14" x14ac:dyDescent="0.25">
      <c r="C10" s="85"/>
      <c r="E10" s="4" t="s">
        <v>119</v>
      </c>
      <c r="G10" s="85">
        <v>15</v>
      </c>
      <c r="I10" s="4" t="s">
        <v>124</v>
      </c>
      <c r="K10" s="4">
        <f>G17</f>
        <v>454.79500000000002</v>
      </c>
    </row>
    <row r="11" spans="1:14" x14ac:dyDescent="0.25">
      <c r="I11" s="148" t="s">
        <v>125</v>
      </c>
      <c r="J11" s="155"/>
      <c r="K11" s="156">
        <f>K8/K10</f>
        <v>68.039399119868662</v>
      </c>
    </row>
    <row r="12" spans="1:14" x14ac:dyDescent="0.25">
      <c r="B12" s="27" t="s">
        <v>120</v>
      </c>
      <c r="C12" s="37">
        <f>MAIN!F7</f>
        <v>1206</v>
      </c>
      <c r="E12" s="27" t="s">
        <v>120</v>
      </c>
      <c r="F12" s="155"/>
      <c r="G12" s="37">
        <f>C12</f>
        <v>1206</v>
      </c>
      <c r="I12" s="158"/>
    </row>
    <row r="13" spans="1:14" x14ac:dyDescent="0.25">
      <c r="B13" s="27" t="s">
        <v>121</v>
      </c>
      <c r="C13" s="37">
        <f>MAIN!F8</f>
        <v>13531</v>
      </c>
      <c r="E13" s="27" t="s">
        <v>121</v>
      </c>
      <c r="F13" s="155"/>
      <c r="G13" s="37">
        <f t="shared" ref="G13:G14" si="2">C13</f>
        <v>13531</v>
      </c>
    </row>
    <row r="14" spans="1:14" x14ac:dyDescent="0.25">
      <c r="B14" s="27" t="s">
        <v>122</v>
      </c>
      <c r="C14" s="79">
        <v>0</v>
      </c>
      <c r="E14" s="4" t="s">
        <v>122</v>
      </c>
      <c r="G14" s="79">
        <f t="shared" si="2"/>
        <v>0</v>
      </c>
    </row>
    <row r="15" spans="1:14" x14ac:dyDescent="0.25">
      <c r="B15" s="4" t="s">
        <v>123</v>
      </c>
      <c r="C15" s="66">
        <f>C9+C12-SUM(C13:C14)</f>
        <v>34742.573959823843</v>
      </c>
      <c r="E15" s="4" t="s">
        <v>123</v>
      </c>
      <c r="G15" s="66">
        <f>G9+G12-SUM(G13:G14)</f>
        <v>38773.877768977749</v>
      </c>
    </row>
    <row r="17" spans="1:17" x14ac:dyDescent="0.25">
      <c r="B17" s="4" t="s">
        <v>124</v>
      </c>
      <c r="C17" s="4">
        <f>MAIN!F5</f>
        <v>454.79500000000002</v>
      </c>
      <c r="E17" s="4" t="s">
        <v>124</v>
      </c>
      <c r="G17" s="4">
        <f>C17</f>
        <v>454.79500000000002</v>
      </c>
      <c r="I17" s="161" t="s">
        <v>102</v>
      </c>
      <c r="J17" s="162"/>
      <c r="K17" s="157">
        <f>WACC!E13</f>
        <v>6.340811869512325E-2</v>
      </c>
    </row>
    <row r="18" spans="1:17" x14ac:dyDescent="0.25">
      <c r="A18" s="4" t="s">
        <v>126</v>
      </c>
      <c r="B18" s="148" t="s">
        <v>125</v>
      </c>
      <c r="C18" s="156">
        <f>C15/C17</f>
        <v>76.391723655325677</v>
      </c>
      <c r="E18" s="148" t="s">
        <v>125</v>
      </c>
      <c r="F18" s="155"/>
      <c r="G18" s="156">
        <f>G15/G17</f>
        <v>85.255725698342658</v>
      </c>
      <c r="H18" s="155"/>
      <c r="I18" s="77" t="s">
        <v>103</v>
      </c>
      <c r="J18" s="77"/>
      <c r="K18" s="147">
        <v>2.5000000000000001E-2</v>
      </c>
    </row>
    <row r="19" spans="1:17" x14ac:dyDescent="0.25">
      <c r="C19" s="21"/>
      <c r="I19" s="21"/>
      <c r="J19" s="21"/>
    </row>
    <row r="20" spans="1:17" x14ac:dyDescent="0.25">
      <c r="A20" s="114" t="s">
        <v>145</v>
      </c>
      <c r="B20" s="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215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146</v>
      </c>
      <c r="D22" s="115"/>
      <c r="E22" s="116">
        <v>5.0000000000000001E-3</v>
      </c>
      <c r="F22" s="115"/>
      <c r="G22" s="115"/>
      <c r="I22" s="115" t="s">
        <v>146</v>
      </c>
      <c r="J22" s="115"/>
      <c r="K22" s="116">
        <v>5.0000000000000001E-3</v>
      </c>
    </row>
    <row r="23" spans="1:17" x14ac:dyDescent="0.25">
      <c r="B23" s="115"/>
      <c r="C23" s="115" t="s">
        <v>147</v>
      </c>
      <c r="D23" s="115"/>
      <c r="E23" s="149">
        <v>2.5000000000000001E-3</v>
      </c>
      <c r="F23" s="115"/>
      <c r="G23" s="115"/>
      <c r="I23" s="115" t="s">
        <v>168</v>
      </c>
      <c r="J23" s="115"/>
      <c r="K23" s="154">
        <v>2</v>
      </c>
    </row>
    <row r="24" spans="1:17" x14ac:dyDescent="0.25">
      <c r="B24" s="115"/>
      <c r="C24" s="115"/>
      <c r="D24" s="115"/>
      <c r="E24" s="166"/>
      <c r="F24" s="115"/>
      <c r="G24" s="115"/>
      <c r="J24" s="115"/>
      <c r="K24" s="165"/>
    </row>
    <row r="25" spans="1:17" x14ac:dyDescent="0.25">
      <c r="B25" s="115"/>
      <c r="C25" s="239"/>
      <c r="D25" s="239"/>
      <c r="E25" s="239" t="s">
        <v>243</v>
      </c>
      <c r="F25" s="239"/>
      <c r="H25" s="115"/>
      <c r="I25" s="168"/>
      <c r="J25" s="168"/>
      <c r="K25" s="168" t="s">
        <v>244</v>
      </c>
      <c r="L25" s="168"/>
      <c r="P25" s="168"/>
    </row>
    <row r="26" spans="1:17" x14ac:dyDescent="0.25">
      <c r="B26" s="158"/>
      <c r="C26" s="315">
        <f>C18</f>
        <v>76.391723655325677</v>
      </c>
      <c r="D26" s="240">
        <f>E26-E23</f>
        <v>2.2500000000000003E-2</v>
      </c>
      <c r="E26" s="240">
        <v>2.5000000000000001E-2</v>
      </c>
      <c r="F26" s="240">
        <f>E26+E23</f>
        <v>2.75E-2</v>
      </c>
      <c r="G26" s="238"/>
      <c r="I26" s="316">
        <f>G18</f>
        <v>85.255725698342658</v>
      </c>
      <c r="J26" s="317">
        <f>K26-K23</f>
        <v>13</v>
      </c>
      <c r="K26" s="224">
        <v>15</v>
      </c>
      <c r="L26" s="224">
        <f>K26+K23</f>
        <v>17</v>
      </c>
    </row>
    <row r="27" spans="1:17" x14ac:dyDescent="0.25">
      <c r="B27" s="158"/>
      <c r="C27" s="227">
        <f>C28+$E$22</f>
        <v>7.3408118695123259E-2</v>
      </c>
      <c r="D27" s="314">
        <f t="dataTable" ref="D27:F31" dt2D="1" dtr="1" r1="K18" r2="K17"/>
        <v>50.263961950574256</v>
      </c>
      <c r="E27" s="318">
        <v>53.278138155056325</v>
      </c>
      <c r="F27" s="313">
        <v>56.620597927908847</v>
      </c>
      <c r="G27" s="240"/>
      <c r="H27" s="240"/>
      <c r="I27" s="225">
        <f t="shared" ref="I27:I28" si="3">C27</f>
        <v>7.3408118695123259E-2</v>
      </c>
      <c r="J27" s="314">
        <f t="dataTable" ref="J27:L31" dt2D="1" dtr="1" r1="G10" r2="K17" ca="1"/>
        <v>69.086890701285085</v>
      </c>
      <c r="K27" s="320">
        <v>80.535990690872154</v>
      </c>
      <c r="L27" s="314">
        <v>91.985090680459194</v>
      </c>
      <c r="N27" s="241"/>
      <c r="P27" s="168"/>
    </row>
    <row r="28" spans="1:17" x14ac:dyDescent="0.25">
      <c r="B28" s="158"/>
      <c r="C28" s="227">
        <f>C29+$E$22</f>
        <v>6.8408118695123254E-2</v>
      </c>
      <c r="D28" s="314">
        <v>59.565425508917244</v>
      </c>
      <c r="E28" s="318">
        <v>63.452856531031706</v>
      </c>
      <c r="F28" s="314">
        <v>67.815429303257773</v>
      </c>
      <c r="G28" s="168"/>
      <c r="H28" s="225"/>
      <c r="I28" s="225">
        <f t="shared" si="3"/>
        <v>6.8408118695123254E-2</v>
      </c>
      <c r="J28" s="314">
        <v>71.144199811192962</v>
      </c>
      <c r="K28" s="320">
        <v>82.863719943105849</v>
      </c>
      <c r="L28" s="314">
        <v>94.583240075018693</v>
      </c>
      <c r="N28" s="242"/>
      <c r="O28" s="47"/>
      <c r="P28" s="47"/>
      <c r="Q28" s="47"/>
    </row>
    <row r="29" spans="1:17" x14ac:dyDescent="0.25">
      <c r="C29" s="227">
        <v>6.340811869512325E-2</v>
      </c>
      <c r="D29" s="320">
        <v>71.248617551272574</v>
      </c>
      <c r="E29" s="319">
        <v>76.391723655325677</v>
      </c>
      <c r="F29" s="320">
        <v>82.250977846629013</v>
      </c>
      <c r="G29" s="243"/>
      <c r="H29" s="244"/>
      <c r="I29" s="225">
        <f>C29</f>
        <v>6.340811869512325E-2</v>
      </c>
      <c r="J29" s="320">
        <v>73.258084530529686</v>
      </c>
      <c r="K29" s="320">
        <v>85.255725698342658</v>
      </c>
      <c r="L29" s="320">
        <v>97.253366866155659</v>
      </c>
      <c r="N29" s="245"/>
      <c r="O29" s="164"/>
      <c r="P29" s="164"/>
      <c r="Q29" s="164"/>
    </row>
    <row r="30" spans="1:17" x14ac:dyDescent="0.25">
      <c r="C30" s="227">
        <f>C29-$E$22</f>
        <v>5.8408118695123253E-2</v>
      </c>
      <c r="D30" s="314">
        <v>86.317449931508506</v>
      </c>
      <c r="E30" s="320">
        <v>93.345496599907477</v>
      </c>
      <c r="F30" s="314">
        <v>101.510468931386</v>
      </c>
      <c r="G30" s="244"/>
      <c r="H30" s="226"/>
      <c r="I30" s="225">
        <f t="shared" ref="I30:I31" si="4">C30</f>
        <v>5.8408118695123253E-2</v>
      </c>
      <c r="J30" s="314">
        <v>75.430400248390328</v>
      </c>
      <c r="K30" s="318">
        <v>87.714120416556554</v>
      </c>
      <c r="L30" s="314">
        <v>99.99784058472278</v>
      </c>
      <c r="M30" s="47"/>
      <c r="N30" s="164"/>
      <c r="O30" s="85"/>
      <c r="P30" s="85"/>
      <c r="Q30" s="85"/>
    </row>
    <row r="31" spans="1:17" x14ac:dyDescent="0.25">
      <c r="C31" s="227">
        <f>C30-$E$22</f>
        <v>5.3408118695123255E-2</v>
      </c>
      <c r="D31" s="314">
        <v>106.42617593157372</v>
      </c>
      <c r="E31" s="320">
        <v>116.44629253955902</v>
      </c>
      <c r="F31" s="314">
        <v>128.4001884245923</v>
      </c>
      <c r="G31" s="244"/>
      <c r="H31" s="226"/>
      <c r="I31" s="225">
        <f t="shared" si="4"/>
        <v>5.3408118695123255E-2</v>
      </c>
      <c r="J31" s="314">
        <v>77.663072719605793</v>
      </c>
      <c r="K31" s="318">
        <v>90.241096777837356</v>
      </c>
      <c r="L31" s="314">
        <v>102.8191208360689</v>
      </c>
      <c r="M31" s="47"/>
      <c r="N31" s="164"/>
      <c r="O31" s="85"/>
      <c r="P31" s="85"/>
      <c r="Q31" s="85"/>
    </row>
    <row r="32" spans="1:17" x14ac:dyDescent="0.25">
      <c r="D32" s="47"/>
      <c r="E32" s="146"/>
      <c r="F32" s="225"/>
      <c r="G32" s="244"/>
      <c r="H32" s="226"/>
      <c r="I32" s="226"/>
      <c r="J32" s="226"/>
      <c r="K32" s="246"/>
      <c r="L32" s="146"/>
      <c r="M32" s="47"/>
      <c r="N32" s="164"/>
      <c r="O32" s="85"/>
      <c r="P32" s="85"/>
      <c r="Q32" s="85"/>
    </row>
    <row r="33" spans="2:17" x14ac:dyDescent="0.25">
      <c r="D33" s="47"/>
      <c r="E33" s="221"/>
      <c r="F33" s="225"/>
      <c r="G33" s="244"/>
      <c r="H33" s="226"/>
      <c r="I33" s="226"/>
      <c r="J33" s="226"/>
      <c r="K33" s="241"/>
      <c r="M33" s="47"/>
      <c r="N33" s="164"/>
      <c r="O33" s="85"/>
      <c r="P33" s="85"/>
      <c r="Q33" s="85"/>
    </row>
    <row r="34" spans="2:17" x14ac:dyDescent="0.25">
      <c r="D34" s="47"/>
      <c r="E34" s="221"/>
      <c r="F34" s="225"/>
      <c r="G34" s="244"/>
      <c r="H34" s="226"/>
      <c r="I34" s="226"/>
      <c r="J34" s="226"/>
      <c r="K34" s="241"/>
      <c r="M34" s="47"/>
      <c r="N34" s="164"/>
      <c r="O34" s="85"/>
      <c r="P34" s="85"/>
      <c r="Q34" s="85"/>
    </row>
    <row r="35" spans="2:17" x14ac:dyDescent="0.25">
      <c r="B35" s="247"/>
      <c r="C35" s="247"/>
      <c r="D35" s="247"/>
      <c r="E35" s="248"/>
      <c r="F35" s="249"/>
      <c r="G35" s="248"/>
    </row>
    <row r="36" spans="2:17" x14ac:dyDescent="0.25">
      <c r="B36" s="115"/>
      <c r="C36" s="115"/>
      <c r="D36" s="115"/>
      <c r="E36" s="115"/>
      <c r="F36" s="239"/>
      <c r="G36" s="239"/>
      <c r="H36" s="239"/>
      <c r="I36" s="168"/>
      <c r="J36" s="168"/>
      <c r="P36" s="168"/>
    </row>
    <row r="37" spans="2:17" x14ac:dyDescent="0.25">
      <c r="F37" s="227"/>
      <c r="G37" s="227"/>
      <c r="H37" s="225"/>
      <c r="I37" s="225"/>
      <c r="J37" s="225"/>
      <c r="M37" s="168"/>
      <c r="O37" s="85"/>
      <c r="P37" s="85"/>
      <c r="Q37" s="85"/>
    </row>
    <row r="38" spans="2:17" x14ac:dyDescent="0.25">
      <c r="E38" s="47"/>
      <c r="F38" s="224"/>
      <c r="G38" s="250"/>
      <c r="H38" s="244"/>
      <c r="I38" s="244"/>
      <c r="J38" s="244"/>
      <c r="L38" s="85"/>
      <c r="M38" s="85"/>
      <c r="N38" s="251"/>
      <c r="O38" s="167"/>
      <c r="P38" s="167"/>
      <c r="Q38" s="167"/>
    </row>
    <row r="39" spans="2:17" x14ac:dyDescent="0.25">
      <c r="E39" s="47"/>
      <c r="F39" s="225"/>
      <c r="G39" s="244"/>
      <c r="H39" s="224"/>
      <c r="I39" s="224"/>
      <c r="J39" s="224"/>
      <c r="K39" s="47"/>
      <c r="M39" s="47"/>
      <c r="N39" s="164"/>
      <c r="O39" s="252"/>
      <c r="P39" s="252"/>
      <c r="Q39" s="252"/>
    </row>
    <row r="40" spans="2:17" x14ac:dyDescent="0.25">
      <c r="D40" s="8"/>
      <c r="E40" s="47"/>
      <c r="F40" s="225"/>
      <c r="G40" s="244"/>
      <c r="H40" s="224"/>
      <c r="I40" s="224"/>
      <c r="J40" s="224"/>
      <c r="K40" s="8"/>
      <c r="L40" s="47"/>
      <c r="M40" s="47"/>
      <c r="N40" s="164"/>
      <c r="O40" s="252"/>
      <c r="P40" s="252"/>
      <c r="Q40" s="252"/>
    </row>
    <row r="41" spans="2:17" x14ac:dyDescent="0.25">
      <c r="D41" s="8"/>
      <c r="E41" s="146"/>
      <c r="F41" s="225"/>
      <c r="G41" s="244"/>
      <c r="H41" s="224"/>
      <c r="I41" s="224"/>
      <c r="J41" s="224"/>
      <c r="K41" s="8"/>
      <c r="L41" s="146"/>
      <c r="M41" s="47"/>
      <c r="N41" s="164"/>
      <c r="O41" s="252"/>
      <c r="P41" s="252"/>
      <c r="Q41" s="252"/>
    </row>
    <row r="42" spans="2:17" x14ac:dyDescent="0.25">
      <c r="D42" s="8"/>
      <c r="E42" s="47"/>
      <c r="F42" s="225"/>
      <c r="G42" s="244"/>
      <c r="H42" s="224"/>
      <c r="I42" s="224"/>
      <c r="J42" s="224"/>
      <c r="K42" s="8"/>
      <c r="L42" s="47"/>
      <c r="M42" s="47"/>
      <c r="N42" s="164"/>
      <c r="O42" s="252"/>
      <c r="P42" s="252"/>
      <c r="Q42" s="252"/>
    </row>
    <row r="43" spans="2:17" x14ac:dyDescent="0.25">
      <c r="D43" s="8"/>
      <c r="E43" s="8"/>
      <c r="F43" s="225"/>
      <c r="G43" s="244"/>
      <c r="H43" s="224"/>
      <c r="I43" s="224"/>
      <c r="J43" s="224"/>
      <c r="K43" s="8"/>
      <c r="L43" s="47"/>
      <c r="M43" s="47"/>
      <c r="N43" s="164"/>
      <c r="O43" s="252"/>
      <c r="P43" s="252"/>
      <c r="Q43" s="252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88a26cf8-717e-46a4-ac0d-03f11284dc6b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2025-12-07T22:37:48Z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