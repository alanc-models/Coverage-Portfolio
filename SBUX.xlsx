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Coverages/"/>
    </mc:Choice>
  </mc:AlternateContent>
  <xr:revisionPtr revIDLastSave="365" documentId="13_ncr:1_{28B5E574-A22E-43CD-820A-085DAE752C80}" xr6:coauthVersionLast="47" xr6:coauthVersionMax="47" xr10:uidLastSave="{E624BAC6-A5FB-6E4E-A01D-A1C40E7D4C39}"/>
  <bookViews>
    <workbookView xWindow="0" yWindow="760" windowWidth="36000" windowHeight="21840" tabRatio="808" activeTab="10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32" l="1"/>
  <c r="AA26" i="32"/>
  <c r="AF26" i="32"/>
  <c r="AG26" i="32"/>
  <c r="AH26" i="32"/>
  <c r="AI26" i="32"/>
  <c r="AJ26" i="32"/>
  <c r="V35" i="32"/>
  <c r="AA35" i="32"/>
  <c r="AF35" i="32"/>
  <c r="AG35" i="32"/>
  <c r="AH35" i="32"/>
  <c r="AI35" i="32"/>
  <c r="AJ35" i="32"/>
  <c r="V34" i="32"/>
  <c r="AA34" i="32"/>
  <c r="AF34" i="32"/>
  <c r="AG34" i="32"/>
  <c r="AH34" i="32"/>
  <c r="AI34" i="32"/>
  <c r="AJ34" i="32"/>
  <c r="V33" i="32"/>
  <c r="AA33" i="32"/>
  <c r="AF33" i="32"/>
  <c r="AG33" i="32"/>
  <c r="AH33" i="32"/>
  <c r="AI33" i="32"/>
  <c r="AJ33" i="32"/>
  <c r="V27" i="32"/>
  <c r="AA27" i="32"/>
  <c r="AF27" i="32"/>
  <c r="AG27" i="32"/>
  <c r="AH27" i="32"/>
  <c r="AI27" i="32"/>
  <c r="AJ27" i="32"/>
  <c r="AH25" i="32"/>
  <c r="AI25" i="32"/>
  <c r="AJ25" i="32"/>
  <c r="AG25" i="32"/>
  <c r="AF25" i="32"/>
  <c r="AA25" i="32"/>
  <c r="V25" i="32"/>
  <c r="AB41" i="32"/>
  <c r="AC41" i="32"/>
  <c r="W41" i="32"/>
  <c r="R41" i="32"/>
  <c r="S42" i="32"/>
  <c r="T42" i="32"/>
  <c r="U42" i="32"/>
  <c r="R42" i="32"/>
  <c r="U60" i="32"/>
  <c r="T60" i="32"/>
  <c r="S60" i="32"/>
  <c r="R60" i="32"/>
  <c r="U58" i="32"/>
  <c r="T58" i="32"/>
  <c r="Y58" i="32"/>
  <c r="AD58" i="32"/>
  <c r="AD57" i="32"/>
  <c r="S58" i="32"/>
  <c r="X58" i="32"/>
  <c r="AC58" i="32"/>
  <c r="AC57" i="32"/>
  <c r="R58" i="32"/>
  <c r="W58" i="32"/>
  <c r="AB58" i="32"/>
  <c r="AB57" i="32"/>
  <c r="U56" i="32"/>
  <c r="Z56" i="32"/>
  <c r="AE56" i="32"/>
  <c r="AE55" i="32"/>
  <c r="T56" i="32"/>
  <c r="Y56" i="32"/>
  <c r="AD56" i="32"/>
  <c r="AD55" i="32"/>
  <c r="S56" i="32"/>
  <c r="X56" i="32"/>
  <c r="AC56" i="32"/>
  <c r="AC55" i="32"/>
  <c r="R56" i="32"/>
  <c r="W56" i="32"/>
  <c r="AB56" i="32"/>
  <c r="AB55" i="32"/>
  <c r="U48" i="32"/>
  <c r="Z48" i="32"/>
  <c r="T48" i="32"/>
  <c r="Y48" i="32"/>
  <c r="S48" i="32"/>
  <c r="X48" i="32"/>
  <c r="R48" i="32"/>
  <c r="W48" i="32"/>
  <c r="U47" i="32"/>
  <c r="T47" i="32"/>
  <c r="S47" i="32"/>
  <c r="R47" i="32"/>
  <c r="U46" i="32"/>
  <c r="Z46" i="32"/>
  <c r="T46" i="32"/>
  <c r="Y46" i="32"/>
  <c r="S46" i="32"/>
  <c r="X46" i="32"/>
  <c r="R46" i="32"/>
  <c r="W46" i="32"/>
  <c r="U45" i="32"/>
  <c r="T45" i="32"/>
  <c r="S45" i="32"/>
  <c r="R45" i="32"/>
  <c r="R44" i="32"/>
  <c r="S44" i="32"/>
  <c r="T44" i="32"/>
  <c r="U44" i="32"/>
  <c r="R54" i="32"/>
  <c r="S54" i="32"/>
  <c r="T54" i="32"/>
  <c r="U54" i="32"/>
  <c r="R61" i="32"/>
  <c r="S61" i="32"/>
  <c r="T61" i="32"/>
  <c r="U61" i="32"/>
  <c r="W44" i="32"/>
  <c r="X44" i="32"/>
  <c r="Y44" i="32"/>
  <c r="Z44" i="32"/>
  <c r="W54" i="32"/>
  <c r="X54" i="32"/>
  <c r="Y54" i="32"/>
  <c r="Z54" i="32"/>
  <c r="Z58" i="32"/>
  <c r="AE58" i="32"/>
  <c r="AE57" i="32"/>
  <c r="W61" i="32"/>
  <c r="X61" i="32"/>
  <c r="Y61" i="32"/>
  <c r="Z61" i="32"/>
  <c r="Z62" i="32"/>
  <c r="W62" i="32"/>
  <c r="X62" i="32"/>
  <c r="AB42" i="32"/>
  <c r="AB44" i="32"/>
  <c r="AC44" i="32"/>
  <c r="AD44" i="32"/>
  <c r="AE44" i="32"/>
  <c r="AB50" i="32"/>
  <c r="AB49" i="32"/>
  <c r="AB54" i="32"/>
  <c r="AC54" i="32"/>
  <c r="AD54" i="32"/>
  <c r="AE54" i="32"/>
  <c r="AB60" i="32"/>
  <c r="AB59" i="32"/>
  <c r="M54" i="32"/>
  <c r="N54" i="32"/>
  <c r="O54" i="32"/>
  <c r="P54" i="32"/>
  <c r="M63" i="32"/>
  <c r="N63" i="32"/>
  <c r="O63" i="32"/>
  <c r="P63" i="32"/>
  <c r="Q60" i="32"/>
  <c r="AG41" i="32"/>
  <c r="AH41" i="32"/>
  <c r="AI41" i="32"/>
  <c r="AJ41" i="32"/>
  <c r="AG50" i="32"/>
  <c r="AA42" i="32"/>
  <c r="AA60" i="32"/>
  <c r="AF42" i="32"/>
  <c r="AF60" i="32"/>
  <c r="AG42" i="32"/>
  <c r="AG60" i="32"/>
  <c r="V42" i="32"/>
  <c r="V60" i="32"/>
  <c r="V50" i="32"/>
  <c r="AA50" i="32"/>
  <c r="AF50" i="32"/>
  <c r="Q50" i="32"/>
  <c r="Q36" i="32"/>
  <c r="Q37" i="32"/>
  <c r="V32" i="32"/>
  <c r="Q28" i="32"/>
  <c r="Q29" i="32"/>
  <c r="V24" i="32"/>
  <c r="D18" i="10"/>
  <c r="E18" i="10"/>
  <c r="C18" i="10"/>
  <c r="K15" i="12"/>
  <c r="K18" i="12"/>
  <c r="K5" i="3" s="1"/>
  <c r="K6" i="3" s="1"/>
  <c r="K14" i="12"/>
  <c r="I32" i="12"/>
  <c r="I31" i="12"/>
  <c r="I29" i="12"/>
  <c r="I28" i="12"/>
  <c r="I30" i="12"/>
  <c r="L27" i="12"/>
  <c r="J27" i="12"/>
  <c r="C32" i="12"/>
  <c r="C31" i="12"/>
  <c r="C28" i="12"/>
  <c r="C29" i="12"/>
  <c r="D27" i="12"/>
  <c r="F27" i="12"/>
  <c r="G14" i="12"/>
  <c r="C17" i="12"/>
  <c r="G17" i="12"/>
  <c r="C13" i="12"/>
  <c r="G13" i="12"/>
  <c r="C12" i="12"/>
  <c r="G12" i="12"/>
  <c r="E7" i="11"/>
  <c r="G5" i="10"/>
  <c r="H5" i="10"/>
  <c r="I5" i="10"/>
  <c r="J5" i="10"/>
  <c r="K5" i="10"/>
  <c r="L5" i="10"/>
  <c r="G9" i="10"/>
  <c r="H9" i="10"/>
  <c r="I9" i="10"/>
  <c r="J9" i="10"/>
  <c r="K9" i="10"/>
  <c r="L9" i="10"/>
  <c r="G5" i="9"/>
  <c r="H5" i="9"/>
  <c r="I5" i="9"/>
  <c r="J5" i="9"/>
  <c r="K5" i="9"/>
  <c r="L5" i="9"/>
  <c r="G14" i="9"/>
  <c r="H14" i="9"/>
  <c r="I14" i="9"/>
  <c r="J14" i="9"/>
  <c r="K14" i="9"/>
  <c r="L14" i="9"/>
  <c r="G15" i="9"/>
  <c r="H15" i="9"/>
  <c r="I15" i="9"/>
  <c r="J15" i="9"/>
  <c r="K15" i="9"/>
  <c r="L15" i="9"/>
  <c r="G16" i="9"/>
  <c r="H16" i="9"/>
  <c r="I16" i="9"/>
  <c r="J16" i="9"/>
  <c r="K16" i="9"/>
  <c r="K17" i="9"/>
  <c r="L16" i="9"/>
  <c r="G17" i="9"/>
  <c r="H17" i="9"/>
  <c r="I17" i="9"/>
  <c r="J17" i="9"/>
  <c r="L17" i="9"/>
  <c r="G25" i="8"/>
  <c r="H25" i="8"/>
  <c r="I25" i="8"/>
  <c r="J25" i="8"/>
  <c r="K25" i="8"/>
  <c r="L25" i="8"/>
  <c r="G26" i="8"/>
  <c r="H26" i="8"/>
  <c r="I26" i="8"/>
  <c r="J26" i="8"/>
  <c r="K26" i="8"/>
  <c r="L26" i="8"/>
  <c r="G37" i="8"/>
  <c r="H37" i="8"/>
  <c r="I37" i="8"/>
  <c r="J37" i="8"/>
  <c r="K37" i="8"/>
  <c r="L37" i="8"/>
  <c r="G22" i="7"/>
  <c r="H22" i="7"/>
  <c r="I22" i="7"/>
  <c r="J22" i="7"/>
  <c r="K22" i="7"/>
  <c r="L22" i="7"/>
  <c r="G25" i="7"/>
  <c r="H25" i="7"/>
  <c r="I25" i="7"/>
  <c r="J25" i="7"/>
  <c r="K25" i="7"/>
  <c r="L25" i="7"/>
  <c r="G26" i="7"/>
  <c r="H26" i="7"/>
  <c r="I26" i="7"/>
  <c r="J26" i="7"/>
  <c r="K26" i="7"/>
  <c r="L26" i="7"/>
  <c r="G28" i="7"/>
  <c r="H28" i="7"/>
  <c r="I28" i="7"/>
  <c r="J28" i="7"/>
  <c r="K28" i="7"/>
  <c r="L28" i="7"/>
  <c r="G29" i="7"/>
  <c r="H29" i="7"/>
  <c r="I29" i="7"/>
  <c r="J29" i="7"/>
  <c r="K29" i="7"/>
  <c r="L29" i="7"/>
  <c r="G35" i="7"/>
  <c r="H35" i="7"/>
  <c r="I35" i="7"/>
  <c r="J35" i="7"/>
  <c r="K35" i="7"/>
  <c r="L35" i="7"/>
  <c r="G37" i="7"/>
  <c r="H37" i="7"/>
  <c r="I37" i="7"/>
  <c r="J37" i="7"/>
  <c r="K37" i="7"/>
  <c r="L37" i="7"/>
  <c r="G38" i="7"/>
  <c r="G36" i="7"/>
  <c r="G15" i="5"/>
  <c r="H38" i="7"/>
  <c r="H36" i="7"/>
  <c r="H15" i="5"/>
  <c r="I38" i="7"/>
  <c r="I36" i="7"/>
  <c r="I15" i="5"/>
  <c r="J38" i="7"/>
  <c r="J36" i="7"/>
  <c r="J15" i="5"/>
  <c r="K38" i="7"/>
  <c r="K36" i="7"/>
  <c r="K15" i="5"/>
  <c r="L38" i="7"/>
  <c r="L36" i="7"/>
  <c r="L15" i="5"/>
  <c r="G39" i="7"/>
  <c r="H39" i="7"/>
  <c r="I39" i="7"/>
  <c r="J39" i="7"/>
  <c r="K39" i="7"/>
  <c r="L39" i="7"/>
  <c r="F29" i="7"/>
  <c r="F28" i="7"/>
  <c r="G13" i="6"/>
  <c r="H13" i="6"/>
  <c r="I13" i="6"/>
  <c r="J13" i="6"/>
  <c r="K13" i="6"/>
  <c r="L13" i="6"/>
  <c r="G16" i="6"/>
  <c r="H16" i="6"/>
  <c r="I16" i="6"/>
  <c r="J16" i="6"/>
  <c r="K16" i="6"/>
  <c r="L16" i="6"/>
  <c r="G17" i="6"/>
  <c r="G18" i="6"/>
  <c r="H18" i="6"/>
  <c r="I18" i="6"/>
  <c r="J18" i="6"/>
  <c r="K18" i="6"/>
  <c r="L18" i="6"/>
  <c r="G19" i="6"/>
  <c r="H19" i="6"/>
  <c r="I19" i="6"/>
  <c r="J19" i="6"/>
  <c r="K19" i="6"/>
  <c r="L19" i="6"/>
  <c r="G20" i="6"/>
  <c r="H17" i="6"/>
  <c r="H20" i="6"/>
  <c r="G21" i="6"/>
  <c r="H21" i="6"/>
  <c r="I21" i="6"/>
  <c r="J21" i="6"/>
  <c r="K21" i="6"/>
  <c r="L21" i="6"/>
  <c r="G22" i="6"/>
  <c r="G24" i="6"/>
  <c r="H24" i="6"/>
  <c r="I24" i="6"/>
  <c r="J24" i="6"/>
  <c r="K24" i="6"/>
  <c r="L24" i="6"/>
  <c r="G26" i="6"/>
  <c r="G28" i="6"/>
  <c r="G30" i="6"/>
  <c r="H30" i="6"/>
  <c r="I30" i="6"/>
  <c r="J30" i="6"/>
  <c r="K30" i="6"/>
  <c r="L30" i="6"/>
  <c r="G10" i="5"/>
  <c r="H10" i="5"/>
  <c r="H18" i="5"/>
  <c r="I10" i="5"/>
  <c r="I18" i="5"/>
  <c r="J10" i="5"/>
  <c r="J18" i="5"/>
  <c r="K10" i="5"/>
  <c r="K18" i="5"/>
  <c r="L10" i="5"/>
  <c r="L18" i="5"/>
  <c r="G11" i="5"/>
  <c r="H11" i="5"/>
  <c r="I11" i="5"/>
  <c r="J11" i="5"/>
  <c r="K11" i="5"/>
  <c r="L11" i="5"/>
  <c r="G16" i="5"/>
  <c r="H16" i="5"/>
  <c r="I16" i="5"/>
  <c r="J16" i="5"/>
  <c r="K16" i="5"/>
  <c r="L16" i="5"/>
  <c r="G18" i="5"/>
  <c r="F9" i="10"/>
  <c r="F8" i="10"/>
  <c r="B22" i="9"/>
  <c r="F17" i="9"/>
  <c r="F16" i="9"/>
  <c r="F15" i="9"/>
  <c r="F14" i="9"/>
  <c r="F5" i="9"/>
  <c r="F4" i="9"/>
  <c r="E24" i="5"/>
  <c r="E23" i="5"/>
  <c r="E22" i="5"/>
  <c r="E21" i="5"/>
  <c r="E20" i="5"/>
  <c r="F16" i="5"/>
  <c r="F15" i="5"/>
  <c r="F13" i="5"/>
  <c r="E17" i="5"/>
  <c r="F37" i="8"/>
  <c r="F28" i="6"/>
  <c r="F26" i="6"/>
  <c r="F22" i="6"/>
  <c r="F21" i="6"/>
  <c r="F9" i="6"/>
  <c r="G9" i="6"/>
  <c r="H9" i="6"/>
  <c r="I9" i="6"/>
  <c r="J9" i="6"/>
  <c r="K9" i="6"/>
  <c r="L9" i="6"/>
  <c r="F19" i="6"/>
  <c r="F20" i="6"/>
  <c r="F18" i="6"/>
  <c r="F17" i="6"/>
  <c r="E20" i="6"/>
  <c r="F13" i="6"/>
  <c r="E13" i="6"/>
  <c r="E12" i="6"/>
  <c r="F26" i="8"/>
  <c r="F25" i="8"/>
  <c r="F36" i="7"/>
  <c r="F39" i="7"/>
  <c r="F38" i="7"/>
  <c r="F35" i="7"/>
  <c r="H16" i="13"/>
  <c r="I16" i="13"/>
  <c r="G16" i="13"/>
  <c r="G17" i="13"/>
  <c r="H17" i="13"/>
  <c r="I17" i="13"/>
  <c r="J17" i="13"/>
  <c r="K17" i="13"/>
  <c r="L17" i="13"/>
  <c r="F17" i="13"/>
  <c r="D35" i="7"/>
  <c r="C35" i="7"/>
  <c r="E35" i="7"/>
  <c r="F26" i="7"/>
  <c r="F25" i="7"/>
  <c r="F21" i="7"/>
  <c r="F8" i="5"/>
  <c r="F6" i="5"/>
  <c r="E9" i="5"/>
  <c r="F22" i="7"/>
  <c r="C38" i="8"/>
  <c r="C32" i="8"/>
  <c r="C34" i="8"/>
  <c r="C33" i="8"/>
  <c r="C27" i="8"/>
  <c r="C26" i="8"/>
  <c r="C25" i="8"/>
  <c r="C24" i="8"/>
  <c r="C21" i="8"/>
  <c r="D38" i="8"/>
  <c r="D34" i="8"/>
  <c r="D33" i="8"/>
  <c r="E38" i="8"/>
  <c r="E34" i="8"/>
  <c r="E33" i="8"/>
  <c r="D27" i="8"/>
  <c r="D26" i="8"/>
  <c r="D25" i="8"/>
  <c r="D24" i="8"/>
  <c r="E27" i="8"/>
  <c r="E25" i="8"/>
  <c r="E26" i="8"/>
  <c r="E24" i="8"/>
  <c r="D21" i="8"/>
  <c r="E21" i="8"/>
  <c r="AH4" i="32"/>
  <c r="AI4" i="32"/>
  <c r="AJ4" i="32"/>
  <c r="AK4" i="32"/>
  <c r="AC8" i="32"/>
  <c r="AD8" i="32"/>
  <c r="AE8" i="32"/>
  <c r="Z5" i="32"/>
  <c r="Y5" i="32"/>
  <c r="X5" i="32"/>
  <c r="W5" i="32"/>
  <c r="W3" i="32"/>
  <c r="X4" i="32"/>
  <c r="U4" i="32"/>
  <c r="T4" i="32"/>
  <c r="S4" i="32"/>
  <c r="R4" i="32"/>
  <c r="U6" i="32"/>
  <c r="U9" i="32"/>
  <c r="T6" i="32"/>
  <c r="S6" i="32"/>
  <c r="R6" i="32"/>
  <c r="U8" i="32"/>
  <c r="T8" i="32"/>
  <c r="S8" i="32"/>
  <c r="R8" i="32"/>
  <c r="P8" i="32"/>
  <c r="O8" i="32"/>
  <c r="N8" i="32"/>
  <c r="M8" i="32"/>
  <c r="P6" i="32"/>
  <c r="O6" i="32"/>
  <c r="N6" i="32"/>
  <c r="M6" i="32"/>
  <c r="P4" i="32"/>
  <c r="O4" i="32"/>
  <c r="N4" i="32"/>
  <c r="M4" i="32"/>
  <c r="K8" i="32"/>
  <c r="J8" i="32"/>
  <c r="I8" i="32"/>
  <c r="H8" i="32"/>
  <c r="K6" i="32"/>
  <c r="J6" i="32"/>
  <c r="I6" i="32"/>
  <c r="H6" i="32"/>
  <c r="I4" i="32"/>
  <c r="J4" i="32"/>
  <c r="K4" i="32"/>
  <c r="H4" i="32"/>
  <c r="H9" i="32"/>
  <c r="V16" i="32"/>
  <c r="V14" i="32"/>
  <c r="V12" i="32"/>
  <c r="E17" i="7"/>
  <c r="V7" i="32"/>
  <c r="V5" i="32"/>
  <c r="V54" i="32"/>
  <c r="Q16" i="32"/>
  <c r="Q14" i="32"/>
  <c r="Q12" i="32"/>
  <c r="D17" i="7"/>
  <c r="Q7" i="32"/>
  <c r="Q5" i="32"/>
  <c r="Q3" i="32"/>
  <c r="L51" i="32"/>
  <c r="L16" i="32"/>
  <c r="L14" i="32"/>
  <c r="L12" i="32"/>
  <c r="C17" i="7"/>
  <c r="L7" i="32"/>
  <c r="L5" i="32"/>
  <c r="L3" i="32"/>
  <c r="G16" i="32"/>
  <c r="G14" i="32"/>
  <c r="G12" i="32"/>
  <c r="G7" i="32"/>
  <c r="G5" i="32"/>
  <c r="G3" i="32"/>
  <c r="C18" i="32"/>
  <c r="H18" i="32"/>
  <c r="D18" i="32"/>
  <c r="I18" i="32"/>
  <c r="E18" i="32"/>
  <c r="J18" i="32"/>
  <c r="F18" i="32"/>
  <c r="K18" i="32"/>
  <c r="M18" i="32"/>
  <c r="R18" i="32"/>
  <c r="N18" i="32"/>
  <c r="S18" i="32"/>
  <c r="O18" i="32"/>
  <c r="T18" i="32"/>
  <c r="P18" i="32"/>
  <c r="P9" i="32"/>
  <c r="O9" i="32"/>
  <c r="N9" i="32"/>
  <c r="M9" i="32"/>
  <c r="J9" i="32"/>
  <c r="I9" i="32"/>
  <c r="F9" i="32"/>
  <c r="E9" i="32"/>
  <c r="D9" i="32"/>
  <c r="C9" i="32"/>
  <c r="U18" i="32"/>
  <c r="U19" i="32"/>
  <c r="K2" i="10"/>
  <c r="L2" i="10"/>
  <c r="K2" i="9"/>
  <c r="L2" i="9"/>
  <c r="K2" i="8"/>
  <c r="L2" i="8"/>
  <c r="K16" i="8"/>
  <c r="L16" i="8"/>
  <c r="K8" i="7"/>
  <c r="L8" i="7"/>
  <c r="K9" i="7"/>
  <c r="L9" i="7"/>
  <c r="K2" i="6"/>
  <c r="L2" i="6"/>
  <c r="K8" i="6"/>
  <c r="L8" i="6"/>
  <c r="K11" i="6"/>
  <c r="L11" i="6"/>
  <c r="E2" i="6"/>
  <c r="F2" i="6"/>
  <c r="G2" i="6"/>
  <c r="H2" i="6"/>
  <c r="I2" i="6"/>
  <c r="J2" i="6"/>
  <c r="D2" i="6"/>
  <c r="K2" i="5"/>
  <c r="L2" i="5"/>
  <c r="C15" i="7"/>
  <c r="C37" i="7"/>
  <c r="AF2" i="32"/>
  <c r="AG2" i="32"/>
  <c r="AH2" i="32"/>
  <c r="AI2" i="32"/>
  <c r="AJ2" i="32"/>
  <c r="AK2" i="32"/>
  <c r="A1" i="32"/>
  <c r="F8" i="3"/>
  <c r="F7" i="3"/>
  <c r="AD41" i="32"/>
  <c r="AC50" i="32"/>
  <c r="AC49" i="32"/>
  <c r="AC42" i="32"/>
  <c r="AC60" i="32"/>
  <c r="AC59" i="32"/>
  <c r="W42" i="32"/>
  <c r="W60" i="32"/>
  <c r="W50" i="32"/>
  <c r="W49" i="32"/>
  <c r="X41" i="32"/>
  <c r="R50" i="32"/>
  <c r="R49" i="32"/>
  <c r="R51" i="32"/>
  <c r="R63" i="32"/>
  <c r="S41" i="32"/>
  <c r="AC61" i="32"/>
  <c r="AB61" i="32"/>
  <c r="AB48" i="32"/>
  <c r="AB47" i="32"/>
  <c r="W47" i="32"/>
  <c r="AE46" i="32"/>
  <c r="AE45" i="32"/>
  <c r="Z45" i="32"/>
  <c r="AD46" i="32"/>
  <c r="AD45" i="32"/>
  <c r="Y45" i="32"/>
  <c r="AC46" i="32"/>
  <c r="AC45" i="32"/>
  <c r="X45" i="32"/>
  <c r="AB46" i="32"/>
  <c r="AB45" i="32"/>
  <c r="W45" i="32"/>
  <c r="AB51" i="32"/>
  <c r="X47" i="32"/>
  <c r="AC48" i="32"/>
  <c r="AC47" i="32"/>
  <c r="AC51" i="32"/>
  <c r="Y47" i="32"/>
  <c r="AD48" i="32"/>
  <c r="AD47" i="32"/>
  <c r="Z47" i="32"/>
  <c r="AE48" i="32"/>
  <c r="AE47" i="32"/>
  <c r="Y62" i="32"/>
  <c r="AB63" i="32"/>
  <c r="AB62" i="32"/>
  <c r="AC63" i="32"/>
  <c r="AC62" i="32"/>
  <c r="S9" i="32"/>
  <c r="S19" i="32"/>
  <c r="T9" i="32"/>
  <c r="AE5" i="32"/>
  <c r="AD5" i="32"/>
  <c r="AC5" i="32"/>
  <c r="Q54" i="32"/>
  <c r="Q59" i="32"/>
  <c r="Q61" i="32"/>
  <c r="L61" i="32"/>
  <c r="L63" i="32"/>
  <c r="V36" i="32"/>
  <c r="V37" i="32"/>
  <c r="AA32" i="32"/>
  <c r="V28" i="32"/>
  <c r="V29" i="32"/>
  <c r="AA24" i="32"/>
  <c r="AA28" i="32"/>
  <c r="AH50" i="32"/>
  <c r="AH42" i="32"/>
  <c r="AH60" i="32"/>
  <c r="V8" i="32"/>
  <c r="W8" i="32"/>
  <c r="V6" i="32"/>
  <c r="Q8" i="32"/>
  <c r="Q6" i="32"/>
  <c r="L8" i="32"/>
  <c r="L6" i="32"/>
  <c r="L4" i="32"/>
  <c r="D19" i="32"/>
  <c r="I19" i="32"/>
  <c r="J19" i="32"/>
  <c r="F19" i="32"/>
  <c r="N19" i="32"/>
  <c r="O19" i="32"/>
  <c r="P19" i="32"/>
  <c r="E19" i="32"/>
  <c r="L9" i="32"/>
  <c r="S10" i="32"/>
  <c r="K9" i="32"/>
  <c r="AA5" i="32"/>
  <c r="AB5" i="32"/>
  <c r="AB3" i="32"/>
  <c r="Y4" i="32"/>
  <c r="X3" i="32"/>
  <c r="U15" i="32"/>
  <c r="U13" i="32"/>
  <c r="U17" i="32"/>
  <c r="T13" i="32"/>
  <c r="T17" i="32"/>
  <c r="T15" i="32"/>
  <c r="S15" i="32"/>
  <c r="S17" i="32"/>
  <c r="S13" i="32"/>
  <c r="S20" i="32"/>
  <c r="S21" i="32"/>
  <c r="H15" i="32"/>
  <c r="H13" i="32"/>
  <c r="H10" i="32"/>
  <c r="H17" i="32"/>
  <c r="Q4" i="32"/>
  <c r="Q44" i="32"/>
  <c r="G18" i="32"/>
  <c r="C19" i="32"/>
  <c r="L18" i="32"/>
  <c r="C18" i="7"/>
  <c r="H19" i="32"/>
  <c r="M19" i="32"/>
  <c r="Q18" i="32"/>
  <c r="D18" i="7"/>
  <c r="V18" i="32"/>
  <c r="E18" i="7"/>
  <c r="P17" i="32"/>
  <c r="P13" i="32"/>
  <c r="P15" i="32"/>
  <c r="O15" i="32"/>
  <c r="O17" i="32"/>
  <c r="O10" i="32"/>
  <c r="O13" i="32"/>
  <c r="N10" i="32"/>
  <c r="N17" i="32"/>
  <c r="N13" i="32"/>
  <c r="N20" i="32"/>
  <c r="N21" i="32"/>
  <c r="N15" i="32"/>
  <c r="M17" i="32"/>
  <c r="M15" i="32"/>
  <c r="M10" i="32"/>
  <c r="M13" i="32"/>
  <c r="M20" i="32"/>
  <c r="M21" i="32"/>
  <c r="J13" i="32"/>
  <c r="J17" i="32"/>
  <c r="J10" i="32"/>
  <c r="J15" i="32"/>
  <c r="I15" i="32"/>
  <c r="I17" i="32"/>
  <c r="I13" i="32"/>
  <c r="I20" i="32"/>
  <c r="I21" i="32"/>
  <c r="I10" i="32"/>
  <c r="F15" i="32"/>
  <c r="F13" i="32"/>
  <c r="F20" i="32"/>
  <c r="F21" i="32"/>
  <c r="F17" i="32"/>
  <c r="E15" i="32"/>
  <c r="E17" i="32"/>
  <c r="E13" i="32"/>
  <c r="D17" i="32"/>
  <c r="D13" i="32"/>
  <c r="D20" i="32"/>
  <c r="D21" i="32"/>
  <c r="D15" i="32"/>
  <c r="C15" i="32"/>
  <c r="C17" i="32"/>
  <c r="C13" i="32"/>
  <c r="I17" i="6"/>
  <c r="I20" i="6"/>
  <c r="H26" i="6"/>
  <c r="H22" i="6"/>
  <c r="H28" i="6"/>
  <c r="R9" i="32"/>
  <c r="U10" i="32"/>
  <c r="G9" i="32"/>
  <c r="E20" i="32"/>
  <c r="E21" i="32"/>
  <c r="D17" i="13"/>
  <c r="D38" i="13"/>
  <c r="C17" i="13"/>
  <c r="C38" i="13"/>
  <c r="E14" i="13"/>
  <c r="D46" i="13"/>
  <c r="D14" i="13"/>
  <c r="E54" i="13"/>
  <c r="F54" i="13"/>
  <c r="F12" i="8"/>
  <c r="D33" i="13"/>
  <c r="E33" i="13"/>
  <c r="F33" i="13"/>
  <c r="G33" i="13"/>
  <c r="H33" i="13"/>
  <c r="I33" i="13"/>
  <c r="J33" i="13"/>
  <c r="K33" i="13"/>
  <c r="L33" i="13"/>
  <c r="C54" i="13"/>
  <c r="E49" i="13"/>
  <c r="F49" i="13"/>
  <c r="G49" i="13"/>
  <c r="D49" i="13"/>
  <c r="C49" i="13"/>
  <c r="C46" i="13"/>
  <c r="E17" i="13"/>
  <c r="E38" i="13"/>
  <c r="E15" i="13"/>
  <c r="D15" i="13"/>
  <c r="C15" i="13"/>
  <c r="C14" i="13"/>
  <c r="E13" i="13"/>
  <c r="F13" i="13"/>
  <c r="F7" i="7"/>
  <c r="D13" i="13"/>
  <c r="C13" i="13"/>
  <c r="E19" i="13"/>
  <c r="E40" i="13"/>
  <c r="D19" i="13"/>
  <c r="D40" i="13"/>
  <c r="C19" i="13"/>
  <c r="C40" i="13"/>
  <c r="E18" i="13"/>
  <c r="E39" i="13"/>
  <c r="D18" i="13"/>
  <c r="D39" i="13"/>
  <c r="C18" i="13"/>
  <c r="C39" i="13"/>
  <c r="F6" i="3"/>
  <c r="B38" i="13"/>
  <c r="D2" i="8"/>
  <c r="E2" i="8"/>
  <c r="E16" i="8"/>
  <c r="D2" i="7"/>
  <c r="C21" i="13"/>
  <c r="C30" i="13"/>
  <c r="C36" i="13"/>
  <c r="C42" i="13"/>
  <c r="C52" i="13"/>
  <c r="D2" i="13"/>
  <c r="E2" i="13"/>
  <c r="G8" i="7"/>
  <c r="H8" i="7"/>
  <c r="I8" i="7"/>
  <c r="J8" i="7"/>
  <c r="G9" i="7"/>
  <c r="H9" i="7"/>
  <c r="I9" i="7"/>
  <c r="J9" i="7"/>
  <c r="A1" i="10"/>
  <c r="D28" i="8"/>
  <c r="C28" i="8"/>
  <c r="E28" i="8"/>
  <c r="E35" i="8"/>
  <c r="C35" i="8"/>
  <c r="D35" i="8"/>
  <c r="C39" i="8"/>
  <c r="D39" i="8"/>
  <c r="E39" i="8"/>
  <c r="C10" i="5"/>
  <c r="C18" i="5"/>
  <c r="D2" i="5"/>
  <c r="E2" i="5"/>
  <c r="C11" i="6"/>
  <c r="C30" i="6"/>
  <c r="F24" i="13"/>
  <c r="F23" i="13"/>
  <c r="F4" i="6"/>
  <c r="D2" i="10"/>
  <c r="E2" i="10"/>
  <c r="F2" i="10"/>
  <c r="G2" i="10"/>
  <c r="H2" i="10"/>
  <c r="I2" i="10"/>
  <c r="J2" i="10"/>
  <c r="D2" i="9"/>
  <c r="E2" i="9"/>
  <c r="F2" i="9"/>
  <c r="G2" i="9"/>
  <c r="H2" i="9"/>
  <c r="I2" i="9"/>
  <c r="J2" i="9"/>
  <c r="D16" i="8"/>
  <c r="C16" i="8"/>
  <c r="F9" i="7"/>
  <c r="A1" i="3"/>
  <c r="A1" i="13"/>
  <c r="A1" i="5"/>
  <c r="A1" i="6"/>
  <c r="A1" i="7"/>
  <c r="A1" i="8"/>
  <c r="A1" i="9"/>
  <c r="A1" i="11"/>
  <c r="A1" i="12"/>
  <c r="F8" i="6"/>
  <c r="F11" i="5"/>
  <c r="B21" i="5"/>
  <c r="B20" i="5"/>
  <c r="J8" i="6"/>
  <c r="I8" i="6"/>
  <c r="H8" i="6"/>
  <c r="G8" i="6"/>
  <c r="E2" i="12"/>
  <c r="E3" i="12" s="1"/>
  <c r="E4" i="12" s="1"/>
  <c r="F8" i="7"/>
  <c r="AE41" i="32"/>
  <c r="AD50" i="32"/>
  <c r="AD49" i="32"/>
  <c r="AD51" i="32"/>
  <c r="AD42" i="32"/>
  <c r="AD60" i="32"/>
  <c r="AD59" i="32"/>
  <c r="AD61" i="32"/>
  <c r="Y41" i="32"/>
  <c r="X50" i="32"/>
  <c r="X49" i="32"/>
  <c r="X51" i="32"/>
  <c r="X42" i="32"/>
  <c r="X60" i="32"/>
  <c r="T41" i="32"/>
  <c r="S50" i="32"/>
  <c r="S49" i="32"/>
  <c r="S51" i="32"/>
  <c r="W51" i="32"/>
  <c r="AC52" i="32"/>
  <c r="X63" i="32"/>
  <c r="J20" i="32"/>
  <c r="J21" i="32"/>
  <c r="O20" i="32"/>
  <c r="O21" i="32"/>
  <c r="T19" i="32"/>
  <c r="T10" i="32"/>
  <c r="Q58" i="32"/>
  <c r="V58" i="32"/>
  <c r="Q56" i="32"/>
  <c r="V56" i="32"/>
  <c r="Q9" i="32"/>
  <c r="C20" i="32"/>
  <c r="C21" i="32"/>
  <c r="U20" i="32"/>
  <c r="U21" i="32"/>
  <c r="P20" i="32"/>
  <c r="P21" i="32"/>
  <c r="AA29" i="32"/>
  <c r="AF24" i="32"/>
  <c r="T20" i="32"/>
  <c r="T21" i="32"/>
  <c r="H20" i="32"/>
  <c r="H21" i="32"/>
  <c r="Q62" i="32"/>
  <c r="AF28" i="32"/>
  <c r="AA6" i="32"/>
  <c r="AA54" i="32"/>
  <c r="Y3" i="32"/>
  <c r="AA3" i="32"/>
  <c r="Z4" i="32"/>
  <c r="Z3" i="32"/>
  <c r="Q48" i="32"/>
  <c r="V48" i="32"/>
  <c r="AA48" i="32"/>
  <c r="AF48" i="32"/>
  <c r="AG48" i="32"/>
  <c r="AH48" i="32"/>
  <c r="AI48" i="32"/>
  <c r="AJ48" i="32"/>
  <c r="Q46" i="32"/>
  <c r="V46" i="32"/>
  <c r="AA46" i="32"/>
  <c r="Q51" i="32"/>
  <c r="Q63" i="32"/>
  <c r="Q64" i="32"/>
  <c r="V59" i="32"/>
  <c r="AA36" i="32"/>
  <c r="AA37" i="32"/>
  <c r="AF32" i="32"/>
  <c r="AI42" i="32"/>
  <c r="AI60" i="32"/>
  <c r="AI50" i="32"/>
  <c r="X8" i="32"/>
  <c r="W7" i="32"/>
  <c r="L10" i="32"/>
  <c r="C16" i="7"/>
  <c r="K19" i="32"/>
  <c r="K10" i="32"/>
  <c r="K13" i="32"/>
  <c r="K17" i="32"/>
  <c r="K15" i="32"/>
  <c r="AC3" i="32"/>
  <c r="G19" i="32"/>
  <c r="L19" i="32"/>
  <c r="L15" i="32"/>
  <c r="L13" i="32"/>
  <c r="L17" i="32"/>
  <c r="P10" i="32"/>
  <c r="AF5" i="32"/>
  <c r="R19" i="32"/>
  <c r="R13" i="32"/>
  <c r="R15" i="32"/>
  <c r="R17" i="32"/>
  <c r="G17" i="32"/>
  <c r="G15" i="32"/>
  <c r="G13" i="32"/>
  <c r="F2" i="12"/>
  <c r="G2" i="12" s="1"/>
  <c r="J17" i="6"/>
  <c r="J20" i="6"/>
  <c r="I26" i="6"/>
  <c r="I22" i="6"/>
  <c r="I28" i="6"/>
  <c r="C42" i="8"/>
  <c r="D42" i="8"/>
  <c r="E2" i="7"/>
  <c r="D15" i="7"/>
  <c r="D37" i="7"/>
  <c r="G24" i="13"/>
  <c r="E11" i="11"/>
  <c r="R10" i="32"/>
  <c r="D11" i="6"/>
  <c r="D16" i="6"/>
  <c r="D24" i="6"/>
  <c r="F11" i="7"/>
  <c r="D54" i="13"/>
  <c r="E46" i="13"/>
  <c r="F46" i="13"/>
  <c r="F6" i="8"/>
  <c r="E10" i="11"/>
  <c r="E9" i="11"/>
  <c r="F9" i="3"/>
  <c r="D21" i="13"/>
  <c r="D30" i="13"/>
  <c r="D36" i="13"/>
  <c r="D42" i="13"/>
  <c r="D52" i="13"/>
  <c r="F2" i="13"/>
  <c r="E21" i="13"/>
  <c r="E30" i="13"/>
  <c r="E36" i="13"/>
  <c r="E42" i="13"/>
  <c r="E52" i="13"/>
  <c r="F2" i="8"/>
  <c r="F11" i="6"/>
  <c r="F30" i="6"/>
  <c r="E11" i="6"/>
  <c r="F5" i="6"/>
  <c r="F10" i="8"/>
  <c r="G5" i="6"/>
  <c r="H24" i="13"/>
  <c r="G54" i="13"/>
  <c r="G13" i="13"/>
  <c r="G23" i="13"/>
  <c r="G4" i="6"/>
  <c r="D10" i="5"/>
  <c r="D18" i="5"/>
  <c r="E10" i="5"/>
  <c r="E18" i="5"/>
  <c r="F2" i="5"/>
  <c r="D30" i="6"/>
  <c r="C16" i="6"/>
  <c r="C24" i="6"/>
  <c r="E42" i="8"/>
  <c r="G10" i="8"/>
  <c r="H49" i="13"/>
  <c r="H10" i="8"/>
  <c r="F4" i="5"/>
  <c r="G4" i="5"/>
  <c r="H4" i="5"/>
  <c r="I4" i="5"/>
  <c r="J4" i="5"/>
  <c r="K4" i="5"/>
  <c r="L4" i="5"/>
  <c r="AE50" i="32"/>
  <c r="AE49" i="32"/>
  <c r="AE51" i="32"/>
  <c r="AE42" i="32"/>
  <c r="AE60" i="32"/>
  <c r="AE59" i="32"/>
  <c r="AE61" i="32"/>
  <c r="AD62" i="32"/>
  <c r="AD63" i="32"/>
  <c r="Z41" i="32"/>
  <c r="Y50" i="32"/>
  <c r="Y49" i="32"/>
  <c r="Y51" i="32"/>
  <c r="Y42" i="32"/>
  <c r="Y60" i="32"/>
  <c r="U41" i="32"/>
  <c r="U50" i="32"/>
  <c r="U49" i="32"/>
  <c r="U51" i="32"/>
  <c r="T50" i="32"/>
  <c r="T49" i="32"/>
  <c r="T51" i="32"/>
  <c r="S63" i="32"/>
  <c r="X52" i="32"/>
  <c r="W52" i="32"/>
  <c r="AB52" i="32"/>
  <c r="W63" i="32"/>
  <c r="X64" i="32"/>
  <c r="AC64" i="32"/>
  <c r="K20" i="32"/>
  <c r="K21" i="32"/>
  <c r="AE3" i="32"/>
  <c r="Q10" i="32"/>
  <c r="D10" i="13"/>
  <c r="D16" i="7"/>
  <c r="D19" i="7"/>
  <c r="D31" i="7"/>
  <c r="G20" i="32"/>
  <c r="G21" i="32"/>
  <c r="V57" i="32"/>
  <c r="AA58" i="32"/>
  <c r="AA56" i="32"/>
  <c r="V55" i="32"/>
  <c r="Q13" i="32"/>
  <c r="D11" i="13"/>
  <c r="Q15" i="32"/>
  <c r="Q17" i="32"/>
  <c r="Q20" i="32"/>
  <c r="Q21" i="32"/>
  <c r="Q19" i="32"/>
  <c r="AD3" i="32"/>
  <c r="V61" i="32"/>
  <c r="V62" i="32"/>
  <c r="AF29" i="32"/>
  <c r="AG24" i="32"/>
  <c r="AG28" i="32"/>
  <c r="AF46" i="32"/>
  <c r="V3" i="32"/>
  <c r="AA4" i="32"/>
  <c r="Q52" i="32"/>
  <c r="R20" i="32"/>
  <c r="R21" i="32"/>
  <c r="AF36" i="32"/>
  <c r="AF37" i="32"/>
  <c r="AG32" i="32"/>
  <c r="AF6" i="32"/>
  <c r="AG6" i="32"/>
  <c r="AF54" i="32"/>
  <c r="AA59" i="32"/>
  <c r="AJ42" i="32"/>
  <c r="AJ60" i="32"/>
  <c r="AJ50" i="32"/>
  <c r="C12" i="13"/>
  <c r="X7" i="32"/>
  <c r="Y8" i="32"/>
  <c r="W9" i="32"/>
  <c r="W10" i="32"/>
  <c r="AB7" i="32"/>
  <c r="AB9" i="32"/>
  <c r="AB10" i="32"/>
  <c r="C45" i="13"/>
  <c r="C50" i="13"/>
  <c r="C32" i="13"/>
  <c r="C3" i="10"/>
  <c r="C17" i="8"/>
  <c r="C19" i="7"/>
  <c r="C47" i="13"/>
  <c r="C55" i="13"/>
  <c r="C56" i="13"/>
  <c r="AA44" i="32"/>
  <c r="D47" i="13"/>
  <c r="D56" i="13"/>
  <c r="D50" i="13"/>
  <c r="D32" i="13"/>
  <c r="D3" i="10"/>
  <c r="D17" i="8"/>
  <c r="D45" i="13"/>
  <c r="D55" i="13"/>
  <c r="C11" i="13"/>
  <c r="L20" i="32"/>
  <c r="L21" i="32"/>
  <c r="D23" i="7"/>
  <c r="D4" i="10"/>
  <c r="K17" i="6"/>
  <c r="K20" i="6"/>
  <c r="J26" i="6"/>
  <c r="J22" i="6"/>
  <c r="J28" i="6"/>
  <c r="E15" i="7"/>
  <c r="E37" i="7"/>
  <c r="F2" i="7"/>
  <c r="E16" i="6"/>
  <c r="E24" i="6"/>
  <c r="E30" i="6"/>
  <c r="F38" i="13"/>
  <c r="G46" i="13"/>
  <c r="H46" i="13"/>
  <c r="H6" i="8"/>
  <c r="G2" i="13"/>
  <c r="F21" i="13"/>
  <c r="F30" i="13"/>
  <c r="F36" i="13"/>
  <c r="F42" i="13"/>
  <c r="F52" i="13"/>
  <c r="G38" i="13"/>
  <c r="F16" i="8"/>
  <c r="G2" i="8"/>
  <c r="G11" i="6"/>
  <c r="F16" i="6"/>
  <c r="F24" i="6"/>
  <c r="H5" i="6"/>
  <c r="I24" i="13"/>
  <c r="I49" i="13"/>
  <c r="H23" i="13"/>
  <c r="H13" i="13"/>
  <c r="G7" i="7"/>
  <c r="G12" i="8"/>
  <c r="H54" i="13"/>
  <c r="G2" i="5"/>
  <c r="F10" i="5"/>
  <c r="F18" i="5"/>
  <c r="H4" i="6"/>
  <c r="I23" i="13"/>
  <c r="AE62" i="32"/>
  <c r="AE63" i="32"/>
  <c r="Z50" i="32"/>
  <c r="Z49" i="32"/>
  <c r="Z51" i="32"/>
  <c r="Z42" i="32"/>
  <c r="Z60" i="32"/>
  <c r="Y63" i="32"/>
  <c r="AD64" i="32"/>
  <c r="AD52" i="32"/>
  <c r="Z52" i="32"/>
  <c r="U63" i="32"/>
  <c r="Y52" i="32"/>
  <c r="T63" i="32"/>
  <c r="Y64" i="32"/>
  <c r="AB64" i="32"/>
  <c r="W64" i="32"/>
  <c r="AF56" i="32"/>
  <c r="AG56" i="32"/>
  <c r="AH56" i="32"/>
  <c r="AI56" i="32"/>
  <c r="AJ56" i="32"/>
  <c r="AA55" i="32"/>
  <c r="D12" i="13"/>
  <c r="AA57" i="32"/>
  <c r="AF58" i="32"/>
  <c r="AF57" i="32"/>
  <c r="AF3" i="32"/>
  <c r="AH6" i="32"/>
  <c r="AI6" i="32"/>
  <c r="AJ6" i="32"/>
  <c r="AK6" i="32"/>
  <c r="AG5" i="32"/>
  <c r="AG29" i="32"/>
  <c r="AH24" i="32"/>
  <c r="Y7" i="32"/>
  <c r="Z8" i="32"/>
  <c r="Z7" i="32"/>
  <c r="AA61" i="32"/>
  <c r="AH28" i="32"/>
  <c r="AG46" i="32"/>
  <c r="AH46" i="32"/>
  <c r="AI46" i="32"/>
  <c r="AJ46" i="32"/>
  <c r="V4" i="32"/>
  <c r="V9" i="32"/>
  <c r="V44" i="32"/>
  <c r="AG36" i="32"/>
  <c r="AG37" i="32"/>
  <c r="AH32" i="32"/>
  <c r="AH5" i="32"/>
  <c r="AG54" i="32"/>
  <c r="AA45" i="32"/>
  <c r="AA49" i="32"/>
  <c r="AA47" i="32"/>
  <c r="AA51" i="32"/>
  <c r="AG58" i="32"/>
  <c r="AF55" i="32"/>
  <c r="AF59" i="32"/>
  <c r="AC7" i="32"/>
  <c r="AC9" i="32"/>
  <c r="X9" i="32"/>
  <c r="C18" i="8"/>
  <c r="C22" i="8"/>
  <c r="C30" i="8"/>
  <c r="C44" i="8"/>
  <c r="C17" i="10"/>
  <c r="C19" i="10"/>
  <c r="C44" i="13"/>
  <c r="C4" i="10"/>
  <c r="C23" i="7"/>
  <c r="C31" i="7"/>
  <c r="D44" i="13"/>
  <c r="D18" i="8"/>
  <c r="D22" i="8"/>
  <c r="D30" i="8"/>
  <c r="D44" i="8"/>
  <c r="D17" i="10"/>
  <c r="D19" i="10"/>
  <c r="L17" i="6"/>
  <c r="L20" i="6"/>
  <c r="K26" i="6"/>
  <c r="K22" i="6"/>
  <c r="K28" i="6"/>
  <c r="G11" i="7"/>
  <c r="F15" i="7"/>
  <c r="F37" i="7"/>
  <c r="G2" i="7"/>
  <c r="J49" i="13"/>
  <c r="I10" i="8"/>
  <c r="I46" i="13"/>
  <c r="G6" i="8"/>
  <c r="D34" i="7"/>
  <c r="D16" i="13"/>
  <c r="D5" i="10"/>
  <c r="D7" i="10"/>
  <c r="H2" i="13"/>
  <c r="G21" i="13"/>
  <c r="G30" i="13"/>
  <c r="G36" i="13"/>
  <c r="G42" i="13"/>
  <c r="G52" i="13"/>
  <c r="G16" i="8"/>
  <c r="H2" i="8"/>
  <c r="H11" i="6"/>
  <c r="J24" i="13"/>
  <c r="K24" i="13"/>
  <c r="I5" i="6"/>
  <c r="H12" i="8"/>
  <c r="I54" i="13"/>
  <c r="I13" i="13"/>
  <c r="H7" i="7"/>
  <c r="H2" i="5"/>
  <c r="I4" i="6"/>
  <c r="J23" i="13"/>
  <c r="K23" i="13"/>
  <c r="AE52" i="32"/>
  <c r="Z63" i="32"/>
  <c r="AG3" i="32"/>
  <c r="AF44" i="32"/>
  <c r="AF45" i="32"/>
  <c r="AF4" i="32"/>
  <c r="J46" i="13"/>
  <c r="I6" i="8"/>
  <c r="AH29" i="32"/>
  <c r="AI24" i="32"/>
  <c r="Y9" i="32"/>
  <c r="Y10" i="32"/>
  <c r="AA7" i="32"/>
  <c r="AD7" i="32"/>
  <c r="AE7" i="32"/>
  <c r="AE9" i="32"/>
  <c r="Z9" i="32"/>
  <c r="Z10" i="32"/>
  <c r="AA62" i="32"/>
  <c r="AA63" i="32"/>
  <c r="AI28" i="32"/>
  <c r="AJ28" i="32"/>
  <c r="V13" i="32"/>
  <c r="V19" i="32"/>
  <c r="W19" i="32"/>
  <c r="V17" i="32"/>
  <c r="W17" i="32"/>
  <c r="E16" i="7"/>
  <c r="V15" i="32"/>
  <c r="V10" i="32"/>
  <c r="E10" i="13"/>
  <c r="V45" i="32"/>
  <c r="V47" i="32"/>
  <c r="V49" i="32"/>
  <c r="AH36" i="32"/>
  <c r="AH37" i="32"/>
  <c r="AI32" i="32"/>
  <c r="AH54" i="32"/>
  <c r="AI5" i="32"/>
  <c r="AC10" i="32"/>
  <c r="AF61" i="32"/>
  <c r="AG57" i="32"/>
  <c r="AH58" i="32"/>
  <c r="AG55" i="32"/>
  <c r="AG59" i="32"/>
  <c r="D20" i="10"/>
  <c r="X10" i="32"/>
  <c r="C34" i="7"/>
  <c r="C16" i="13"/>
  <c r="C5" i="10"/>
  <c r="C7" i="10"/>
  <c r="C20" i="10"/>
  <c r="L26" i="6"/>
  <c r="L22" i="6"/>
  <c r="L28" i="6"/>
  <c r="H38" i="13"/>
  <c r="H11" i="7"/>
  <c r="G15" i="7"/>
  <c r="H2" i="7"/>
  <c r="K49" i="13"/>
  <c r="J10" i="8"/>
  <c r="D40" i="7"/>
  <c r="D41" i="7"/>
  <c r="K5" i="6"/>
  <c r="L24" i="13"/>
  <c r="L5" i="6"/>
  <c r="K4" i="6"/>
  <c r="L23" i="13"/>
  <c r="L4" i="6"/>
  <c r="F5" i="10"/>
  <c r="E4" i="11"/>
  <c r="L4" i="11"/>
  <c r="L5" i="11"/>
  <c r="L6" i="11"/>
  <c r="L7" i="11"/>
  <c r="I2" i="13"/>
  <c r="H21" i="13"/>
  <c r="H30" i="13"/>
  <c r="H36" i="13"/>
  <c r="H42" i="13"/>
  <c r="H52" i="13"/>
  <c r="I38" i="13"/>
  <c r="I11" i="7"/>
  <c r="I2" i="8"/>
  <c r="H16" i="8"/>
  <c r="J11" i="6"/>
  <c r="I11" i="6"/>
  <c r="J5" i="6"/>
  <c r="J13" i="13"/>
  <c r="K13" i="13"/>
  <c r="I7" i="7"/>
  <c r="J54" i="13"/>
  <c r="K54" i="13"/>
  <c r="I12" i="8"/>
  <c r="I2" i="5"/>
  <c r="J4" i="6"/>
  <c r="F18" i="13"/>
  <c r="Z64" i="32"/>
  <c r="AE64" i="32"/>
  <c r="J6" i="8"/>
  <c r="K46" i="13"/>
  <c r="AG44" i="32"/>
  <c r="AH3" i="32"/>
  <c r="AF49" i="32"/>
  <c r="AF47" i="32"/>
  <c r="AI29" i="32"/>
  <c r="AJ24" i="32"/>
  <c r="AJ29" i="32"/>
  <c r="AK24" i="32"/>
  <c r="V51" i="32"/>
  <c r="AE10" i="32"/>
  <c r="V20" i="32"/>
  <c r="V21" i="32"/>
  <c r="AA9" i="32"/>
  <c r="AA10" i="32"/>
  <c r="F6" i="13"/>
  <c r="AA8" i="32"/>
  <c r="AD9" i="32"/>
  <c r="AD10" i="32"/>
  <c r="AF7" i="32"/>
  <c r="AI54" i="32"/>
  <c r="AJ5" i="32"/>
  <c r="AG61" i="32"/>
  <c r="AG62" i="32"/>
  <c r="E11" i="13"/>
  <c r="W13" i="32"/>
  <c r="W18" i="32"/>
  <c r="X19" i="32"/>
  <c r="X17" i="32"/>
  <c r="W16" i="32"/>
  <c r="E56" i="13"/>
  <c r="F56" i="13"/>
  <c r="E55" i="13"/>
  <c r="F55" i="13"/>
  <c r="E47" i="13"/>
  <c r="F47" i="13"/>
  <c r="E17" i="8"/>
  <c r="E32" i="13"/>
  <c r="F32" i="13"/>
  <c r="E50" i="13"/>
  <c r="F50" i="13"/>
  <c r="E45" i="13"/>
  <c r="F45" i="13"/>
  <c r="E3" i="10"/>
  <c r="E19" i="7"/>
  <c r="W15" i="32"/>
  <c r="E12" i="13"/>
  <c r="AA52" i="32"/>
  <c r="V63" i="32"/>
  <c r="V52" i="32"/>
  <c r="AI36" i="32"/>
  <c r="AI37" i="32"/>
  <c r="AJ32" i="32"/>
  <c r="AJ36" i="32"/>
  <c r="AF62" i="32"/>
  <c r="AI58" i="32"/>
  <c r="AJ58" i="32"/>
  <c r="AH57" i="32"/>
  <c r="AH59" i="32"/>
  <c r="AH55" i="32"/>
  <c r="C41" i="7"/>
  <c r="C40" i="7"/>
  <c r="L49" i="13"/>
  <c r="L10" i="8"/>
  <c r="K10" i="8"/>
  <c r="H15" i="7"/>
  <c r="I2" i="7"/>
  <c r="K11" i="7"/>
  <c r="K38" i="13"/>
  <c r="K7" i="7"/>
  <c r="L13" i="13"/>
  <c r="L7" i="7"/>
  <c r="K12" i="8"/>
  <c r="L54" i="13"/>
  <c r="L12" i="8"/>
  <c r="G10" i="7"/>
  <c r="J2" i="13"/>
  <c r="I21" i="13"/>
  <c r="I30" i="13"/>
  <c r="I36" i="13"/>
  <c r="I42" i="13"/>
  <c r="I52" i="13"/>
  <c r="J38" i="13"/>
  <c r="J11" i="7"/>
  <c r="G18" i="13"/>
  <c r="G39" i="13"/>
  <c r="F39" i="13"/>
  <c r="I16" i="8"/>
  <c r="J2" i="8"/>
  <c r="J16" i="8"/>
  <c r="J12" i="8"/>
  <c r="J7" i="7"/>
  <c r="J2" i="5"/>
  <c r="F19" i="13"/>
  <c r="F10" i="7"/>
  <c r="E12" i="11"/>
  <c r="F12" i="7"/>
  <c r="AF51" i="32"/>
  <c r="K6" i="8"/>
  <c r="L46" i="13"/>
  <c r="L6" i="8"/>
  <c r="AG45" i="32"/>
  <c r="AG47" i="32"/>
  <c r="AG49" i="32"/>
  <c r="AG51" i="32"/>
  <c r="AH61" i="32"/>
  <c r="AH62" i="32"/>
  <c r="AH44" i="32"/>
  <c r="AI3" i="32"/>
  <c r="AJ37" i="32"/>
  <c r="AK32" i="32"/>
  <c r="AK5" i="32"/>
  <c r="AJ54" i="32"/>
  <c r="AF9" i="32"/>
  <c r="AF10" i="32"/>
  <c r="G6" i="13"/>
  <c r="AF8" i="32"/>
  <c r="AG8" i="32"/>
  <c r="X13" i="32"/>
  <c r="W12" i="32"/>
  <c r="X18" i="32"/>
  <c r="Y19" i="32"/>
  <c r="X16" i="32"/>
  <c r="Y17" i="32"/>
  <c r="F14" i="8"/>
  <c r="G56" i="13"/>
  <c r="G55" i="13"/>
  <c r="F13" i="8"/>
  <c r="F7" i="8"/>
  <c r="G47" i="13"/>
  <c r="E19" i="5"/>
  <c r="E25" i="5"/>
  <c r="E17" i="10"/>
  <c r="E19" i="10"/>
  <c r="E44" i="13"/>
  <c r="F44" i="13"/>
  <c r="E18" i="8"/>
  <c r="F3" i="5"/>
  <c r="G32" i="13"/>
  <c r="F9" i="8"/>
  <c r="G50" i="13"/>
  <c r="G45" i="13"/>
  <c r="F5" i="8"/>
  <c r="E31" i="7"/>
  <c r="E4" i="10"/>
  <c r="E23" i="7"/>
  <c r="W14" i="32"/>
  <c r="X15" i="32"/>
  <c r="AA64" i="32"/>
  <c r="G7" i="13"/>
  <c r="V64" i="32"/>
  <c r="F7" i="13"/>
  <c r="AI59" i="32"/>
  <c r="AI57" i="32"/>
  <c r="AI55" i="32"/>
  <c r="F8" i="13"/>
  <c r="I15" i="7"/>
  <c r="J2" i="7"/>
  <c r="L11" i="7"/>
  <c r="L38" i="13"/>
  <c r="J21" i="13"/>
  <c r="J30" i="13"/>
  <c r="J36" i="13"/>
  <c r="J42" i="13"/>
  <c r="J52" i="13"/>
  <c r="K2" i="13"/>
  <c r="H10" i="7"/>
  <c r="G12" i="7"/>
  <c r="G19" i="13"/>
  <c r="F40" i="13"/>
  <c r="H18" i="13"/>
  <c r="H39" i="13"/>
  <c r="M4" i="11"/>
  <c r="F13" i="7"/>
  <c r="AF52" i="32"/>
  <c r="AF63" i="32"/>
  <c r="AF64" i="32"/>
  <c r="H7" i="13"/>
  <c r="AG52" i="32"/>
  <c r="AG63" i="32"/>
  <c r="AH49" i="32"/>
  <c r="AH45" i="32"/>
  <c r="AH47" i="32"/>
  <c r="AI44" i="32"/>
  <c r="AJ3" i="32"/>
  <c r="AG64" i="32"/>
  <c r="I7" i="13"/>
  <c r="W20" i="32"/>
  <c r="W21" i="32"/>
  <c r="AH8" i="32"/>
  <c r="AI8" i="32"/>
  <c r="AJ8" i="32"/>
  <c r="AK8" i="32"/>
  <c r="AG7" i="32"/>
  <c r="Y13" i="32"/>
  <c r="X12" i="32"/>
  <c r="Z19" i="32"/>
  <c r="Z18" i="32"/>
  <c r="Y18" i="32"/>
  <c r="Z17" i="32"/>
  <c r="Z16" i="32"/>
  <c r="Y16" i="32"/>
  <c r="AA16" i="32"/>
  <c r="AA17" i="32"/>
  <c r="AB17" i="32"/>
  <c r="G14" i="8"/>
  <c r="H56" i="13"/>
  <c r="G13" i="8"/>
  <c r="H55" i="13"/>
  <c r="H47" i="13"/>
  <c r="G7" i="8"/>
  <c r="F4" i="8"/>
  <c r="G4" i="8"/>
  <c r="H4" i="8"/>
  <c r="I4" i="8"/>
  <c r="J4" i="8"/>
  <c r="K4" i="8"/>
  <c r="L4" i="8"/>
  <c r="G44" i="13"/>
  <c r="H44" i="13"/>
  <c r="I44" i="13"/>
  <c r="J44" i="13"/>
  <c r="K44" i="13"/>
  <c r="L44" i="13"/>
  <c r="H32" i="13"/>
  <c r="G3" i="5"/>
  <c r="G9" i="8"/>
  <c r="H50" i="13"/>
  <c r="G5" i="8"/>
  <c r="H45" i="13"/>
  <c r="E16" i="13"/>
  <c r="E5" i="10"/>
  <c r="E7" i="10"/>
  <c r="E20" i="10"/>
  <c r="E34" i="7"/>
  <c r="Y15" i="32"/>
  <c r="X14" i="32"/>
  <c r="F21" i="9"/>
  <c r="E22" i="8"/>
  <c r="E30" i="8"/>
  <c r="E44" i="8"/>
  <c r="E25" i="13"/>
  <c r="F25" i="13"/>
  <c r="AI61" i="32"/>
  <c r="G10" i="13"/>
  <c r="G4" i="7"/>
  <c r="G8" i="13"/>
  <c r="J15" i="7"/>
  <c r="K2" i="7"/>
  <c r="K21" i="13"/>
  <c r="K30" i="13"/>
  <c r="K36" i="13"/>
  <c r="K42" i="13"/>
  <c r="K52" i="13"/>
  <c r="L2" i="13"/>
  <c r="L21" i="13"/>
  <c r="L30" i="13"/>
  <c r="L36" i="13"/>
  <c r="L42" i="13"/>
  <c r="L52" i="13"/>
  <c r="G40" i="13"/>
  <c r="G13" i="7"/>
  <c r="I18" i="13"/>
  <c r="H19" i="13"/>
  <c r="H12" i="7"/>
  <c r="J16" i="13"/>
  <c r="I10" i="7"/>
  <c r="I19" i="13"/>
  <c r="I40" i="13"/>
  <c r="J18" i="13"/>
  <c r="M5" i="11"/>
  <c r="AI49" i="32"/>
  <c r="AI47" i="32"/>
  <c r="AI45" i="32"/>
  <c r="AA18" i="32"/>
  <c r="AA19" i="32"/>
  <c r="AB19" i="32"/>
  <c r="AH51" i="32"/>
  <c r="AJ44" i="32"/>
  <c r="AK3" i="32"/>
  <c r="AH7" i="32"/>
  <c r="AG9" i="32"/>
  <c r="AG10" i="32"/>
  <c r="H6" i="13"/>
  <c r="Z13" i="32"/>
  <c r="Z12" i="32"/>
  <c r="Y12" i="32"/>
  <c r="AB16" i="32"/>
  <c r="AC17" i="32"/>
  <c r="I56" i="13"/>
  <c r="H14" i="8"/>
  <c r="H13" i="8"/>
  <c r="I55" i="13"/>
  <c r="I47" i="13"/>
  <c r="H7" i="8"/>
  <c r="H3" i="5"/>
  <c r="I32" i="13"/>
  <c r="H9" i="8"/>
  <c r="I50" i="13"/>
  <c r="H5" i="8"/>
  <c r="I45" i="13"/>
  <c r="E40" i="7"/>
  <c r="E41" i="7"/>
  <c r="Y14" i="32"/>
  <c r="Z15" i="32"/>
  <c r="Z14" i="32"/>
  <c r="F6" i="6"/>
  <c r="F32" i="6"/>
  <c r="G25" i="13"/>
  <c r="X20" i="32"/>
  <c r="X21" i="32"/>
  <c r="AJ59" i="32"/>
  <c r="AI62" i="32"/>
  <c r="AJ57" i="32"/>
  <c r="AJ55" i="32"/>
  <c r="K15" i="7"/>
  <c r="L2" i="7"/>
  <c r="L15" i="7"/>
  <c r="I39" i="13"/>
  <c r="I12" i="7"/>
  <c r="H40" i="13"/>
  <c r="H13" i="7"/>
  <c r="J10" i="7"/>
  <c r="K16" i="13"/>
  <c r="J39" i="13"/>
  <c r="K18" i="13"/>
  <c r="J12" i="7"/>
  <c r="J19" i="13"/>
  <c r="I13" i="7"/>
  <c r="M6" i="11"/>
  <c r="M7" i="11"/>
  <c r="AB18" i="32"/>
  <c r="AC19" i="32"/>
  <c r="AH52" i="32"/>
  <c r="AH63" i="32"/>
  <c r="AH64" i="32"/>
  <c r="J7" i="13"/>
  <c r="AJ45" i="32"/>
  <c r="AJ49" i="32"/>
  <c r="AJ47" i="32"/>
  <c r="AI51" i="32"/>
  <c r="AI7" i="32"/>
  <c r="AH9" i="32"/>
  <c r="AH10" i="32"/>
  <c r="I6" i="13"/>
  <c r="H8" i="13"/>
  <c r="H10" i="13"/>
  <c r="H4" i="7"/>
  <c r="Y20" i="32"/>
  <c r="Y21" i="32"/>
  <c r="AA12" i="32"/>
  <c r="AC18" i="32"/>
  <c r="AD19" i="32"/>
  <c r="AD17" i="32"/>
  <c r="AC16" i="32"/>
  <c r="I14" i="8"/>
  <c r="J56" i="13"/>
  <c r="I13" i="8"/>
  <c r="J55" i="13"/>
  <c r="I7" i="8"/>
  <c r="J47" i="13"/>
  <c r="I3" i="5"/>
  <c r="J32" i="13"/>
  <c r="I9" i="8"/>
  <c r="J50" i="13"/>
  <c r="J45" i="13"/>
  <c r="I5" i="8"/>
  <c r="G6" i="6"/>
  <c r="G32" i="6"/>
  <c r="H25" i="13"/>
  <c r="AA14" i="32"/>
  <c r="AA15" i="32"/>
  <c r="Z20" i="32"/>
  <c r="Z21" i="32"/>
  <c r="AJ61" i="32"/>
  <c r="K10" i="7"/>
  <c r="L16" i="13"/>
  <c r="L10" i="7"/>
  <c r="K12" i="7"/>
  <c r="K39" i="13"/>
  <c r="L18" i="13"/>
  <c r="J40" i="13"/>
  <c r="K19" i="13"/>
  <c r="J13" i="7"/>
  <c r="M9" i="11"/>
  <c r="M11" i="11"/>
  <c r="E8" i="11"/>
  <c r="E13" i="11"/>
  <c r="K6" i="12"/>
  <c r="AI63" i="32"/>
  <c r="AI64" i="32"/>
  <c r="K7" i="13"/>
  <c r="AI52" i="32"/>
  <c r="AJ51" i="32"/>
  <c r="AJ7" i="32"/>
  <c r="AI9" i="32"/>
  <c r="AI10" i="32"/>
  <c r="J6" i="13"/>
  <c r="I8" i="13"/>
  <c r="I10" i="13"/>
  <c r="I4" i="7"/>
  <c r="AA13" i="32"/>
  <c r="AA20" i="32"/>
  <c r="AA21" i="32"/>
  <c r="AE19" i="32"/>
  <c r="AE18" i="32"/>
  <c r="AD18" i="32"/>
  <c r="AF18" i="32"/>
  <c r="AF19" i="32"/>
  <c r="AG19" i="32"/>
  <c r="AE17" i="32"/>
  <c r="AE16" i="32"/>
  <c r="AD16" i="32"/>
  <c r="J14" i="8"/>
  <c r="K56" i="13"/>
  <c r="J13" i="8"/>
  <c r="K55" i="13"/>
  <c r="K47" i="13"/>
  <c r="J7" i="8"/>
  <c r="K32" i="13"/>
  <c r="J3" i="5"/>
  <c r="J9" i="8"/>
  <c r="K50" i="13"/>
  <c r="J5" i="8"/>
  <c r="K45" i="13"/>
  <c r="I25" i="13"/>
  <c r="H6" i="6"/>
  <c r="H32" i="6"/>
  <c r="F12" i="13"/>
  <c r="F6" i="7"/>
  <c r="AB15" i="32"/>
  <c r="AJ62" i="32"/>
  <c r="F3" i="12"/>
  <c r="F4" i="12" s="1"/>
  <c r="D3" i="12"/>
  <c r="D4" i="12" s="1"/>
  <c r="L12" i="7"/>
  <c r="L39" i="13"/>
  <c r="K13" i="7"/>
  <c r="K40" i="13"/>
  <c r="L19" i="13"/>
  <c r="AF16" i="32"/>
  <c r="AF17" i="32"/>
  <c r="AG17" i="32"/>
  <c r="AJ52" i="32"/>
  <c r="AJ63" i="32"/>
  <c r="AJ64" i="32"/>
  <c r="L7" i="13"/>
  <c r="AK7" i="32"/>
  <c r="AK9" i="32"/>
  <c r="AJ9" i="32"/>
  <c r="AJ10" i="32"/>
  <c r="K6" i="13"/>
  <c r="J10" i="13"/>
  <c r="J4" i="7"/>
  <c r="J8" i="13"/>
  <c r="AB13" i="32"/>
  <c r="F11" i="13"/>
  <c r="AH19" i="32"/>
  <c r="AG18" i="32"/>
  <c r="K14" i="8"/>
  <c r="L56" i="13"/>
  <c r="L14" i="8"/>
  <c r="L55" i="13"/>
  <c r="L13" i="8"/>
  <c r="K13" i="8"/>
  <c r="K7" i="8"/>
  <c r="L47" i="13"/>
  <c r="L7" i="8"/>
  <c r="L32" i="13"/>
  <c r="L3" i="5"/>
  <c r="K3" i="5"/>
  <c r="K9" i="8"/>
  <c r="L50" i="13"/>
  <c r="L9" i="8"/>
  <c r="K5" i="8"/>
  <c r="L45" i="13"/>
  <c r="L5" i="8"/>
  <c r="J25" i="13"/>
  <c r="I6" i="6"/>
  <c r="I32" i="6"/>
  <c r="AC15" i="32"/>
  <c r="AB14" i="32"/>
  <c r="L13" i="7"/>
  <c r="L40" i="13"/>
  <c r="AH17" i="32"/>
  <c r="AG16" i="32"/>
  <c r="AK10" i="32"/>
  <c r="L6" i="13"/>
  <c r="K10" i="13"/>
  <c r="K4" i="7"/>
  <c r="K8" i="13"/>
  <c r="AB12" i="32"/>
  <c r="AC13" i="32"/>
  <c r="G11" i="13"/>
  <c r="F5" i="7"/>
  <c r="AH18" i="32"/>
  <c r="AI19" i="32"/>
  <c r="J6" i="6"/>
  <c r="J32" i="6"/>
  <c r="K25" i="13"/>
  <c r="AC14" i="32"/>
  <c r="AD15" i="32"/>
  <c r="F10" i="13"/>
  <c r="L10" i="13"/>
  <c r="L4" i="7"/>
  <c r="L8" i="13"/>
  <c r="AH16" i="32"/>
  <c r="AI17" i="32"/>
  <c r="AB20" i="32"/>
  <c r="AB21" i="32"/>
  <c r="AD13" i="32"/>
  <c r="AC12" i="32"/>
  <c r="G5" i="7"/>
  <c r="H11" i="13"/>
  <c r="AI18" i="32"/>
  <c r="AJ19" i="32"/>
  <c r="K6" i="6"/>
  <c r="K32" i="6"/>
  <c r="L25" i="13"/>
  <c r="L6" i="6"/>
  <c r="L32" i="6"/>
  <c r="AD14" i="32"/>
  <c r="AE15" i="32"/>
  <c r="AE14" i="32"/>
  <c r="F4" i="7"/>
  <c r="F16" i="7"/>
  <c r="AJ17" i="32"/>
  <c r="AI16" i="32"/>
  <c r="AD12" i="32"/>
  <c r="AE13" i="32"/>
  <c r="AE12" i="32"/>
  <c r="AE20" i="32"/>
  <c r="AE21" i="32"/>
  <c r="H5" i="7"/>
  <c r="I11" i="13"/>
  <c r="AK19" i="32"/>
  <c r="AK18" i="32"/>
  <c r="AJ18" i="32"/>
  <c r="AF14" i="32"/>
  <c r="AF15" i="32"/>
  <c r="G12" i="13"/>
  <c r="G6" i="7"/>
  <c r="AC20" i="32"/>
  <c r="AC21" i="32"/>
  <c r="AG15" i="32"/>
  <c r="F18" i="7"/>
  <c r="F3" i="10"/>
  <c r="F17" i="7"/>
  <c r="F7" i="5"/>
  <c r="F17" i="8"/>
  <c r="F34" i="8"/>
  <c r="F24" i="5"/>
  <c r="F19" i="8"/>
  <c r="F21" i="5"/>
  <c r="F21" i="8"/>
  <c r="F22" i="5"/>
  <c r="F38" i="8"/>
  <c r="F27" i="8"/>
  <c r="G16" i="7"/>
  <c r="AK17" i="32"/>
  <c r="AK16" i="32"/>
  <c r="AJ16" i="32"/>
  <c r="AD20" i="32"/>
  <c r="AD21" i="32"/>
  <c r="AF12" i="32"/>
  <c r="AF13" i="32"/>
  <c r="J11" i="13"/>
  <c r="I5" i="7"/>
  <c r="F19" i="7"/>
  <c r="AG14" i="32"/>
  <c r="H12" i="13"/>
  <c r="H6" i="7"/>
  <c r="AH15" i="32"/>
  <c r="F20" i="8"/>
  <c r="F33" i="8"/>
  <c r="F9" i="5"/>
  <c r="F11" i="9"/>
  <c r="F12" i="9"/>
  <c r="F13" i="10"/>
  <c r="F19" i="5"/>
  <c r="F39" i="8"/>
  <c r="F8" i="9"/>
  <c r="F12" i="10"/>
  <c r="F7" i="9"/>
  <c r="F11" i="10"/>
  <c r="G38" i="8"/>
  <c r="G34" i="8"/>
  <c r="G24" i="5"/>
  <c r="G27" i="8"/>
  <c r="G7" i="9"/>
  <c r="G11" i="10"/>
  <c r="G21" i="8"/>
  <c r="G22" i="5"/>
  <c r="G17" i="8"/>
  <c r="H16" i="7"/>
  <c r="G19" i="8"/>
  <c r="G21" i="5"/>
  <c r="G3" i="10"/>
  <c r="G7" i="5"/>
  <c r="G11" i="9"/>
  <c r="G12" i="9"/>
  <c r="G13" i="10"/>
  <c r="G18" i="7"/>
  <c r="G17" i="7"/>
  <c r="J5" i="7"/>
  <c r="K11" i="13"/>
  <c r="AG13" i="32"/>
  <c r="AF20" i="32"/>
  <c r="AF21" i="32"/>
  <c r="F31" i="7"/>
  <c r="F33" i="7"/>
  <c r="F34" i="7"/>
  <c r="F4" i="10"/>
  <c r="F7" i="10"/>
  <c r="F23" i="7"/>
  <c r="AI15" i="32"/>
  <c r="I12" i="13"/>
  <c r="I6" i="7"/>
  <c r="AH14" i="32"/>
  <c r="G19" i="7"/>
  <c r="F20" i="5"/>
  <c r="F23" i="5"/>
  <c r="F18" i="10"/>
  <c r="F24" i="8"/>
  <c r="G6" i="5"/>
  <c r="G39" i="8"/>
  <c r="G8" i="9"/>
  <c r="G12" i="10"/>
  <c r="G19" i="5"/>
  <c r="H38" i="8"/>
  <c r="H34" i="8"/>
  <c r="H24" i="5"/>
  <c r="H27" i="8"/>
  <c r="H21" i="8"/>
  <c r="H22" i="5"/>
  <c r="H17" i="8"/>
  <c r="H3" i="10"/>
  <c r="H7" i="5"/>
  <c r="H11" i="9"/>
  <c r="H12" i="9"/>
  <c r="H13" i="10"/>
  <c r="H18" i="7"/>
  <c r="I16" i="7"/>
  <c r="H19" i="8"/>
  <c r="H21" i="5"/>
  <c r="H17" i="7"/>
  <c r="G20" i="8"/>
  <c r="G20" i="5"/>
  <c r="G33" i="8"/>
  <c r="K5" i="7"/>
  <c r="L11" i="13"/>
  <c r="L5" i="7"/>
  <c r="AG12" i="32"/>
  <c r="AG20" i="32"/>
  <c r="AG21" i="32"/>
  <c r="AH13" i="32"/>
  <c r="F25" i="5"/>
  <c r="F26" i="5"/>
  <c r="F6" i="9"/>
  <c r="F10" i="10"/>
  <c r="F15" i="10"/>
  <c r="F40" i="7"/>
  <c r="F14" i="5"/>
  <c r="F17" i="5"/>
  <c r="F3" i="9"/>
  <c r="F41" i="7"/>
  <c r="G31" i="7"/>
  <c r="G33" i="7"/>
  <c r="G34" i="7"/>
  <c r="G4" i="10"/>
  <c r="G7" i="10"/>
  <c r="AJ15" i="32"/>
  <c r="J12" i="13"/>
  <c r="J6" i="7"/>
  <c r="AI14" i="32"/>
  <c r="H19" i="7"/>
  <c r="F28" i="8"/>
  <c r="F17" i="10"/>
  <c r="F19" i="10"/>
  <c r="F20" i="10"/>
  <c r="G23" i="5"/>
  <c r="G25" i="5"/>
  <c r="G18" i="10"/>
  <c r="G8" i="5"/>
  <c r="H39" i="8"/>
  <c r="H8" i="9"/>
  <c r="H12" i="10"/>
  <c r="H7" i="9"/>
  <c r="H11" i="10"/>
  <c r="H19" i="5"/>
  <c r="I38" i="8"/>
  <c r="I34" i="8"/>
  <c r="I24" i="5"/>
  <c r="I27" i="8"/>
  <c r="I7" i="9"/>
  <c r="I11" i="10"/>
  <c r="I21" i="8"/>
  <c r="I22" i="5"/>
  <c r="I19" i="8"/>
  <c r="I21" i="5"/>
  <c r="I18" i="7"/>
  <c r="J16" i="7"/>
  <c r="I17" i="8"/>
  <c r="I3" i="10"/>
  <c r="I7" i="5"/>
  <c r="I11" i="9"/>
  <c r="I12" i="9"/>
  <c r="I13" i="10"/>
  <c r="I17" i="7"/>
  <c r="H20" i="8"/>
  <c r="H20" i="5"/>
  <c r="H33" i="8"/>
  <c r="AH12" i="32"/>
  <c r="AH20" i="32"/>
  <c r="AH21" i="32"/>
  <c r="AI13" i="32"/>
  <c r="G26" i="5"/>
  <c r="G6" i="9"/>
  <c r="G10" i="10"/>
  <c r="F9" i="9"/>
  <c r="F19" i="9"/>
  <c r="F22" i="9"/>
  <c r="F23" i="9"/>
  <c r="G13" i="5"/>
  <c r="F41" i="8"/>
  <c r="G21" i="7"/>
  <c r="G9" i="5"/>
  <c r="H4" i="10"/>
  <c r="H7" i="10"/>
  <c r="H31" i="7"/>
  <c r="H33" i="7"/>
  <c r="H34" i="7"/>
  <c r="AK15" i="32"/>
  <c r="K12" i="13"/>
  <c r="K6" i="7"/>
  <c r="AJ14" i="32"/>
  <c r="H23" i="5"/>
  <c r="H25" i="5"/>
  <c r="H26" i="5"/>
  <c r="H6" i="9"/>
  <c r="H10" i="10"/>
  <c r="H18" i="10"/>
  <c r="I19" i="7"/>
  <c r="G3" i="9"/>
  <c r="G14" i="5"/>
  <c r="G41" i="7"/>
  <c r="G40" i="7"/>
  <c r="I8" i="9"/>
  <c r="I12" i="10"/>
  <c r="I39" i="8"/>
  <c r="J38" i="8"/>
  <c r="J34" i="8"/>
  <c r="J24" i="5"/>
  <c r="J27" i="8"/>
  <c r="J19" i="8"/>
  <c r="J21" i="5"/>
  <c r="J3" i="10"/>
  <c r="J18" i="7"/>
  <c r="K16" i="7"/>
  <c r="J21" i="8"/>
  <c r="J22" i="5"/>
  <c r="J17" i="8"/>
  <c r="J7" i="5"/>
  <c r="J11" i="9"/>
  <c r="J12" i="9"/>
  <c r="J13" i="10"/>
  <c r="J17" i="7"/>
  <c r="I19" i="5"/>
  <c r="I33" i="8"/>
  <c r="I20" i="8"/>
  <c r="AI12" i="32"/>
  <c r="AI20" i="32"/>
  <c r="AI21" i="32"/>
  <c r="AJ13" i="32"/>
  <c r="F32" i="8"/>
  <c r="F18" i="8"/>
  <c r="G17" i="5"/>
  <c r="G4" i="9"/>
  <c r="G23" i="7"/>
  <c r="G24" i="8"/>
  <c r="H6" i="5"/>
  <c r="H8" i="5"/>
  <c r="L12" i="13"/>
  <c r="L6" i="7"/>
  <c r="AK14" i="32"/>
  <c r="I23" i="5"/>
  <c r="I18" i="10"/>
  <c r="I20" i="5"/>
  <c r="J19" i="7"/>
  <c r="I4" i="10"/>
  <c r="I7" i="10"/>
  <c r="I31" i="7"/>
  <c r="I33" i="7"/>
  <c r="I34" i="7"/>
  <c r="H3" i="9"/>
  <c r="H14" i="5"/>
  <c r="H41" i="7"/>
  <c r="H40" i="7"/>
  <c r="J8" i="9"/>
  <c r="J12" i="10"/>
  <c r="J39" i="8"/>
  <c r="J7" i="9"/>
  <c r="J11" i="10"/>
  <c r="K34" i="8"/>
  <c r="K24" i="5"/>
  <c r="K27" i="8"/>
  <c r="K7" i="9"/>
  <c r="K11" i="10"/>
  <c r="K19" i="8"/>
  <c r="K21" i="5"/>
  <c r="L16" i="7"/>
  <c r="K38" i="8"/>
  <c r="K21" i="8"/>
  <c r="K22" i="5"/>
  <c r="K17" i="8"/>
  <c r="K3" i="10"/>
  <c r="K7" i="5"/>
  <c r="K11" i="9"/>
  <c r="K12" i="9"/>
  <c r="K13" i="10"/>
  <c r="K18" i="7"/>
  <c r="K17" i="7"/>
  <c r="J19" i="5"/>
  <c r="J33" i="8"/>
  <c r="J20" i="8"/>
  <c r="AK13" i="32"/>
  <c r="AK12" i="32"/>
  <c r="AK20" i="32"/>
  <c r="AK21" i="32"/>
  <c r="AJ12" i="32"/>
  <c r="AJ20" i="32"/>
  <c r="AJ21" i="32"/>
  <c r="F35" i="8"/>
  <c r="F42" i="8"/>
  <c r="F12" i="6"/>
  <c r="F22" i="8"/>
  <c r="F30" i="8"/>
  <c r="G21" i="9"/>
  <c r="F31" i="6"/>
  <c r="F33" i="6"/>
  <c r="H13" i="5"/>
  <c r="H17" i="5"/>
  <c r="G41" i="8"/>
  <c r="G8" i="10"/>
  <c r="G15" i="10"/>
  <c r="G9" i="9"/>
  <c r="G19" i="9"/>
  <c r="G22" i="9"/>
  <c r="G28" i="8"/>
  <c r="G17" i="10"/>
  <c r="G19" i="10"/>
  <c r="G20" i="10"/>
  <c r="I25" i="5"/>
  <c r="I26" i="5"/>
  <c r="I6" i="9"/>
  <c r="I10" i="10"/>
  <c r="J23" i="5"/>
  <c r="J18" i="10"/>
  <c r="J20" i="5"/>
  <c r="K19" i="7"/>
  <c r="J31" i="7"/>
  <c r="J33" i="7"/>
  <c r="J34" i="7"/>
  <c r="J4" i="10"/>
  <c r="J7" i="10"/>
  <c r="I3" i="9"/>
  <c r="I14" i="5"/>
  <c r="I41" i="7"/>
  <c r="I40" i="7"/>
  <c r="L34" i="8"/>
  <c r="L24" i="5"/>
  <c r="L19" i="8"/>
  <c r="L21" i="5"/>
  <c r="L3" i="10"/>
  <c r="L18" i="7"/>
  <c r="L38" i="8"/>
  <c r="L27" i="8"/>
  <c r="L7" i="9"/>
  <c r="L11" i="10"/>
  <c r="L21" i="8"/>
  <c r="L22" i="5"/>
  <c r="L17" i="8"/>
  <c r="L7" i="5"/>
  <c r="L11" i="9"/>
  <c r="L12" i="9"/>
  <c r="L13" i="10"/>
  <c r="L17" i="7"/>
  <c r="K8" i="9"/>
  <c r="K12" i="10"/>
  <c r="K39" i="8"/>
  <c r="K19" i="5"/>
  <c r="K33" i="8"/>
  <c r="K20" i="8"/>
  <c r="H21" i="7"/>
  <c r="H9" i="5"/>
  <c r="G23" i="9"/>
  <c r="F44" i="8"/>
  <c r="F25" i="6"/>
  <c r="F27" i="6"/>
  <c r="F14" i="6"/>
  <c r="J25" i="5"/>
  <c r="J26" i="5"/>
  <c r="J6" i="9"/>
  <c r="J10" i="10"/>
  <c r="K23" i="5"/>
  <c r="K18" i="10"/>
  <c r="K20" i="5"/>
  <c r="K4" i="10"/>
  <c r="K7" i="10"/>
  <c r="K31" i="7"/>
  <c r="K33" i="7"/>
  <c r="K34" i="7"/>
  <c r="K3" i="9"/>
  <c r="L19" i="7"/>
  <c r="J3" i="9"/>
  <c r="J14" i="5"/>
  <c r="J41" i="7"/>
  <c r="J40" i="7"/>
  <c r="L8" i="9"/>
  <c r="L12" i="10"/>
  <c r="L39" i="8"/>
  <c r="L19" i="5"/>
  <c r="L33" i="8"/>
  <c r="L20" i="8"/>
  <c r="H41" i="8"/>
  <c r="I13" i="5"/>
  <c r="I17" i="5"/>
  <c r="H23" i="7"/>
  <c r="H4" i="9"/>
  <c r="I6" i="5"/>
  <c r="H24" i="8"/>
  <c r="G32" i="8"/>
  <c r="G18" i="8"/>
  <c r="K25" i="5"/>
  <c r="K26" i="5"/>
  <c r="K6" i="9"/>
  <c r="K10" i="10"/>
  <c r="L23" i="5"/>
  <c r="L18" i="10"/>
  <c r="L20" i="5"/>
  <c r="H28" i="8"/>
  <c r="H17" i="10"/>
  <c r="H19" i="10"/>
  <c r="H20" i="10"/>
  <c r="K40" i="7"/>
  <c r="K41" i="7"/>
  <c r="K14" i="5"/>
  <c r="L4" i="10"/>
  <c r="L7" i="10"/>
  <c r="L31" i="7"/>
  <c r="L33" i="7"/>
  <c r="L34" i="7"/>
  <c r="J13" i="5"/>
  <c r="J17" i="5"/>
  <c r="I41" i="8"/>
  <c r="H9" i="9"/>
  <c r="H19" i="9"/>
  <c r="H22" i="9"/>
  <c r="H8" i="10"/>
  <c r="H15" i="10"/>
  <c r="I8" i="5"/>
  <c r="G12" i="6"/>
  <c r="G35" i="8"/>
  <c r="G42" i="8"/>
  <c r="G22" i="8"/>
  <c r="G30" i="8"/>
  <c r="G31" i="6"/>
  <c r="G33" i="6"/>
  <c r="H21" i="9"/>
  <c r="H23" i="9"/>
  <c r="L25" i="5"/>
  <c r="L26" i="5"/>
  <c r="L6" i="9"/>
  <c r="L10" i="10"/>
  <c r="L40" i="7"/>
  <c r="L41" i="7"/>
  <c r="L14" i="5"/>
  <c r="L3" i="9"/>
  <c r="I21" i="7"/>
  <c r="I9" i="5"/>
  <c r="K13" i="5"/>
  <c r="K17" i="5"/>
  <c r="J41" i="8"/>
  <c r="G44" i="8"/>
  <c r="G25" i="6"/>
  <c r="G27" i="6"/>
  <c r="G14" i="6"/>
  <c r="H18" i="8"/>
  <c r="H22" i="8"/>
  <c r="H30" i="8"/>
  <c r="H32" i="8"/>
  <c r="I4" i="9"/>
  <c r="I23" i="7"/>
  <c r="I24" i="8"/>
  <c r="J6" i="5"/>
  <c r="J8" i="5"/>
  <c r="L13" i="5"/>
  <c r="L17" i="5"/>
  <c r="L41" i="8"/>
  <c r="K41" i="8"/>
  <c r="H12" i="6"/>
  <c r="H35" i="8"/>
  <c r="H42" i="8"/>
  <c r="H44" i="8"/>
  <c r="I21" i="9"/>
  <c r="H31" i="6"/>
  <c r="H33" i="6"/>
  <c r="I9" i="9"/>
  <c r="I19" i="9"/>
  <c r="I22" i="9"/>
  <c r="I8" i="10"/>
  <c r="I15" i="10"/>
  <c r="I28" i="8"/>
  <c r="I17" i="10"/>
  <c r="I19" i="10"/>
  <c r="I20" i="10"/>
  <c r="J21" i="7"/>
  <c r="J9" i="5"/>
  <c r="H25" i="6"/>
  <c r="H27" i="6"/>
  <c r="H14" i="6"/>
  <c r="I23" i="9"/>
  <c r="J23" i="7"/>
  <c r="J4" i="9"/>
  <c r="K6" i="5"/>
  <c r="J24" i="8"/>
  <c r="I32" i="8"/>
  <c r="I18" i="8"/>
  <c r="J28" i="8"/>
  <c r="J17" i="10"/>
  <c r="J19" i="10"/>
  <c r="J20" i="10"/>
  <c r="J9" i="9"/>
  <c r="J19" i="9"/>
  <c r="J22" i="9"/>
  <c r="J8" i="10"/>
  <c r="J15" i="10"/>
  <c r="K8" i="5"/>
  <c r="I12" i="6"/>
  <c r="I35" i="8"/>
  <c r="I42" i="8"/>
  <c r="I22" i="8"/>
  <c r="I30" i="8"/>
  <c r="J21" i="9"/>
  <c r="J23" i="9"/>
  <c r="I31" i="6"/>
  <c r="I33" i="6"/>
  <c r="K21" i="7"/>
  <c r="K9" i="5"/>
  <c r="I44" i="8"/>
  <c r="I25" i="6"/>
  <c r="I27" i="6"/>
  <c r="I14" i="6"/>
  <c r="J32" i="8"/>
  <c r="J18" i="8"/>
  <c r="K23" i="7"/>
  <c r="K4" i="9"/>
  <c r="L6" i="5"/>
  <c r="K24" i="8"/>
  <c r="K28" i="8"/>
  <c r="K17" i="10"/>
  <c r="K19" i="10"/>
  <c r="K20" i="10"/>
  <c r="J35" i="8"/>
  <c r="J42" i="8"/>
  <c r="J12" i="6"/>
  <c r="J22" i="8"/>
  <c r="J30" i="8"/>
  <c r="K21" i="9"/>
  <c r="J31" i="6"/>
  <c r="J33" i="6"/>
  <c r="K9" i="9"/>
  <c r="K19" i="9"/>
  <c r="K22" i="9"/>
  <c r="K8" i="10"/>
  <c r="K15" i="10"/>
  <c r="L8" i="5"/>
  <c r="J44" i="8"/>
  <c r="K23" i="9"/>
  <c r="J25" i="6"/>
  <c r="J27" i="6"/>
  <c r="J14" i="6"/>
  <c r="L21" i="7"/>
  <c r="L9" i="5"/>
  <c r="L24" i="8"/>
  <c r="L28" i="8"/>
  <c r="L17" i="10"/>
  <c r="L19" i="10"/>
  <c r="L20" i="10"/>
  <c r="K32" i="8"/>
  <c r="K18" i="8"/>
  <c r="L21" i="9"/>
  <c r="L23" i="7"/>
  <c r="L4" i="9"/>
  <c r="K22" i="8"/>
  <c r="K30" i="8"/>
  <c r="K31" i="6"/>
  <c r="K33" i="6"/>
  <c r="K12" i="6"/>
  <c r="K35" i="8"/>
  <c r="K42" i="8"/>
  <c r="L9" i="9"/>
  <c r="L19" i="9"/>
  <c r="L22" i="9"/>
  <c r="L23" i="9"/>
  <c r="L8" i="10"/>
  <c r="L15" i="10"/>
  <c r="K44" i="8"/>
  <c r="K25" i="6"/>
  <c r="K27" i="6"/>
  <c r="K14" i="6"/>
  <c r="L32" i="8"/>
  <c r="L18" i="8"/>
  <c r="L35" i="8"/>
  <c r="L42" i="8"/>
  <c r="L12" i="6"/>
  <c r="L22" i="8"/>
  <c r="L30" i="8"/>
  <c r="L31" i="6"/>
  <c r="L33" i="6"/>
  <c r="L44" i="8"/>
  <c r="L25" i="6"/>
  <c r="L27" i="6"/>
  <c r="L14" i="6"/>
  <c r="H2" i="12" l="1"/>
  <c r="G3" i="12"/>
  <c r="G4" i="12" s="1"/>
  <c r="I2" i="12" l="1"/>
  <c r="H3" i="12"/>
  <c r="H4" i="12" s="1"/>
  <c r="I3" i="12" l="1"/>
  <c r="I4" i="12" s="1"/>
  <c r="J2" i="12"/>
  <c r="J3" i="12" s="1"/>
  <c r="G8" i="12" l="1"/>
  <c r="J4" i="12"/>
  <c r="J5" i="12" s="1"/>
  <c r="C8" i="12" s="1"/>
  <c r="C7" i="12" l="1"/>
  <c r="C9" i="12" l="1"/>
  <c r="C15" i="12" s="1"/>
  <c r="C18" i="12" s="1"/>
  <c r="G7" i="12"/>
  <c r="G9" i="12" s="1"/>
  <c r="G15" i="12" s="1"/>
  <c r="G18" i="12" s="1"/>
  <c r="I27" i="12" l="1"/>
  <c r="I5" i="3"/>
  <c r="J5" i="3"/>
  <c r="J6" i="3" s="1"/>
  <c r="C27" i="12"/>
  <c r="I6" i="3" l="1"/>
  <c r="L5" i="3"/>
  <c r="L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Q45" authorId="0" shapeId="0" xr:uid="{2A946A55-A082-4421-B004-D47DB6D61158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MD&amp;A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<sst xmlns="http://schemas.openxmlformats.org/spreadsheetml/2006/main" count="466" uniqueCount="266">
  <si>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</si>
  <si>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</si>
  <si>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</si>
  <si>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</si>
  <si>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</si>
  <si>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</si>
  <si>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</si>
  <si>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</si>
  <si>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</si>
  <si>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</si>
  <si>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</si>
  <si>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</si>
  <si>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</si>
  <si>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</si>
  <si>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</si>
  <si>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</si>
  <si>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</si>
  <si>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</si>
  <si>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</si>
  <si>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</si>
  <si>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</si>
  <si>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</si>
  <si>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</si>
  <si>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</si>
  <si>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</si>
  <si>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</si>
  <si>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</si>
  <si>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</si>
  <si>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</si>
  <si>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</si>
  <si>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</si>
  <si>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</si>
  <si>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</si>
  <si>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</si>
  <si>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</si>
  <si>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</si>
  <si>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</si>
  <si>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</si>
  <si>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</si>
  <si>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</si>
  <si>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</si>
  <si>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</si>
  <si>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</si>
  <si>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</si>
  <si>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</si>
  <si>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</si>
  <si>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</si>
  <si>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</si>
  <si>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</si>
  <si>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</si>
  <si>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</si>
  <si>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</si>
  <si>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</si>
  <si>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</si>
  <si>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</si>
  <si>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</si>
  <si>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</si>
  <si>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</si>
  <si>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</si>
  <si>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</si>
  <si>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</si>
  <si>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</si>
  <si>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</si>
  <si>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</si>
  <si>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</si>
  <si>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</si>
  <si>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</si>
  <si>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</si>
  <si>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</si>
  <si>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</si>
  <si>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</si>
  <si>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</si>
  <si>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</si>
  <si>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</si>
  <si>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</si>
  <si>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</si>
  <si>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</si>
  <si>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</si>
  <si>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</si>
  <si>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</si>
  <si>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</si>
  <si>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</si>
  <si>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</si>
  <si>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</si>
  <si>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</si>
  <si>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</si>
  <si>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</si>
  <si>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</si>
  <si>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</si>
  <si>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</si>
  <si>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</si>
  <si>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</si>
  <si>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</si>
  <si>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</si>
  <si>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</si>
  <si>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</si>
  <si>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</si>
  <si>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</si>
  <si>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</si>
  <si>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</si>
  <si>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</si>
  <si>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</si>
  <si>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</si>
  <si>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</si>
  <si>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</si>
  <si>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</si>
  <si>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</si>
  <si>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</si>
  <si>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</si>
  <si>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</si>
  <si>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</si>
  <si>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</si>
  <si>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</si>
  <si>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</si>
  <si>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</si>
  <si>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</si>
  <si>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</si>
  <si>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</si>
  <si>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</si>
  <si>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</si>
  <si>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</si>
  <si>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</si>
  <si>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</si>
  <si>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</si>
  <si>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</si>
  <si>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</si>
  <si>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</si>
  <si>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</si>
  <si>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</si>
  <si>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</si>
  <si>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Balance Sheet - Assets</t>
  </si>
  <si>
    <t>Balance Sheet - Liabilities</t>
  </si>
  <si>
    <t>Operating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</si>
  <si>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</si>
  <si>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</si>
  <si>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</si>
  <si>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</si>
  <si>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</si>
  <si>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</si>
  <si>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</si>
  <si>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</si>
  <si>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</si>
  <si>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</si>
  <si>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</si>
  <si>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</si>
  <si>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</si>
  <si>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</si>
  <si>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</si>
  <si>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</si>
  <si>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</si>
  <si>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</si>
  <si>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</si>
  <si>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</si>
  <si>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</si>
  <si>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</si>
  <si>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</si>
  <si>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</si>
  <si>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</si>
  <si>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</si>
  <si>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</si>
  <si>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</si>
  <si>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</si>
  <si>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</si>
  <si>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</si>
  <si>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</si>
  <si>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</si>
  <si>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</si>
  <si>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</si>
  <si>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>Current Stock Price</t>
  </si>
  <si>
    <t>Excess Cash</t>
  </si>
  <si>
    <t>TV multiple variance</t>
  </si>
  <si>
    <t>Multiples Calculation</t>
  </si>
  <si>
    <t>Multiple TV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</si>
  <si>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</si>
  <si>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</si>
  <si>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</si>
  <si>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</si>
  <si>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</si>
  <si>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</si>
  <si>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</si>
  <si>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</si>
  <si>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</si>
  <si>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Discount Factor</t>
  </si>
  <si>
    <t>PV FCF</t>
  </si>
  <si>
    <t>Starbucks Corp.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</si>
  <si>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</si>
  <si>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</si>
  <si>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</si>
  <si>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</si>
  <si>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</si>
  <si>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</si>
  <si>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</si>
  <si>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</si>
  <si>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</si>
  <si>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</si>
  <si>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</si>
  <si>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</si>
  <si>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</si>
  <si>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</si>
  <si>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</si>
  <si>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</si>
  <si>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</si>
  <si>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Q426E</t>
  </si>
  <si>
    <t>Q126E</t>
  </si>
  <si>
    <t>Q226E</t>
  </si>
  <si>
    <t>Q326E</t>
  </si>
  <si>
    <t>Q127E</t>
  </si>
  <si>
    <t>Q227E</t>
  </si>
  <si>
    <t>Q327E</t>
  </si>
  <si>
    <t>Q427E</t>
  </si>
  <si>
    <t>Recovery Case</t>
  </si>
  <si>
    <t>Company-operated stores</t>
  </si>
  <si>
    <t>Licensed stores</t>
  </si>
  <si>
    <t>Other</t>
  </si>
  <si>
    <t>Revenues</t>
  </si>
  <si>
    <t>Product distribution costs</t>
  </si>
  <si>
    <t>Store operating expenses</t>
  </si>
  <si>
    <t>Other operating expenses</t>
  </si>
  <si>
    <t>SG&amp;A expenses</t>
  </si>
  <si>
    <t>Operating Income</t>
  </si>
  <si>
    <t>y/y</t>
  </si>
  <si>
    <t>Margin %</t>
  </si>
  <si>
    <t>n/a</t>
  </si>
  <si>
    <t>(inc) / dec in LT assets</t>
  </si>
  <si>
    <t>inc / (dec) in LT liabilities</t>
  </si>
  <si>
    <t>CFFO</t>
  </si>
  <si>
    <t>CFFI</t>
  </si>
  <si>
    <t>Dividends Paid</t>
  </si>
  <si>
    <t>Debt Issuance / (repayment)</t>
  </si>
  <si>
    <t>CFFF</t>
  </si>
  <si>
    <t>Net changes in Cash</t>
  </si>
  <si>
    <t>Beginning cash</t>
  </si>
  <si>
    <t>Ending Cash</t>
  </si>
  <si>
    <t>LTGR</t>
  </si>
  <si>
    <t>Exit Mult.</t>
  </si>
  <si>
    <t>Average</t>
  </si>
  <si>
    <t>FY Dividend</t>
  </si>
  <si>
    <t>DDM</t>
  </si>
  <si>
    <t>Operating Assets</t>
  </si>
  <si>
    <t>Operating Liabilities</t>
  </si>
  <si>
    <t>Total Invested Capital</t>
  </si>
  <si>
    <t>ROIC</t>
  </si>
  <si>
    <t>Openings</t>
  </si>
  <si>
    <t>Transfers</t>
  </si>
  <si>
    <t>Net change in stores</t>
  </si>
  <si>
    <t>Company operated stores</t>
  </si>
  <si>
    <t>Licensed Stores</t>
  </si>
  <si>
    <t>Beginning Stores</t>
  </si>
  <si>
    <t>Closings</t>
  </si>
  <si>
    <t>Ending stores</t>
  </si>
  <si>
    <t>Comps</t>
  </si>
  <si>
    <t>Licensed store comps</t>
  </si>
  <si>
    <t>Company operated revenue</t>
  </si>
  <si>
    <t>Prior year rev</t>
  </si>
  <si>
    <t>Net net new stores impact</t>
  </si>
  <si>
    <t>Store conversion</t>
  </si>
  <si>
    <t xml:space="preserve">Comp impact </t>
  </si>
  <si>
    <t>Implied revenue</t>
  </si>
  <si>
    <t>margin %</t>
  </si>
  <si>
    <t>Comps Model Case</t>
  </si>
  <si>
    <t>Revenue Model Case</t>
  </si>
  <si>
    <t>Licensed store revenue</t>
  </si>
  <si>
    <t>Total Comp revenues</t>
  </si>
  <si>
    <t>Comparable Sales Projection</t>
  </si>
  <si>
    <t>Company operated comps margin</t>
  </si>
  <si>
    <t>Income Statement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</si>
</sst>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2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 applyAlignment="1">
      <alignment horizontal="right"/>
    </xf>
    <xf numFmtId="178" fontId="33" fillId="42" borderId="0" xfId="0" applyNumberFormat="1" applyFont="1" applyFill="1"/>
    <xf numFmtId="37" fontId="39" fillId="0" borderId="0" xfId="0" applyNumberFormat="1" applyFont="1"/>
    <xf numFmtId="37" fontId="45" fillId="0" borderId="0" xfId="0" applyNumberFormat="1" applyFont="1"/>
    <xf numFmtId="178" fontId="33" fillId="0" borderId="0" xfId="0" applyNumberFormat="1" applyFont="1" applyAlignment="1">
      <alignment horizontal="right"/>
    </xf>
    <xf numFmtId="37" fontId="39" fillId="0" borderId="18" xfId="0" applyNumberFormat="1" applyFont="1" applyBorder="1"/>
    <xf numFmtId="37" fontId="45" fillId="0" borderId="18" xfId="0" applyNumberFormat="1" applyFont="1" applyBorder="1"/>
    <xf numFmtId="9" fontId="39" fillId="0" borderId="18" xfId="0" applyNumberFormat="1" applyFont="1" applyBorder="1"/>
    <xf numFmtId="9" fontId="40" fillId="0" borderId="0" xfId="0" applyNumberFormat="1" applyFont="1"/>
    <xf numFmtId="9" fontId="40" fillId="0" borderId="0" xfId="0" applyNumberFormat="1" applyFont="1" applyAlignment="1">
      <alignment horizontal="right"/>
    </xf>
    <xf numFmtId="9" fontId="40" fillId="0" borderId="18" xfId="0" applyNumberFormat="1" applyFont="1" applyBorder="1" applyAlignment="1">
      <alignment horizontal="right"/>
    </xf>
    <xf numFmtId="9" fontId="40" fillId="0" borderId="18" xfId="0" applyNumberFormat="1" applyFont="1" applyBorder="1"/>
    <xf numFmtId="9" fontId="67" fillId="43" borderId="0" xfId="0" applyNumberFormat="1" applyFont="1" applyFill="1"/>
    <xf numFmtId="9" fontId="67" fillId="43" borderId="18" xfId="0" applyNumberFormat="1" applyFont="1" applyFill="1" applyBorder="1"/>
    <xf numFmtId="37" fontId="39" fillId="0" borderId="23" xfId="0" applyNumberFormat="1" applyFont="1" applyBorder="1"/>
    <xf numFmtId="9" fontId="40" fillId="0" borderId="23" xfId="0" applyNumberFormat="1" applyFont="1" applyBorder="1"/>
    <xf numFmtId="9" fontId="67" fillId="43" borderId="23" xfId="0" applyNumberFormat="1" applyFont="1" applyFill="1" applyBorder="1"/>
    <xf numFmtId="37" fontId="39" fillId="0" borderId="15" xfId="0" applyNumberFormat="1" applyFont="1" applyBorder="1"/>
    <xf numFmtId="9" fontId="40" fillId="0" borderId="25" xfId="0" applyNumberFormat="1" applyFont="1" applyBorder="1"/>
    <xf numFmtId="37" fontId="38" fillId="0" borderId="18" xfId="57" applyNumberFormat="1" applyFont="1" applyBorder="1"/>
    <xf numFmtId="10" fontId="45" fillId="0" borderId="0" xfId="0" applyNumberFormat="1" applyFont="1"/>
    <xf numFmtId="10" fontId="39" fillId="0" borderId="18" xfId="4" applyNumberFormat="1" applyFont="1" applyFill="1" applyBorder="1"/>
    <xf numFmtId="166" fontId="39" fillId="0" borderId="0" xfId="57" applyFont="1" applyFill="1"/>
    <xf numFmtId="182" fontId="39" fillId="0" borderId="0" xfId="0" applyNumberFormat="1" applyFont="1" applyAlignment="1">
      <alignment horizontal="center"/>
    </xf>
    <xf numFmtId="182" fontId="45" fillId="0" borderId="0" xfId="0" applyNumberFormat="1" applyFont="1" applyAlignment="1">
      <alignment horizontal="center"/>
    </xf>
    <xf numFmtId="180" fontId="45" fillId="0" borderId="0" xfId="59" applyNumberFormat="1" applyFont="1" applyAlignment="1" applyProtection="1">
      <alignment horizontal="center"/>
    </xf>
    <xf numFmtId="167" fontId="39" fillId="0" borderId="0" xfId="59" applyNumberFormat="1" applyFont="1" applyAlignment="1" applyProtection="1">
      <alignment horizontal="center"/>
    </xf>
    <xf numFmtId="182" fontId="45" fillId="0" borderId="0" xfId="59" applyNumberFormat="1" applyFont="1" applyAlignment="1" applyProtection="1">
      <alignment horizontal="center"/>
    </xf>
    <xf numFmtId="180" fontId="45" fillId="0" borderId="0" xfId="0" applyNumberFormat="1" applyFont="1" applyAlignment="1">
      <alignment horizontal="center"/>
    </xf>
    <xf numFmtId="182" fontId="45" fillId="0" borderId="0" xfId="4" applyNumberFormat="1" applyFont="1" applyFill="1" applyBorder="1" applyAlignment="1" applyProtection="1">
      <alignment horizontal="center"/>
    </xf>
    <xf numFmtId="10" fontId="71" fillId="33" borderId="1" xfId="3" applyNumberFormat="1" applyFont="1" applyAlignment="1">
      <alignment horizontal="center"/>
    </xf>
    <xf numFmtId="167" fontId="39" fillId="0" borderId="14" xfId="4" applyNumberFormat="1" applyFont="1" applyBorder="1"/>
    <xf numFmtId="167" fontId="45" fillId="0" borderId="14" xfId="0" applyFont="1" applyBorder="1"/>
    <xf numFmtId="3" fontId="45" fillId="0" borderId="0" xfId="0" applyNumberFormat="1" applyFont="1"/>
    <xf numFmtId="3" fontId="39" fillId="0" borderId="0" xfId="0" applyNumberFormat="1" applyFont="1"/>
    <xf numFmtId="3" fontId="39" fillId="0" borderId="0" xfId="4" applyNumberFormat="1" applyFont="1"/>
    <xf numFmtId="9" fontId="45" fillId="0" borderId="0" xfId="0" applyNumberFormat="1" applyFont="1"/>
    <xf numFmtId="9" fontId="39" fillId="0" borderId="0" xfId="4" applyNumberFormat="1" applyFont="1"/>
    <xf numFmtId="167" fontId="39" fillId="0" borderId="18" xfId="4" applyNumberFormat="1" applyFont="1" applyBorder="1"/>
    <xf numFmtId="167" fontId="33" fillId="42" borderId="0" xfId="0" applyFont="1" applyFill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and/Downloads/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zoomScale="137" zoomScaleNormal="100" workbookViewId="0"/>
  </sheetViews>
  <sheetFormatPr baseColWidth="10" defaultColWidth="9.1640625" defaultRowHeight="15" x14ac:dyDescent="0.2"/>
  <cols>
    <col min="1" max="1" width="4.33203125" style="4" bestFit="1" customWidth="1"/>
    <col min="2" max="2" width="22.83203125" style="4" customWidth="1"/>
    <col min="3" max="3" width="18.1640625" style="4" customWidth="1"/>
    <col min="4" max="4" width="17.33203125" style="4" customWidth="1"/>
    <col min="5" max="5" width="18.6640625" style="4" customWidth="1"/>
    <col min="6" max="6" width="16.5" style="4" customWidth="1"/>
    <col min="7" max="7" width="13.5" style="4" customWidth="1"/>
    <col min="8" max="8" width="18.83203125" style="4" bestFit="1" customWidth="1"/>
    <col min="9" max="12" width="15.6640625" style="4" customWidth="1"/>
    <col min="13" max="14" width="13.5" style="4" customWidth="1"/>
    <col min="15" max="15" width="13" style="4" customWidth="1"/>
    <col min="16" max="16" width="12.6640625" style="4" customWidth="1"/>
    <col min="17" max="17" width="13" style="4" customWidth="1"/>
    <col min="18" max="16384" width="9.1640625" style="4"/>
  </cols>
  <sheetData>
    <row r="1" spans="1:15" s="48" customFormat="1" ht="20" x14ac:dyDescent="0.25">
      <c r="A1" s="232" t="str">
        <f>CoName</f>
        <v>Starbucks Corp.</v>
      </c>
      <c r="B1" s="2"/>
      <c r="C1" s="2"/>
      <c r="D1" s="152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">
      <c r="A2" s="63" t="s">
        <v>181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">
      <c r="B4" s="4" t="s">
        <v>3</v>
      </c>
      <c r="C4" s="50" t="s">
        <v>184</v>
      </c>
      <c r="E4" s="4" t="s">
        <v>168</v>
      </c>
      <c r="F4" s="202">
        <v>85.25</v>
      </c>
      <c r="H4" s="168" t="s">
        <v>210</v>
      </c>
      <c r="I4" s="167" t="s">
        <v>180</v>
      </c>
      <c r="J4" s="167" t="s">
        <v>179</v>
      </c>
      <c r="K4" s="167" t="s">
        <v>237</v>
      </c>
      <c r="L4" s="167" t="s">
        <v>235</v>
      </c>
    </row>
    <row r="5" spans="1:15" x14ac:dyDescent="0.2">
      <c r="B5" s="4" t="s">
        <v>4</v>
      </c>
      <c r="C5" s="51">
        <v>247.43</v>
      </c>
      <c r="E5" s="4" t="s">
        <v>185</v>
      </c>
      <c r="F5" s="158">
        <v>1136.7</v>
      </c>
      <c r="H5" s="167" t="s">
        <v>174</v>
      </c>
      <c r="I5" s="209">
        <f>'DCF Model'!G18</f>
        <v>105.51706315912743</v>
      </c>
      <c r="J5" s="208">
        <f>'DCF Model'!C18</f>
        <v>81.535342383298143</v>
      </c>
      <c r="K5" s="208">
        <f>'DCF Model'!K18</f>
        <v>89.323555317435464</v>
      </c>
      <c r="L5" s="208">
        <f>AVERAGE(I5:J5)</f>
        <v>93.52620277121278</v>
      </c>
    </row>
    <row r="6" spans="1:15" x14ac:dyDescent="0.2">
      <c r="B6" s="4" t="s">
        <v>5</v>
      </c>
      <c r="C6" s="50" t="s">
        <v>9</v>
      </c>
      <c r="E6" s="4" t="s">
        <v>104</v>
      </c>
      <c r="F6" s="158">
        <f>F5*F4</f>
        <v>96903.675000000003</v>
      </c>
      <c r="H6" s="167" t="s">
        <v>175</v>
      </c>
      <c r="I6" s="282">
        <f>I5/$F$4-1</f>
        <v>0.23773681125076163</v>
      </c>
      <c r="J6" s="203">
        <f>J5/$F$4-1</f>
        <v>-4.3573696383599536E-2</v>
      </c>
      <c r="K6" s="282">
        <f>K5/$F$4-1</f>
        <v>4.7783640087219581E-2</v>
      </c>
      <c r="L6" s="282">
        <f>L5/$F$4-1</f>
        <v>9.7081557433581045E-2</v>
      </c>
    </row>
    <row r="7" spans="1:15" x14ac:dyDescent="0.2">
      <c r="B7" s="4" t="s">
        <v>6</v>
      </c>
      <c r="C7" s="50" t="s">
        <v>8</v>
      </c>
      <c r="E7" s="4" t="s">
        <v>173</v>
      </c>
      <c r="F7" s="50">
        <f>4172.6+333.3</f>
        <v>4505.9000000000005</v>
      </c>
    </row>
    <row r="8" spans="1:15" x14ac:dyDescent="0.2">
      <c r="B8" s="4" t="s">
        <v>2</v>
      </c>
      <c r="C8" s="50" t="s">
        <v>87</v>
      </c>
      <c r="E8" s="4" t="s">
        <v>144</v>
      </c>
      <c r="F8" s="50">
        <f>14570.9+9070.6</f>
        <v>23641.5</v>
      </c>
    </row>
    <row r="9" spans="1:15" x14ac:dyDescent="0.2">
      <c r="B9" s="4" t="s">
        <v>7</v>
      </c>
      <c r="C9" s="50">
        <v>0</v>
      </c>
      <c r="E9" s="4" t="s">
        <v>118</v>
      </c>
      <c r="F9" s="50">
        <f>F6-F7+F8</f>
        <v>116039.27500000001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K64"/>
  <sheetViews>
    <sheetView showGridLines="0" zoomScale="135" zoomScaleNormal="100" workbookViewId="0">
      <pane xSplit="2" ySplit="2" topLeftCell="AA26" activePane="bottomRight" state="frozen"/>
      <selection pane="topRight" activeCell="C1" sqref="C1"/>
      <selection pane="bottomLeft" activeCell="A3" sqref="A3"/>
      <selection pane="bottomRight" activeCell="D22" sqref="D22"/>
    </sheetView>
  </sheetViews>
  <sheetFormatPr baseColWidth="10" defaultColWidth="11.6640625" defaultRowHeight="15" x14ac:dyDescent="0.2"/>
  <cols>
    <col min="1" max="1" width="2" style="4" bestFit="1" customWidth="1"/>
    <col min="2" max="2" width="36.33203125" style="4" customWidth="1"/>
    <col min="3" max="7" width="11.6640625" style="4" customWidth="1"/>
    <col min="8" max="11" width="11.6640625" style="4" hidden="1" customWidth="1"/>
    <col min="12" max="12" width="11.6640625" style="4" customWidth="1"/>
    <col min="13" max="16" width="11.6640625" style="4" hidden="1" customWidth="1"/>
    <col min="17" max="17" width="11.6640625" style="4"/>
    <col min="18" max="21" width="11.6640625" style="4" customWidth="1"/>
    <col min="22" max="22" width="11.6640625" style="4"/>
    <col min="23" max="26" width="11.6640625" style="4" customWidth="1"/>
    <col min="27" max="27" width="11.6640625" style="4"/>
    <col min="28" max="31" width="11.6640625" style="4" customWidth="1"/>
    <col min="32" max="16384" width="11.6640625" style="4"/>
  </cols>
  <sheetData>
    <row r="1" spans="1:37" ht="20" x14ac:dyDescent="0.25">
      <c r="A1" s="232" t="str">
        <f>CoName</f>
        <v>Starbucks Corp.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37" s="256" customFormat="1" x14ac:dyDescent="0.2">
      <c r="A2" s="253" t="s">
        <v>265</v>
      </c>
      <c r="B2" s="252"/>
      <c r="C2" s="252" t="s">
        <v>186</v>
      </c>
      <c r="D2" s="252" t="s">
        <v>187</v>
      </c>
      <c r="E2" s="252" t="s">
        <v>188</v>
      </c>
      <c r="F2" s="252" t="s">
        <v>189</v>
      </c>
      <c r="G2" s="252">
        <v>2022</v>
      </c>
      <c r="H2" s="252" t="s">
        <v>190</v>
      </c>
      <c r="I2" s="252" t="s">
        <v>191</v>
      </c>
      <c r="J2" s="252" t="s">
        <v>192</v>
      </c>
      <c r="K2" s="252" t="s">
        <v>193</v>
      </c>
      <c r="L2" s="252">
        <v>2023</v>
      </c>
      <c r="M2" s="252" t="s">
        <v>194</v>
      </c>
      <c r="N2" s="252" t="s">
        <v>195</v>
      </c>
      <c r="O2" s="252" t="s">
        <v>196</v>
      </c>
      <c r="P2" s="252" t="s">
        <v>197</v>
      </c>
      <c r="Q2" s="252">
        <v>2024</v>
      </c>
      <c r="R2" s="252" t="s">
        <v>198</v>
      </c>
      <c r="S2" s="252" t="s">
        <v>199</v>
      </c>
      <c r="T2" s="252" t="s">
        <v>200</v>
      </c>
      <c r="U2" s="252" t="s">
        <v>201</v>
      </c>
      <c r="V2" s="252">
        <v>2025</v>
      </c>
      <c r="W2" s="252" t="s">
        <v>203</v>
      </c>
      <c r="X2" s="252" t="s">
        <v>204</v>
      </c>
      <c r="Y2" s="252" t="s">
        <v>205</v>
      </c>
      <c r="Z2" s="252" t="s">
        <v>202</v>
      </c>
      <c r="AA2" s="252">
        <v>2026</v>
      </c>
      <c r="AB2" s="252" t="s">
        <v>206</v>
      </c>
      <c r="AC2" s="252" t="s">
        <v>207</v>
      </c>
      <c r="AD2" s="252" t="s">
        <v>208</v>
      </c>
      <c r="AE2" s="252" t="s">
        <v>209</v>
      </c>
      <c r="AF2" s="252">
        <f>AA2+1</f>
        <v>2027</v>
      </c>
      <c r="AG2" s="252">
        <f t="shared" ref="AG2:AK2" si="0">AF2+1</f>
        <v>2028</v>
      </c>
      <c r="AH2" s="252">
        <f t="shared" si="0"/>
        <v>2029</v>
      </c>
      <c r="AI2" s="252">
        <f t="shared" si="0"/>
        <v>2030</v>
      </c>
      <c r="AJ2" s="252">
        <f t="shared" si="0"/>
        <v>2031</v>
      </c>
      <c r="AK2" s="252">
        <f t="shared" si="0"/>
        <v>2032</v>
      </c>
    </row>
    <row r="3" spans="1:37" s="254" customFormat="1" x14ac:dyDescent="0.2">
      <c r="B3" s="254" t="s">
        <v>211</v>
      </c>
      <c r="C3" s="254">
        <v>6722.4</v>
      </c>
      <c r="D3" s="254">
        <v>6276.7</v>
      </c>
      <c r="E3" s="254">
        <v>6675.5</v>
      </c>
      <c r="F3" s="257">
        <v>6901.4</v>
      </c>
      <c r="G3" s="257">
        <f>SUM(C3:F3)</f>
        <v>26576</v>
      </c>
      <c r="H3" s="254">
        <v>7083.5</v>
      </c>
      <c r="I3" s="254">
        <v>7142.3</v>
      </c>
      <c r="J3" s="254">
        <v>7556.7</v>
      </c>
      <c r="K3" s="257">
        <v>7679.9</v>
      </c>
      <c r="L3" s="257">
        <f>SUM(H3:K3)</f>
        <v>29462.400000000001</v>
      </c>
      <c r="M3" s="254">
        <v>7755.2</v>
      </c>
      <c r="N3" s="254">
        <v>7052.6</v>
      </c>
      <c r="O3" s="254">
        <v>7516</v>
      </c>
      <c r="P3" s="257">
        <v>7442.1</v>
      </c>
      <c r="Q3" s="257">
        <f>SUM(M3:P3)</f>
        <v>29765.9</v>
      </c>
      <c r="R3" s="254">
        <v>7785.3</v>
      </c>
      <c r="S3" s="254">
        <v>7285</v>
      </c>
      <c r="T3" s="254">
        <v>7812.5</v>
      </c>
      <c r="U3" s="257">
        <v>7862</v>
      </c>
      <c r="V3" s="257">
        <f>Q51</f>
        <v>30688.9</v>
      </c>
      <c r="W3" s="254">
        <f>R3*(1+W4)</f>
        <v>8018.8590000000004</v>
      </c>
      <c r="X3" s="254">
        <f t="shared" ref="X3:Z3" si="1">S3*(1+X4)</f>
        <v>7503.55</v>
      </c>
      <c r="Y3" s="254">
        <f t="shared" si="1"/>
        <v>8046.875</v>
      </c>
      <c r="Z3" s="257">
        <f t="shared" si="1"/>
        <v>8097.8600000000006</v>
      </c>
      <c r="AA3" s="257">
        <f>SUM(W3:Z3)</f>
        <v>31667.144</v>
      </c>
      <c r="AB3" s="254">
        <f>W3*(1+AB4)</f>
        <v>8339.6133600000012</v>
      </c>
      <c r="AC3" s="254">
        <f t="shared" ref="AC3" si="2">X3*(1+AC4)</f>
        <v>7953.7630000000008</v>
      </c>
      <c r="AD3" s="254">
        <f t="shared" ref="AD3" si="3">Y3*(1+AD4)</f>
        <v>8610.15625</v>
      </c>
      <c r="AE3" s="257">
        <f t="shared" ref="AE3" si="4">Z3*(1+AE4)</f>
        <v>8826.6674000000021</v>
      </c>
      <c r="AF3" s="257">
        <f>SUM(AB3:AE3)</f>
        <v>33730.20001</v>
      </c>
      <c r="AG3" s="266">
        <f>AF3*(1+AG4)</f>
        <v>36428.616010800004</v>
      </c>
      <c r="AH3" s="254">
        <f t="shared" ref="AH3:AK3" si="5">AG3*(1+AH4)</f>
        <v>39707.191451772007</v>
      </c>
      <c r="AI3" s="254">
        <f t="shared" si="5"/>
        <v>43677.910596949208</v>
      </c>
      <c r="AJ3" s="254">
        <f t="shared" si="5"/>
        <v>48482.480762613617</v>
      </c>
      <c r="AK3" s="257">
        <f t="shared" si="5"/>
        <v>54300.378454127247</v>
      </c>
    </row>
    <row r="4" spans="1:37" s="260" customFormat="1" x14ac:dyDescent="0.2">
      <c r="B4" s="260" t="s">
        <v>220</v>
      </c>
      <c r="C4" s="261" t="s">
        <v>222</v>
      </c>
      <c r="D4" s="261" t="s">
        <v>222</v>
      </c>
      <c r="E4" s="261" t="s">
        <v>222</v>
      </c>
      <c r="F4" s="262" t="s">
        <v>222</v>
      </c>
      <c r="G4" s="262" t="s">
        <v>222</v>
      </c>
      <c r="H4" s="260">
        <f>H3/C3-1</f>
        <v>5.3715934785195874E-2</v>
      </c>
      <c r="I4" s="260">
        <f t="shared" ref="I4:K4" si="6">I3/D3-1</f>
        <v>0.13790686188602308</v>
      </c>
      <c r="J4" s="260">
        <f t="shared" si="6"/>
        <v>0.13200509325144183</v>
      </c>
      <c r="K4" s="263">
        <f t="shared" si="6"/>
        <v>0.11280319935085625</v>
      </c>
      <c r="L4" s="262">
        <f>L3/G3-1</f>
        <v>0.10860927152317879</v>
      </c>
      <c r="M4" s="260">
        <f>M3/H3-1</f>
        <v>9.4826004094021199E-2</v>
      </c>
      <c r="N4" s="260">
        <f t="shared" ref="N4" si="7">N3/I3-1</f>
        <v>-1.2558979600408859E-2</v>
      </c>
      <c r="O4" s="260">
        <f t="shared" ref="O4" si="8">O3/J3-1</f>
        <v>-5.3859488930353416E-3</v>
      </c>
      <c r="P4" s="263">
        <f t="shared" ref="P4" si="9">P3/K3-1</f>
        <v>-3.0963944843031665E-2</v>
      </c>
      <c r="Q4" s="262">
        <f>Q3/L3-1</f>
        <v>1.0301265341587929E-2</v>
      </c>
      <c r="R4" s="260">
        <f>R3/M3-1</f>
        <v>3.8812667629462005E-3</v>
      </c>
      <c r="S4" s="260">
        <f t="shared" ref="S4" si="10">S3/N3-1</f>
        <v>3.2952386353968688E-2</v>
      </c>
      <c r="T4" s="260">
        <f t="shared" ref="T4" si="11">T3/O3-1</f>
        <v>3.9449175093134725E-2</v>
      </c>
      <c r="U4" s="263">
        <f t="shared" ref="U4" si="12">U3/P3-1</f>
        <v>5.6422246408943666E-2</v>
      </c>
      <c r="V4" s="262">
        <f>V3/Q3-1</f>
        <v>3.1008637400515404E-2</v>
      </c>
      <c r="W4" s="264">
        <v>0.03</v>
      </c>
      <c r="X4" s="264">
        <f>W4</f>
        <v>0.03</v>
      </c>
      <c r="Y4" s="264">
        <f t="shared" ref="Y4:Z4" si="13">X4</f>
        <v>0.03</v>
      </c>
      <c r="Z4" s="265">
        <f t="shared" si="13"/>
        <v>0.03</v>
      </c>
      <c r="AA4" s="262">
        <f>AA3/V3-1</f>
        <v>3.1876150660336444E-2</v>
      </c>
      <c r="AB4" s="264">
        <v>0.04</v>
      </c>
      <c r="AC4" s="264">
        <v>0.06</v>
      </c>
      <c r="AD4" s="264">
        <v>7.0000000000000007E-2</v>
      </c>
      <c r="AE4" s="265">
        <v>0.09</v>
      </c>
      <c r="AF4" s="262">
        <f>AF3/AA3-1</f>
        <v>6.5148155135177355E-2</v>
      </c>
      <c r="AG4" s="264">
        <v>0.08</v>
      </c>
      <c r="AH4" s="264">
        <f>AG4+0.01</f>
        <v>0.09</v>
      </c>
      <c r="AI4" s="264">
        <f t="shared" ref="AI4:AK8" si="14">AH4+0.01</f>
        <v>9.9999999999999992E-2</v>
      </c>
      <c r="AJ4" s="264">
        <f t="shared" si="14"/>
        <v>0.10999999999999999</v>
      </c>
      <c r="AK4" s="265">
        <f t="shared" si="14"/>
        <v>0.11999999999999998</v>
      </c>
    </row>
    <row r="5" spans="1:37" s="254" customFormat="1" x14ac:dyDescent="0.2">
      <c r="B5" s="254" t="s">
        <v>212</v>
      </c>
      <c r="C5" s="254">
        <v>850.8</v>
      </c>
      <c r="D5" s="254">
        <v>849.5</v>
      </c>
      <c r="E5" s="254">
        <v>956.8</v>
      </c>
      <c r="F5" s="257">
        <v>998.4</v>
      </c>
      <c r="G5" s="257">
        <f>SUM(C5:F5)</f>
        <v>3655.5</v>
      </c>
      <c r="H5" s="254">
        <v>1119.5</v>
      </c>
      <c r="I5" s="254">
        <v>1069.5</v>
      </c>
      <c r="J5" s="254">
        <v>1136.2</v>
      </c>
      <c r="K5" s="257">
        <v>1187.5</v>
      </c>
      <c r="L5" s="257">
        <f>SUM(H5:K5)</f>
        <v>4512.7</v>
      </c>
      <c r="M5" s="254">
        <v>1192.0999999999999</v>
      </c>
      <c r="N5" s="254">
        <v>1054.5</v>
      </c>
      <c r="O5" s="254">
        <v>1129</v>
      </c>
      <c r="P5" s="257">
        <v>1129.5</v>
      </c>
      <c r="Q5" s="257">
        <f>SUM(M5:P5)</f>
        <v>4505.1000000000004</v>
      </c>
      <c r="R5" s="254">
        <v>1135.7</v>
      </c>
      <c r="S5" s="254">
        <v>1016</v>
      </c>
      <c r="T5" s="254">
        <v>1105.5999999999999</v>
      </c>
      <c r="U5" s="257">
        <v>1093</v>
      </c>
      <c r="V5" s="257">
        <f>SUM(R5:U5)</f>
        <v>4350.2999999999993</v>
      </c>
      <c r="W5" s="254">
        <f>R5*(1+W6)</f>
        <v>1124.3430000000001</v>
      </c>
      <c r="X5" s="254">
        <f t="shared" ref="X5" si="15">S5*(1+X6)</f>
        <v>1005.84</v>
      </c>
      <c r="Y5" s="254">
        <f t="shared" ref="Y5" si="16">T5*(1+Y6)</f>
        <v>1094.5439999999999</v>
      </c>
      <c r="Z5" s="257">
        <f t="shared" ref="Z5" si="17">U5*(1+Z6)</f>
        <v>1082.07</v>
      </c>
      <c r="AA5" s="257">
        <f>SUM(W5:Z5)</f>
        <v>4306.7969999999996</v>
      </c>
      <c r="AB5" s="254">
        <f>W5*(1+AB6)</f>
        <v>1124.3430000000001</v>
      </c>
      <c r="AC5" s="254">
        <f t="shared" ref="AC5" si="18">X5*(1+AC6)</f>
        <v>1005.84</v>
      </c>
      <c r="AD5" s="254">
        <f t="shared" ref="AD5" si="19">Y5*(1+AD6)</f>
        <v>1094.5439999999999</v>
      </c>
      <c r="AE5" s="257">
        <f t="shared" ref="AE5" si="20">Z5*(1+AE6)</f>
        <v>1082.07</v>
      </c>
      <c r="AF5" s="257">
        <f>SUM(AB5:AE5)</f>
        <v>4306.7969999999996</v>
      </c>
      <c r="AG5" s="266">
        <f>AF5*(1+AG6)</f>
        <v>4306.7969999999996</v>
      </c>
      <c r="AH5" s="254">
        <f t="shared" ref="AH5" si="21">AG5*(1+AH6)</f>
        <v>4349.8649699999996</v>
      </c>
      <c r="AI5" s="254">
        <f t="shared" ref="AI5" si="22">AH5*(1+AI6)</f>
        <v>4436.8622693999996</v>
      </c>
      <c r="AJ5" s="254">
        <f t="shared" ref="AJ5" si="23">AI5*(1+AJ6)</f>
        <v>4569.9681374819993</v>
      </c>
      <c r="AK5" s="257">
        <f t="shared" ref="AK5" si="24">AJ5*(1+AK6)</f>
        <v>4752.7668629812797</v>
      </c>
    </row>
    <row r="6" spans="1:37" s="260" customFormat="1" x14ac:dyDescent="0.2">
      <c r="B6" s="260" t="s">
        <v>220</v>
      </c>
      <c r="C6" s="261" t="s">
        <v>222</v>
      </c>
      <c r="D6" s="261" t="s">
        <v>222</v>
      </c>
      <c r="E6" s="261" t="s">
        <v>222</v>
      </c>
      <c r="F6" s="262" t="s">
        <v>222</v>
      </c>
      <c r="G6" s="262" t="s">
        <v>222</v>
      </c>
      <c r="H6" s="260">
        <f>H5/C5-1</f>
        <v>0.31582040432534098</v>
      </c>
      <c r="I6" s="260">
        <f t="shared" ref="I6" si="25">I5/D5-1</f>
        <v>0.25897586815773987</v>
      </c>
      <c r="J6" s="260">
        <f t="shared" ref="J6" si="26">J5/E5-1</f>
        <v>0.1875</v>
      </c>
      <c r="K6" s="263">
        <f t="shared" ref="K6" si="27">K5/F5-1</f>
        <v>0.18940304487179493</v>
      </c>
      <c r="L6" s="262">
        <f>L5/G5-1</f>
        <v>0.23449596498427017</v>
      </c>
      <c r="M6" s="260">
        <f>M5/H5-1</f>
        <v>6.4850379633764943E-2</v>
      </c>
      <c r="N6" s="260">
        <f t="shared" ref="N6" si="28">N5/I5-1</f>
        <v>-1.4025245441795287E-2</v>
      </c>
      <c r="O6" s="260">
        <f t="shared" ref="O6" si="29">O5/J5-1</f>
        <v>-6.3369125154022488E-3</v>
      </c>
      <c r="P6" s="263">
        <f t="shared" ref="P6" si="30">P5/K5-1</f>
        <v>-4.8842105263157909E-2</v>
      </c>
      <c r="Q6" s="262">
        <f>Q5/L5-1</f>
        <v>-1.6841358831740649E-3</v>
      </c>
      <c r="R6" s="260">
        <f>R5/M5-1</f>
        <v>-4.7311467158795306E-2</v>
      </c>
      <c r="S6" s="260">
        <f t="shared" ref="S6" si="31">S5/N5-1</f>
        <v>-3.6510194404931195E-2</v>
      </c>
      <c r="T6" s="260">
        <f t="shared" ref="T6" si="32">T5/O5-1</f>
        <v>-2.0726306465899125E-2</v>
      </c>
      <c r="U6" s="263">
        <f t="shared" ref="U6" si="33">U5/P5-1</f>
        <v>-3.2315183709606066E-2</v>
      </c>
      <c r="V6" s="262">
        <f>V5/Q5-1</f>
        <v>-3.4361057468202949E-2</v>
      </c>
      <c r="W6" s="264">
        <v>-0.01</v>
      </c>
      <c r="X6" s="264">
        <v>-0.01</v>
      </c>
      <c r="Y6" s="264">
        <v>-0.01</v>
      </c>
      <c r="Z6" s="265">
        <v>-0.01</v>
      </c>
      <c r="AA6" s="262">
        <f>AA5/V5-1</f>
        <v>-9.9999999999998979E-3</v>
      </c>
      <c r="AB6" s="264">
        <v>0</v>
      </c>
      <c r="AC6" s="264">
        <v>0</v>
      </c>
      <c r="AD6" s="264">
        <v>0</v>
      </c>
      <c r="AE6" s="265">
        <v>0</v>
      </c>
      <c r="AF6" s="262">
        <f>AF5/AA5-1</f>
        <v>0</v>
      </c>
      <c r="AG6" s="264">
        <f>AF6</f>
        <v>0</v>
      </c>
      <c r="AH6" s="264">
        <f>AG6+0.01</f>
        <v>0.01</v>
      </c>
      <c r="AI6" s="264">
        <f t="shared" si="14"/>
        <v>0.02</v>
      </c>
      <c r="AJ6" s="264">
        <f t="shared" si="14"/>
        <v>0.03</v>
      </c>
      <c r="AK6" s="265">
        <f t="shared" si="14"/>
        <v>0.04</v>
      </c>
    </row>
    <row r="7" spans="1:37" s="254" customFormat="1" x14ac:dyDescent="0.2">
      <c r="B7" s="254" t="s">
        <v>213</v>
      </c>
      <c r="C7" s="254">
        <v>477.2</v>
      </c>
      <c r="D7" s="254">
        <v>509.4</v>
      </c>
      <c r="E7" s="254">
        <v>517.79999999999995</v>
      </c>
      <c r="F7" s="257">
        <v>514.4</v>
      </c>
      <c r="G7" s="257">
        <f>SUM(C7:F7)</f>
        <v>2018.7999999999997</v>
      </c>
      <c r="H7" s="254">
        <v>510.9</v>
      </c>
      <c r="I7" s="254">
        <v>508</v>
      </c>
      <c r="J7" s="254">
        <v>475.4</v>
      </c>
      <c r="K7" s="257">
        <v>506.2</v>
      </c>
      <c r="L7" s="257">
        <f>SUM(H7:K7)</f>
        <v>2000.5</v>
      </c>
      <c r="M7" s="254">
        <v>478</v>
      </c>
      <c r="N7" s="254">
        <v>455.9</v>
      </c>
      <c r="O7" s="254">
        <v>468.9</v>
      </c>
      <c r="P7" s="257">
        <v>502.4</v>
      </c>
      <c r="Q7" s="257">
        <f>SUM(M7:P7)</f>
        <v>1905.1999999999998</v>
      </c>
      <c r="R7" s="254">
        <v>476.8</v>
      </c>
      <c r="S7" s="254">
        <v>455.9</v>
      </c>
      <c r="T7" s="254">
        <v>537.9</v>
      </c>
      <c r="U7" s="257">
        <v>614</v>
      </c>
      <c r="V7" s="257">
        <f>SUM(R7:U7)</f>
        <v>2084.6</v>
      </c>
      <c r="W7" s="254">
        <f>R7*(1+W8)</f>
        <v>521.69708167121564</v>
      </c>
      <c r="X7" s="254">
        <f t="shared" ref="X7" si="34">S7*(1+X8)</f>
        <v>498.82906781440272</v>
      </c>
      <c r="Y7" s="254">
        <f t="shared" ref="Y7" si="35">T7*(1+Y8)</f>
        <v>588.55046189376446</v>
      </c>
      <c r="Z7" s="257">
        <f t="shared" ref="Z7" si="36">U7*(1+Z8)</f>
        <v>671.81629225278198</v>
      </c>
      <c r="AA7" s="257">
        <f>SUM(W7:Z7)</f>
        <v>2280.8929036321651</v>
      </c>
      <c r="AB7" s="254">
        <f>W7*(1+AB8)</f>
        <v>573.86678983833724</v>
      </c>
      <c r="AC7" s="254">
        <f t="shared" ref="AC7" si="37">X7*(1+AC8)</f>
        <v>548.711974595843</v>
      </c>
      <c r="AD7" s="254">
        <f t="shared" ref="AD7" si="38">Y7*(1+AD8)</f>
        <v>647.40550808314094</v>
      </c>
      <c r="AE7" s="257">
        <f t="shared" ref="AE7" si="39">Z7*(1+AE8)</f>
        <v>738.99792147806022</v>
      </c>
      <c r="AF7" s="257">
        <f>SUM(AB7:AE7)</f>
        <v>2508.9821939953813</v>
      </c>
      <c r="AG7" s="266">
        <f>AF7*(1+AG8)</f>
        <v>2759.8804133949193</v>
      </c>
      <c r="AH7" s="254">
        <f t="shared" ref="AH7" si="40">AG7*(1+AH8)</f>
        <v>3063.4672588683602</v>
      </c>
      <c r="AI7" s="254">
        <f t="shared" ref="AI7" si="41">AH7*(1+AI8)</f>
        <v>3431.0833299325632</v>
      </c>
      <c r="AJ7" s="254">
        <f t="shared" ref="AJ7" si="42">AI7*(1+AJ8)</f>
        <v>3877.1241628237958</v>
      </c>
      <c r="AK7" s="257">
        <f t="shared" ref="AK7" si="43">AJ7*(1+AK8)</f>
        <v>4419.9215456191268</v>
      </c>
    </row>
    <row r="8" spans="1:37" s="260" customFormat="1" x14ac:dyDescent="0.2">
      <c r="B8" s="260" t="s">
        <v>220</v>
      </c>
      <c r="C8" s="261" t="s">
        <v>222</v>
      </c>
      <c r="D8" s="261" t="s">
        <v>222</v>
      </c>
      <c r="E8" s="261" t="s">
        <v>222</v>
      </c>
      <c r="F8" s="262" t="s">
        <v>222</v>
      </c>
      <c r="G8" s="262" t="s">
        <v>222</v>
      </c>
      <c r="H8" s="260">
        <f>H7/C7-1</f>
        <v>7.0620284995808857E-2</v>
      </c>
      <c r="I8" s="260">
        <f t="shared" ref="I8" si="44">I7/D7-1</f>
        <v>-2.748331370239443E-3</v>
      </c>
      <c r="J8" s="260">
        <f t="shared" ref="J8" si="45">J7/E7-1</f>
        <v>-8.1884897643877963E-2</v>
      </c>
      <c r="K8" s="263">
        <f t="shared" ref="K8" si="46">K7/F7-1</f>
        <v>-1.5940902021772896E-2</v>
      </c>
      <c r="L8" s="262">
        <f>L7/G7-1</f>
        <v>-9.0647909649295144E-3</v>
      </c>
      <c r="M8" s="260">
        <f>M7/H7-1</f>
        <v>-6.4396163632804759E-2</v>
      </c>
      <c r="N8" s="260">
        <f t="shared" ref="N8" si="47">N7/I7-1</f>
        <v>-0.10255905511811025</v>
      </c>
      <c r="O8" s="260">
        <f t="shared" ref="O8" si="48">O7/J7-1</f>
        <v>-1.3672696676482965E-2</v>
      </c>
      <c r="P8" s="263">
        <f t="shared" ref="P8" si="49">P7/K7-1</f>
        <v>-7.5069142631370989E-3</v>
      </c>
      <c r="Q8" s="262">
        <f>Q7/L7-1</f>
        <v>-4.7638090477380768E-2</v>
      </c>
      <c r="R8" s="260">
        <f>R7/M7-1</f>
        <v>-2.5104602510459539E-3</v>
      </c>
      <c r="S8" s="260">
        <f t="shared" ref="S8" si="50">S7/N7-1</f>
        <v>0</v>
      </c>
      <c r="T8" s="260">
        <f t="shared" ref="T8" si="51">T7/O7-1</f>
        <v>0.14715291106845818</v>
      </c>
      <c r="U8" s="263">
        <f t="shared" ref="U8" si="52">U7/P7-1</f>
        <v>0.22213375796178347</v>
      </c>
      <c r="V8" s="262">
        <f>V7/Q7-1</f>
        <v>9.4163342431240915E-2</v>
      </c>
      <c r="W8" s="264">
        <f>V8</f>
        <v>9.4163342431240915E-2</v>
      </c>
      <c r="X8" s="264">
        <f t="shared" ref="X8:Z8" si="53">W8</f>
        <v>9.4163342431240915E-2</v>
      </c>
      <c r="Y8" s="264">
        <f t="shared" si="53"/>
        <v>9.4163342431240915E-2</v>
      </c>
      <c r="Z8" s="265">
        <f t="shared" si="53"/>
        <v>9.4163342431240915E-2</v>
      </c>
      <c r="AA8" s="262">
        <f>AA7/V7-1</f>
        <v>9.4163342431241137E-2</v>
      </c>
      <c r="AB8" s="264">
        <v>0.1</v>
      </c>
      <c r="AC8" s="264">
        <f>AB8</f>
        <v>0.1</v>
      </c>
      <c r="AD8" s="264">
        <f t="shared" ref="AD8:AE8" si="54">AC8</f>
        <v>0.1</v>
      </c>
      <c r="AE8" s="265">
        <f t="shared" si="54"/>
        <v>0.1</v>
      </c>
      <c r="AF8" s="262">
        <f>AF7/AA7-1</f>
        <v>9.9999999999999867E-2</v>
      </c>
      <c r="AG8" s="264">
        <f>AF8</f>
        <v>9.9999999999999867E-2</v>
      </c>
      <c r="AH8" s="264">
        <f>AG8+0.01</f>
        <v>0.10999999999999986</v>
      </c>
      <c r="AI8" s="264">
        <f t="shared" si="14"/>
        <v>0.11999999999999986</v>
      </c>
      <c r="AJ8" s="264">
        <f t="shared" si="14"/>
        <v>0.12999999999999987</v>
      </c>
      <c r="AK8" s="265">
        <f t="shared" si="14"/>
        <v>0.13999999999999987</v>
      </c>
    </row>
    <row r="9" spans="1:37" s="255" customFormat="1" x14ac:dyDescent="0.2">
      <c r="A9" s="255" t="s">
        <v>214</v>
      </c>
      <c r="C9" s="255">
        <f t="shared" ref="C9:V9" si="55">SUM(C3:C7)</f>
        <v>8050.4</v>
      </c>
      <c r="D9" s="255">
        <f t="shared" si="55"/>
        <v>7635.5999999999995</v>
      </c>
      <c r="E9" s="255">
        <f t="shared" si="55"/>
        <v>8150.1</v>
      </c>
      <c r="F9" s="258">
        <f t="shared" si="55"/>
        <v>8414.1999999999989</v>
      </c>
      <c r="G9" s="258">
        <f t="shared" si="55"/>
        <v>32250.3</v>
      </c>
      <c r="H9" s="255">
        <f t="shared" si="55"/>
        <v>8714.2695363391085</v>
      </c>
      <c r="I9" s="255">
        <f t="shared" si="55"/>
        <v>8720.1968827300443</v>
      </c>
      <c r="J9" s="255">
        <f t="shared" si="55"/>
        <v>9168.6195050932511</v>
      </c>
      <c r="K9" s="258">
        <f t="shared" si="55"/>
        <v>9373.9022062442236</v>
      </c>
      <c r="L9" s="258">
        <f t="shared" si="55"/>
        <v>35975.943105236511</v>
      </c>
      <c r="M9" s="255">
        <f t="shared" si="55"/>
        <v>9425.4596763837289</v>
      </c>
      <c r="N9" s="255">
        <f t="shared" si="55"/>
        <v>8562.9734157749572</v>
      </c>
      <c r="O9" s="255">
        <f t="shared" si="55"/>
        <v>9113.8882771385925</v>
      </c>
      <c r="P9" s="258">
        <f t="shared" si="55"/>
        <v>9073.9201939498926</v>
      </c>
      <c r="Q9" s="258">
        <f t="shared" si="55"/>
        <v>36176.208617129458</v>
      </c>
      <c r="R9" s="255">
        <f t="shared" si="55"/>
        <v>9397.7565697996033</v>
      </c>
      <c r="S9" s="255">
        <f t="shared" si="55"/>
        <v>8756.89644219195</v>
      </c>
      <c r="T9" s="255">
        <f t="shared" si="55"/>
        <v>9456.0187228686264</v>
      </c>
      <c r="U9" s="258">
        <f>SUM(U3:U7)</f>
        <v>9569.0241070626998</v>
      </c>
      <c r="V9" s="258">
        <f t="shared" si="55"/>
        <v>37123.796647579933</v>
      </c>
      <c r="W9" s="255">
        <f t="shared" ref="W9:AK9" si="56">SUM(W3:W7)</f>
        <v>9664.9190816712162</v>
      </c>
      <c r="X9" s="255">
        <f t="shared" si="56"/>
        <v>9008.239067814402</v>
      </c>
      <c r="Y9" s="255">
        <f t="shared" si="56"/>
        <v>9729.9894618937651</v>
      </c>
      <c r="Z9" s="258">
        <f t="shared" si="56"/>
        <v>9851.7662922527834</v>
      </c>
      <c r="AA9" s="258">
        <f t="shared" si="56"/>
        <v>38254.855779782825</v>
      </c>
      <c r="AB9" s="255">
        <f t="shared" si="56"/>
        <v>10037.86314983834</v>
      </c>
      <c r="AC9" s="255">
        <f t="shared" si="56"/>
        <v>9508.374974595843</v>
      </c>
      <c r="AD9" s="255">
        <f t="shared" si="56"/>
        <v>10352.17575808314</v>
      </c>
      <c r="AE9" s="258">
        <f t="shared" si="56"/>
        <v>10647.825321478062</v>
      </c>
      <c r="AF9" s="258">
        <f t="shared" si="56"/>
        <v>40546.044352150515</v>
      </c>
      <c r="AG9" s="255">
        <f t="shared" si="56"/>
        <v>43495.373424194921</v>
      </c>
      <c r="AH9" s="255">
        <f t="shared" si="56"/>
        <v>47120.623680640369</v>
      </c>
      <c r="AI9" s="255">
        <f t="shared" si="56"/>
        <v>51545.976196281765</v>
      </c>
      <c r="AJ9" s="255">
        <f t="shared" si="56"/>
        <v>56929.713062919414</v>
      </c>
      <c r="AK9" s="258">
        <f t="shared" si="56"/>
        <v>63473.22686272765</v>
      </c>
    </row>
    <row r="10" spans="1:37" s="260" customFormat="1" x14ac:dyDescent="0.2">
      <c r="B10" s="260" t="s">
        <v>220</v>
      </c>
      <c r="C10" s="261" t="s">
        <v>222</v>
      </c>
      <c r="D10" s="261" t="s">
        <v>222</v>
      </c>
      <c r="E10" s="261" t="s">
        <v>222</v>
      </c>
      <c r="F10" s="262" t="s">
        <v>222</v>
      </c>
      <c r="G10" s="262" t="s">
        <v>222</v>
      </c>
      <c r="H10" s="260">
        <f>H9/C9-1</f>
        <v>8.2464167785341047E-2</v>
      </c>
      <c r="I10" s="260">
        <f t="shared" ref="I10" si="57">I9/D9-1</f>
        <v>0.14204474864189387</v>
      </c>
      <c r="J10" s="260">
        <f t="shared" ref="J10" si="58">J9/E9-1</f>
        <v>0.12497018503984614</v>
      </c>
      <c r="K10" s="263">
        <f t="shared" ref="K10" si="59">K9/F9-1</f>
        <v>0.11405745124245015</v>
      </c>
      <c r="L10" s="262">
        <f>L9/G9-1</f>
        <v>0.11552274258647244</v>
      </c>
      <c r="M10" s="260">
        <f>M9/H9-1</f>
        <v>8.1612134795568059E-2</v>
      </c>
      <c r="N10" s="260">
        <f t="shared" ref="N10" si="60">N9/I9-1</f>
        <v>-1.8029807018057231E-2</v>
      </c>
      <c r="O10" s="260">
        <f t="shared" ref="O10" si="61">O9/J9-1</f>
        <v>-5.969407709007335E-3</v>
      </c>
      <c r="P10" s="263">
        <f t="shared" ref="P10" si="62">P9/K9-1</f>
        <v>-3.200182866154766E-2</v>
      </c>
      <c r="Q10" s="262">
        <f>Q9/L9-1</f>
        <v>5.5666507840290702E-3</v>
      </c>
      <c r="R10" s="260">
        <f>R9/M9-1</f>
        <v>-2.93917830379542E-3</v>
      </c>
      <c r="S10" s="260">
        <f t="shared" ref="S10" si="63">S9/N9-1</f>
        <v>2.2646692568231375E-2</v>
      </c>
      <c r="T10" s="260">
        <f t="shared" ref="T10" si="64">T9/O9-1</f>
        <v>3.7539460143289016E-2</v>
      </c>
      <c r="U10" s="263">
        <f t="shared" ref="U10" si="65">U9/P9-1</f>
        <v>5.4563397355304133E-2</v>
      </c>
      <c r="V10" s="262">
        <f>V9/Q9-1</f>
        <v>2.6193679953564697E-2</v>
      </c>
      <c r="W10" s="260">
        <f>W9/R9-1</f>
        <v>2.8428328600270447E-2</v>
      </c>
      <c r="X10" s="260">
        <f t="shared" ref="X10" si="66">X9/S9-1</f>
        <v>2.8702249396424184E-2</v>
      </c>
      <c r="Y10" s="260">
        <f t="shared" ref="Y10" si="67">Y9/T9-1</f>
        <v>2.8973159535160553E-2</v>
      </c>
      <c r="Z10" s="263">
        <f t="shared" ref="Z10" si="68">Z9/U9-1</f>
        <v>2.9547651048490664E-2</v>
      </c>
      <c r="AA10" s="262">
        <f>AA9/V9-1</f>
        <v>3.0467226801723868E-2</v>
      </c>
      <c r="AB10" s="260">
        <f>AB9/W9-1</f>
        <v>3.8587396854091072E-2</v>
      </c>
      <c r="AC10" s="260">
        <f t="shared" ref="AC10" si="69">AC9/X9-1</f>
        <v>5.5519830570258666E-2</v>
      </c>
      <c r="AD10" s="260">
        <f t="shared" ref="AD10" si="70">AD9/Y9-1</f>
        <v>6.3945217888065287E-2</v>
      </c>
      <c r="AE10" s="263">
        <f t="shared" ref="AE10" si="71">AE9/Z9-1</f>
        <v>8.0803685918867441E-2</v>
      </c>
      <c r="AF10" s="262">
        <f>AF9/AA9-1</f>
        <v>5.9892751538709321E-2</v>
      </c>
      <c r="AG10" s="267">
        <f>AG9/AF9-1</f>
        <v>7.2740241845268283E-2</v>
      </c>
      <c r="AH10" s="260">
        <f t="shared" ref="AH10:AK10" si="72">AH9/AG9-1</f>
        <v>8.3347951081823579E-2</v>
      </c>
      <c r="AI10" s="260">
        <f t="shared" si="72"/>
        <v>9.3915406248316735E-2</v>
      </c>
      <c r="AJ10" s="260">
        <f t="shared" si="72"/>
        <v>0.10444533722936855</v>
      </c>
      <c r="AK10" s="263">
        <f t="shared" si="72"/>
        <v>0.11494022098049683</v>
      </c>
    </row>
    <row r="11" spans="1:37" s="187" customFormat="1" x14ac:dyDescent="0.2">
      <c r="F11" s="259"/>
      <c r="G11" s="259"/>
      <c r="K11" s="259"/>
      <c r="L11" s="259"/>
      <c r="P11" s="259"/>
      <c r="Q11" s="259"/>
      <c r="U11" s="259"/>
      <c r="V11" s="259"/>
      <c r="Z11" s="259"/>
      <c r="AA11" s="259"/>
      <c r="AE11" s="259"/>
      <c r="AF11" s="259"/>
      <c r="AK11" s="259"/>
    </row>
    <row r="12" spans="1:37" s="254" customFormat="1" x14ac:dyDescent="0.2">
      <c r="B12" s="254" t="s">
        <v>215</v>
      </c>
      <c r="C12" s="254">
        <v>2526.9</v>
      </c>
      <c r="D12" s="254">
        <v>2465.8000000000002</v>
      </c>
      <c r="E12" s="254">
        <v>2613.6</v>
      </c>
      <c r="F12" s="257">
        <v>2711</v>
      </c>
      <c r="G12" s="257">
        <f>SUM(C12:F12)</f>
        <v>10317.300000000001</v>
      </c>
      <c r="H12" s="254">
        <v>2810.2</v>
      </c>
      <c r="I12" s="254">
        <v>2801.7</v>
      </c>
      <c r="J12" s="254">
        <v>2864.2</v>
      </c>
      <c r="K12" s="257">
        <v>2933.1</v>
      </c>
      <c r="L12" s="257">
        <f>SUM(H12:K12)</f>
        <v>11409.199999999999</v>
      </c>
      <c r="M12" s="254">
        <v>2980.6</v>
      </c>
      <c r="N12" s="254">
        <v>2648.7</v>
      </c>
      <c r="O12" s="254">
        <v>2740.9</v>
      </c>
      <c r="P12" s="257">
        <v>2910.3</v>
      </c>
      <c r="Q12" s="257">
        <f>SUM(M12:P12)</f>
        <v>11280.5</v>
      </c>
      <c r="R12" s="254">
        <v>2893.7</v>
      </c>
      <c r="S12" s="254">
        <v>2737.6</v>
      </c>
      <c r="T12" s="254">
        <v>2955.5</v>
      </c>
      <c r="U12" s="257">
        <v>3071.4</v>
      </c>
      <c r="V12" s="257">
        <f>SUM(R12:U12)</f>
        <v>11658.199999999999</v>
      </c>
      <c r="W12" s="254">
        <f>W13*W9</f>
        <v>3035.1302887358256</v>
      </c>
      <c r="X12" s="254">
        <f t="shared" ref="X12:Z12" si="73">X13*X9</f>
        <v>2828.909276100132</v>
      </c>
      <c r="Y12" s="254">
        <f t="shared" si="73"/>
        <v>3055.5647155783176</v>
      </c>
      <c r="Z12" s="257">
        <f t="shared" si="73"/>
        <v>3093.8069960532607</v>
      </c>
      <c r="AA12" s="257">
        <f>SUM(W12:Z12)</f>
        <v>12013.411276467536</v>
      </c>
      <c r="AB12" s="254">
        <f>AB13*AB9</f>
        <v>3152.2528551691862</v>
      </c>
      <c r="AC12" s="254">
        <f t="shared" ref="AC12" si="74">AC13*AC9</f>
        <v>2985.9743766452621</v>
      </c>
      <c r="AD12" s="254">
        <f t="shared" ref="AD12" si="75">AD13*AD9</f>
        <v>3250.9584065365907</v>
      </c>
      <c r="AE12" s="257">
        <f t="shared" ref="AE12" si="76">AE13*AE9</f>
        <v>3343.8030853720629</v>
      </c>
      <c r="AF12" s="257">
        <f>SUM(AB12:AE12)</f>
        <v>12732.988723723101</v>
      </c>
      <c r="AG12" s="254">
        <f t="shared" ref="AG12" si="77">AG13*AG9</f>
        <v>13789.67552317238</v>
      </c>
      <c r="AH12" s="254">
        <f t="shared" ref="AH12" si="78">AH13*AH9</f>
        <v>14774.09454122973</v>
      </c>
      <c r="AI12" s="254">
        <f t="shared" ref="AI12" si="79">AI13*AI9</f>
        <v>15981.198715333372</v>
      </c>
      <c r="AJ12" s="254">
        <f t="shared" ref="AJ12" si="80">AJ13*AJ9</f>
        <v>17451.1064087657</v>
      </c>
      <c r="AK12" s="257">
        <f t="shared" ref="AK12" si="81">AK13*AK9</f>
        <v>19234.784141723845</v>
      </c>
    </row>
    <row r="13" spans="1:37" s="260" customFormat="1" x14ac:dyDescent="0.2">
      <c r="B13" s="260" t="s">
        <v>221</v>
      </c>
      <c r="C13" s="260">
        <f>C12/C9</f>
        <v>0.31388502434661636</v>
      </c>
      <c r="D13" s="260">
        <f t="shared" ref="D13:G13" si="82">D12/D9</f>
        <v>0.32293467441982299</v>
      </c>
      <c r="E13" s="260">
        <f t="shared" si="82"/>
        <v>0.32068318180145028</v>
      </c>
      <c r="F13" s="263">
        <f t="shared" si="82"/>
        <v>0.32219343490765617</v>
      </c>
      <c r="G13" s="263">
        <f t="shared" si="82"/>
        <v>0.31991330313206395</v>
      </c>
      <c r="H13" s="260">
        <f>H12/H9</f>
        <v>0.32248256589737911</v>
      </c>
      <c r="I13" s="260">
        <f t="shared" ref="I13" si="83">I12/I9</f>
        <v>0.32128861741053577</v>
      </c>
      <c r="J13" s="260">
        <f t="shared" ref="J13" si="84">J12/J9</f>
        <v>0.31239163086753802</v>
      </c>
      <c r="K13" s="263">
        <f t="shared" ref="K13" si="85">K12/K9</f>
        <v>0.31290064003934009</v>
      </c>
      <c r="L13" s="263">
        <f t="shared" ref="L13" si="86">L12/L9</f>
        <v>0.3171341461883545</v>
      </c>
      <c r="M13" s="260">
        <f>M12/M9</f>
        <v>0.31622860871901459</v>
      </c>
      <c r="N13" s="260">
        <f t="shared" ref="N13" si="87">N12/N9</f>
        <v>0.3093201241429161</v>
      </c>
      <c r="O13" s="260">
        <f t="shared" ref="O13" si="88">O12/O9</f>
        <v>0.30073881933305158</v>
      </c>
      <c r="P13" s="263">
        <f t="shared" ref="P13" si="89">P12/P9</f>
        <v>0.32073237782501829</v>
      </c>
      <c r="Q13" s="263">
        <f t="shared" ref="Q13" si="90">Q12/Q9</f>
        <v>0.31182095723150699</v>
      </c>
      <c r="R13" s="260">
        <f>R12/R9</f>
        <v>0.30791391312466232</v>
      </c>
      <c r="S13" s="260">
        <f t="shared" ref="S13" si="91">S12/S9</f>
        <v>0.31262217362875971</v>
      </c>
      <c r="T13" s="260">
        <f t="shared" ref="T13" si="92">T12/T9</f>
        <v>0.31255225762744732</v>
      </c>
      <c r="U13" s="263">
        <f t="shared" ref="U13" si="93">U12/U9</f>
        <v>0.32097316984843449</v>
      </c>
      <c r="V13" s="263">
        <f t="shared" ref="V13" si="94">V12/V9</f>
        <v>0.314035768234389</v>
      </c>
      <c r="W13" s="264">
        <f>V13</f>
        <v>0.314035768234389</v>
      </c>
      <c r="X13" s="264">
        <f>W13</f>
        <v>0.314035768234389</v>
      </c>
      <c r="Y13" s="264">
        <f t="shared" ref="Y13:Z19" si="95">X13</f>
        <v>0.314035768234389</v>
      </c>
      <c r="Z13" s="265">
        <f t="shared" si="95"/>
        <v>0.314035768234389</v>
      </c>
      <c r="AA13" s="263">
        <f t="shared" ref="AA13" si="96">AA12/AA9</f>
        <v>0.31403624537558605</v>
      </c>
      <c r="AB13" s="264">
        <f>AA13</f>
        <v>0.31403624537558605</v>
      </c>
      <c r="AC13" s="264">
        <f>AB13</f>
        <v>0.31403624537558605</v>
      </c>
      <c r="AD13" s="264">
        <f t="shared" ref="AD13:AE13" si="97">AC13</f>
        <v>0.31403624537558605</v>
      </c>
      <c r="AE13" s="265">
        <f t="shared" si="97"/>
        <v>0.31403624537558605</v>
      </c>
      <c r="AF13" s="263">
        <f t="shared" ref="AF13" si="98">AF12/AF9</f>
        <v>0.31403775453739813</v>
      </c>
      <c r="AG13" s="268">
        <f>AF13+0.003</f>
        <v>0.31703775453739813</v>
      </c>
      <c r="AH13" s="264">
        <f>AG13-0.0035</f>
        <v>0.31353775453739813</v>
      </c>
      <c r="AI13" s="264">
        <f t="shared" ref="AI13:AK13" si="99">AH13-0.0035</f>
        <v>0.31003775453739812</v>
      </c>
      <c r="AJ13" s="264">
        <f t="shared" si="99"/>
        <v>0.30653775453739812</v>
      </c>
      <c r="AK13" s="265">
        <f t="shared" si="99"/>
        <v>0.30303775453739812</v>
      </c>
    </row>
    <row r="14" spans="1:37" s="254" customFormat="1" x14ac:dyDescent="0.2">
      <c r="B14" s="254" t="s">
        <v>216</v>
      </c>
      <c r="C14" s="254">
        <v>3400</v>
      </c>
      <c r="D14" s="254">
        <v>3314.7</v>
      </c>
      <c r="E14" s="254">
        <v>3302.5</v>
      </c>
      <c r="F14" s="257">
        <v>3544.7</v>
      </c>
      <c r="G14" s="257">
        <f>SUM(C14:F14)</f>
        <v>13561.900000000001</v>
      </c>
      <c r="H14" s="254">
        <v>3665.3</v>
      </c>
      <c r="I14" s="254">
        <v>3636</v>
      </c>
      <c r="J14" s="254">
        <v>3697.6</v>
      </c>
      <c r="K14" s="257">
        <v>3721.3</v>
      </c>
      <c r="L14" s="257">
        <f>SUM(H14:K14)</f>
        <v>14720.2</v>
      </c>
      <c r="M14" s="254">
        <v>3851.5</v>
      </c>
      <c r="N14" s="254">
        <v>3724.1</v>
      </c>
      <c r="O14" s="254">
        <v>3829.1</v>
      </c>
      <c r="P14" s="257">
        <v>3881.7</v>
      </c>
      <c r="Q14" s="257">
        <f>SUM(M14:P14)</f>
        <v>15286.400000000001</v>
      </c>
      <c r="R14" s="254">
        <v>4203</v>
      </c>
      <c r="S14" s="254">
        <v>4176</v>
      </c>
      <c r="T14" s="254">
        <v>4344.8</v>
      </c>
      <c r="U14" s="257">
        <v>4335</v>
      </c>
      <c r="V14" s="257">
        <f>SUM(R14:U14)</f>
        <v>17058.8</v>
      </c>
      <c r="W14" s="266">
        <f>W15*W9</f>
        <v>4441.1384750207326</v>
      </c>
      <c r="X14" s="254">
        <f t="shared" ref="X14:Z14" si="100">X15*X9</f>
        <v>4139.3866599592502</v>
      </c>
      <c r="Y14" s="254">
        <f t="shared" si="100"/>
        <v>4471.0390429146355</v>
      </c>
      <c r="Z14" s="257">
        <f t="shared" si="100"/>
        <v>4526.9968592298437</v>
      </c>
      <c r="AA14" s="257">
        <f>SUM(W14:Z14)</f>
        <v>17578.561037124462</v>
      </c>
      <c r="AB14" s="266">
        <f>AB15*AB9</f>
        <v>4612.5174560189489</v>
      </c>
      <c r="AC14" s="254">
        <f t="shared" ref="AC14" si="101">AC15*AC9</f>
        <v>4359.7029695139354</v>
      </c>
      <c r="AD14" s="254">
        <f t="shared" ref="AD14" si="102">AD15*AD9</f>
        <v>4736.2434848073135</v>
      </c>
      <c r="AE14" s="257">
        <f t="shared" ref="AE14" si="103">AE15*AE9</f>
        <v>4860.8588496728808</v>
      </c>
      <c r="AF14" s="257">
        <f>SUM(AB14:AE14)</f>
        <v>18569.322760013078</v>
      </c>
      <c r="AG14" s="254">
        <f t="shared" ref="AG14" si="104">AG15*AG9</f>
        <v>19920.059788479273</v>
      </c>
      <c r="AH14" s="254">
        <f t="shared" ref="AH14" si="105">AH15*AH9</f>
        <v>21391.873462553885</v>
      </c>
      <c r="AI14" s="254">
        <f t="shared" ref="AI14" si="106">AI15*AI9</f>
        <v>23194.716044417091</v>
      </c>
      <c r="AJ14" s="254">
        <f t="shared" ref="AJ14" si="107">AJ15*AJ9</f>
        <v>25389.577131364</v>
      </c>
      <c r="AK14" s="257">
        <f t="shared" ref="AK14" si="108">AK15*AK9</f>
        <v>28053.967829993438</v>
      </c>
    </row>
    <row r="15" spans="1:37" s="260" customFormat="1" x14ac:dyDescent="0.2">
      <c r="B15" s="260" t="s">
        <v>221</v>
      </c>
      <c r="C15" s="260">
        <f>C14/C9</f>
        <v>0.42233926264533439</v>
      </c>
      <c r="D15" s="260">
        <f t="shared" ref="D15:G15" si="109">D14/D9</f>
        <v>0.4341112682696841</v>
      </c>
      <c r="E15" s="260">
        <f t="shared" si="109"/>
        <v>0.40520975202758247</v>
      </c>
      <c r="F15" s="263">
        <f t="shared" si="109"/>
        <v>0.42127593829478743</v>
      </c>
      <c r="G15" s="263">
        <f t="shared" si="109"/>
        <v>0.42052011919268972</v>
      </c>
      <c r="H15" s="260">
        <f>H14/H9</f>
        <v>0.42060897757585358</v>
      </c>
      <c r="I15" s="260">
        <f t="shared" ref="I15" si="110">I14/I9</f>
        <v>0.41696306274929795</v>
      </c>
      <c r="J15" s="260">
        <f t="shared" ref="J15" si="111">J14/J9</f>
        <v>0.40328863008721755</v>
      </c>
      <c r="K15" s="263">
        <f t="shared" ref="K15" si="112">K14/K9</f>
        <v>0.39698515283433788</v>
      </c>
      <c r="L15" s="263">
        <f t="shared" ref="L15" si="113">L14/L9</f>
        <v>0.40916786967726188</v>
      </c>
      <c r="M15" s="260">
        <f>M14/M9</f>
        <v>0.40862728527185288</v>
      </c>
      <c r="N15" s="260">
        <f t="shared" ref="N15" si="114">N14/N9</f>
        <v>0.43490734108076934</v>
      </c>
      <c r="O15" s="260">
        <f t="shared" ref="O15" si="115">O14/O9</f>
        <v>0.42013901021860989</v>
      </c>
      <c r="P15" s="263">
        <f t="shared" ref="P15" si="116">P14/P9</f>
        <v>0.4277864381690456</v>
      </c>
      <c r="Q15" s="263">
        <f t="shared" ref="Q15" si="117">Q14/Q9</f>
        <v>0.42255395422398911</v>
      </c>
      <c r="R15" s="260">
        <f>R14/R9</f>
        <v>0.44723439778240864</v>
      </c>
      <c r="S15" s="260">
        <f t="shared" ref="S15" si="118">S14/S9</f>
        <v>0.47688128180658262</v>
      </c>
      <c r="T15" s="260">
        <f t="shared" ref="T15" si="119">T14/T9</f>
        <v>0.45947455555396144</v>
      </c>
      <c r="U15" s="263">
        <f t="shared" ref="U15" si="120">U14/U9</f>
        <v>0.45302425320471557</v>
      </c>
      <c r="V15" s="263">
        <f t="shared" ref="V15" si="121">V14/V9</f>
        <v>0.45951119067753127</v>
      </c>
      <c r="W15" s="264">
        <f>V15</f>
        <v>0.45951119067753127</v>
      </c>
      <c r="X15" s="264">
        <f>W15</f>
        <v>0.45951119067753127</v>
      </c>
      <c r="Y15" s="264">
        <f t="shared" si="95"/>
        <v>0.45951119067753127</v>
      </c>
      <c r="Z15" s="265">
        <f t="shared" si="95"/>
        <v>0.45951119067753127</v>
      </c>
      <c r="AA15" s="263">
        <f t="shared" ref="AA15" si="122">AA14/AA9</f>
        <v>0.45951188885188515</v>
      </c>
      <c r="AB15" s="264">
        <f>AA15</f>
        <v>0.45951188885188515</v>
      </c>
      <c r="AC15" s="264">
        <f>AB15-0.001</f>
        <v>0.45851188885188515</v>
      </c>
      <c r="AD15" s="264">
        <f>AC15-0.001</f>
        <v>0.45751188885188515</v>
      </c>
      <c r="AE15" s="265">
        <f>AD15-0.001</f>
        <v>0.45651188885188515</v>
      </c>
      <c r="AF15" s="263">
        <f t="shared" ref="AF15" si="123">AF14/AF9</f>
        <v>0.4579811189159364</v>
      </c>
      <c r="AG15" s="268">
        <f>AF15</f>
        <v>0.4579811189159364</v>
      </c>
      <c r="AH15" s="264">
        <f>AG15-0.004</f>
        <v>0.4539811189159364</v>
      </c>
      <c r="AI15" s="264">
        <f t="shared" ref="AI15:AK17" si="124">AH15-0.004</f>
        <v>0.4499811189159364</v>
      </c>
      <c r="AJ15" s="264">
        <f t="shared" si="124"/>
        <v>0.44598111891593639</v>
      </c>
      <c r="AK15" s="265">
        <f t="shared" si="124"/>
        <v>0.44198111891593639</v>
      </c>
    </row>
    <row r="16" spans="1:37" s="254" customFormat="1" x14ac:dyDescent="0.2">
      <c r="B16" s="254" t="s">
        <v>217</v>
      </c>
      <c r="C16" s="254">
        <v>101.7</v>
      </c>
      <c r="D16" s="254">
        <v>101.7</v>
      </c>
      <c r="E16" s="254">
        <v>135.1</v>
      </c>
      <c r="F16" s="257">
        <v>123.1</v>
      </c>
      <c r="G16" s="257">
        <f>SUM(C16:F16)</f>
        <v>461.6</v>
      </c>
      <c r="H16" s="254">
        <v>129.30000000000001</v>
      </c>
      <c r="I16" s="254">
        <v>126.2</v>
      </c>
      <c r="J16" s="254">
        <v>138.69999999999999</v>
      </c>
      <c r="K16" s="257">
        <v>145.19999999999999</v>
      </c>
      <c r="L16" s="257">
        <f>SUM(H16:K16)</f>
        <v>539.4</v>
      </c>
      <c r="M16" s="254">
        <v>150.4</v>
      </c>
      <c r="N16" s="254">
        <v>132.80000000000001</v>
      </c>
      <c r="O16" s="254">
        <v>143.9</v>
      </c>
      <c r="P16" s="257">
        <v>138.69999999999999</v>
      </c>
      <c r="Q16" s="257">
        <f>SUM(M16:P16)</f>
        <v>565.79999999999995</v>
      </c>
      <c r="R16" s="254">
        <v>152.5</v>
      </c>
      <c r="S16" s="254">
        <v>138.69999999999999</v>
      </c>
      <c r="T16" s="254">
        <v>151.6</v>
      </c>
      <c r="U16" s="257">
        <v>141.80000000000001</v>
      </c>
      <c r="V16" s="257">
        <f>SUM(R16:U16)</f>
        <v>584.59999999999991</v>
      </c>
      <c r="W16" s="266">
        <f>W17*W9</f>
        <v>152.19649403809879</v>
      </c>
      <c r="X16" s="254">
        <f t="shared" ref="X16:Z16" si="125">X17*X9</f>
        <v>141.85554912491952</v>
      </c>
      <c r="Y16" s="254">
        <f t="shared" si="125"/>
        <v>153.22117760263885</v>
      </c>
      <c r="Z16" s="257">
        <f t="shared" si="125"/>
        <v>155.13883531700742</v>
      </c>
      <c r="AA16" s="257">
        <f>SUM(W16:Z16)</f>
        <v>602.41205608266455</v>
      </c>
      <c r="AB16" s="266">
        <f>AB17*AB9</f>
        <v>158.06960072154411</v>
      </c>
      <c r="AC16" s="254">
        <f t="shared" ref="AC16" si="126">AC17*AC9</f>
        <v>149.73157267732751</v>
      </c>
      <c r="AD16" s="254">
        <f t="shared" ref="AD16" si="127">AD17*AD9</f>
        <v>163.01918687801634</v>
      </c>
      <c r="AE16" s="257">
        <f t="shared" ref="AE16" si="128">AE17*AE9</f>
        <v>167.67487980207127</v>
      </c>
      <c r="AF16" s="257">
        <f>SUM(AB16:AE16)</f>
        <v>638.49524007895923</v>
      </c>
      <c r="AG16" s="266">
        <f t="shared" ref="AG16" si="129">AG17*AG9</f>
        <v>684.93953825935546</v>
      </c>
      <c r="AH16" s="254">
        <f t="shared" ref="AH16" si="130">AH17*AH9</f>
        <v>553.54535066564154</v>
      </c>
      <c r="AI16" s="254">
        <f t="shared" ref="AI16" si="131">AI17*AI9</f>
        <v>399.34788236514521</v>
      </c>
      <c r="AJ16" s="254">
        <f t="shared" ref="AJ16" si="132">AJ17*AJ9</f>
        <v>213.33905435892933</v>
      </c>
      <c r="AK16" s="257">
        <f t="shared" ref="AK16" si="133">AK17*AK9</f>
        <v>-16.032615040195722</v>
      </c>
    </row>
    <row r="17" spans="1:37" s="260" customFormat="1" x14ac:dyDescent="0.2">
      <c r="B17" s="260" t="s">
        <v>221</v>
      </c>
      <c r="C17" s="260">
        <f>C16/C9</f>
        <v>1.2632912650303092E-2</v>
      </c>
      <c r="D17" s="260">
        <f t="shared" ref="D17:G17" si="134">D16/D9</f>
        <v>1.3319189061763321E-2</v>
      </c>
      <c r="E17" s="260">
        <f t="shared" si="134"/>
        <v>1.6576483724126082E-2</v>
      </c>
      <c r="F17" s="263">
        <f t="shared" si="134"/>
        <v>1.4630030187064725E-2</v>
      </c>
      <c r="G17" s="263">
        <f t="shared" si="134"/>
        <v>1.4313045149967599E-2</v>
      </c>
      <c r="H17" s="260">
        <f>H16/H9</f>
        <v>1.4837732464070573E-2</v>
      </c>
      <c r="I17" s="260">
        <f t="shared" ref="I17" si="135">I16/I9</f>
        <v>1.4472150307745161E-2</v>
      </c>
      <c r="J17" s="260">
        <f t="shared" ref="J17" si="136">J16/J9</f>
        <v>1.5127686335216647E-2</v>
      </c>
      <c r="K17" s="263">
        <f t="shared" ref="K17" si="137">K16/K9</f>
        <v>1.5489813826228967E-2</v>
      </c>
      <c r="L17" s="263">
        <f t="shared" ref="L17" si="138">L16/L9</f>
        <v>1.4993352597377416E-2</v>
      </c>
      <c r="M17" s="260">
        <f>M16/M9</f>
        <v>1.5956781437073003E-2</v>
      </c>
      <c r="N17" s="260">
        <f t="shared" ref="N17" si="139">N16/N9</f>
        <v>1.5508631587638939E-2</v>
      </c>
      <c r="O17" s="260">
        <f t="shared" ref="O17" si="140">O16/O9</f>
        <v>1.5789089752280685E-2</v>
      </c>
      <c r="P17" s="263">
        <f t="shared" ref="P17" si="141">P16/P9</f>
        <v>1.5285565338394678E-2</v>
      </c>
      <c r="Q17" s="263">
        <f t="shared" ref="Q17" si="142">Q16/Q9</f>
        <v>1.5640113257531729E-2</v>
      </c>
      <c r="R17" s="260">
        <f>R16/R9</f>
        <v>1.6227277102502335E-2</v>
      </c>
      <c r="S17" s="260">
        <f t="shared" ref="S17" si="143">S16/S9</f>
        <v>1.5838944872263651E-2</v>
      </c>
      <c r="T17" s="260">
        <f t="shared" ref="T17" si="144">T16/T9</f>
        <v>1.6032117156596519E-2</v>
      </c>
      <c r="U17" s="263">
        <f t="shared" ref="U17" si="145">U16/U9</f>
        <v>1.481864800563522E-2</v>
      </c>
      <c r="V17" s="263">
        <f t="shared" ref="V17" si="146">V16/V9</f>
        <v>1.5747311772814309E-2</v>
      </c>
      <c r="W17" s="264">
        <f>V17</f>
        <v>1.5747311772814309E-2</v>
      </c>
      <c r="X17" s="264">
        <f>W17</f>
        <v>1.5747311772814309E-2</v>
      </c>
      <c r="Y17" s="264">
        <f t="shared" si="95"/>
        <v>1.5747311772814309E-2</v>
      </c>
      <c r="Z17" s="265">
        <f t="shared" si="95"/>
        <v>1.5747311772814309E-2</v>
      </c>
      <c r="AA17" s="263">
        <f t="shared" ref="AA17" si="147">AA16/AA9</f>
        <v>1.5747335699041666E-2</v>
      </c>
      <c r="AB17" s="264">
        <f>AA17</f>
        <v>1.5747335699041666E-2</v>
      </c>
      <c r="AC17" s="264">
        <f>AB17</f>
        <v>1.5747335699041666E-2</v>
      </c>
      <c r="AD17" s="264">
        <f t="shared" ref="AD17:AE17" si="148">AC17</f>
        <v>1.5747335699041666E-2</v>
      </c>
      <c r="AE17" s="265">
        <f t="shared" si="148"/>
        <v>1.5747335699041666E-2</v>
      </c>
      <c r="AF17" s="263">
        <f t="shared" ref="AF17" si="149">AF16/AF9</f>
        <v>1.5747411375903905E-2</v>
      </c>
      <c r="AG17" s="268">
        <f>AF17</f>
        <v>1.5747411375903905E-2</v>
      </c>
      <c r="AH17" s="264">
        <f>AG17-0.004</f>
        <v>1.1747411375903904E-2</v>
      </c>
      <c r="AI17" s="264">
        <f t="shared" si="124"/>
        <v>7.7474113759039044E-3</v>
      </c>
      <c r="AJ17" s="264">
        <f t="shared" si="124"/>
        <v>3.7474113759039043E-3</v>
      </c>
      <c r="AK17" s="265">
        <f t="shared" si="124"/>
        <v>-2.5258862409609575E-4</v>
      </c>
    </row>
    <row r="18" spans="1:37" s="254" customFormat="1" x14ac:dyDescent="0.2">
      <c r="B18" s="254" t="s">
        <v>218</v>
      </c>
      <c r="C18" s="254">
        <f>366+525.8</f>
        <v>891.8</v>
      </c>
      <c r="D18" s="254">
        <f>367.7+481.5</f>
        <v>849.2</v>
      </c>
      <c r="E18" s="254">
        <f>356.8+486.7</f>
        <v>843.5</v>
      </c>
      <c r="F18" s="257">
        <f>357.4+538</f>
        <v>895.4</v>
      </c>
      <c r="G18" s="257">
        <f>SUM(C18:F18)</f>
        <v>3479.9</v>
      </c>
      <c r="H18" s="254">
        <f>327.1+580.9</f>
        <v>908</v>
      </c>
      <c r="I18" s="254">
        <f>341.9+620.4</f>
        <v>962.3</v>
      </c>
      <c r="J18" s="254">
        <f>342.2+604.3</f>
        <v>946.5</v>
      </c>
      <c r="K18" s="257">
        <f>351.4+635.8</f>
        <v>987.19999999999993</v>
      </c>
      <c r="L18" s="257">
        <f>SUM(H18:K18)</f>
        <v>3804</v>
      </c>
      <c r="M18" s="254">
        <f>365.3+648</f>
        <v>1013.3</v>
      </c>
      <c r="N18" s="254">
        <f>371.9+654.6</f>
        <v>1026.5</v>
      </c>
      <c r="O18" s="254">
        <f>380.4+576</f>
        <v>956.4</v>
      </c>
      <c r="P18" s="257">
        <f>395+644.8</f>
        <v>1039.8</v>
      </c>
      <c r="Q18" s="257">
        <f>SUM(M18:P18)</f>
        <v>4036</v>
      </c>
      <c r="R18" s="254">
        <f>407.6+665.8</f>
        <v>1073.4000000000001</v>
      </c>
      <c r="S18" s="254">
        <f>418.9+632.3</f>
        <v>1051.1999999999998</v>
      </c>
      <c r="T18" s="254">
        <f>427.6+677.2</f>
        <v>1104.8000000000002</v>
      </c>
      <c r="U18" s="257">
        <f>430.8+642</f>
        <v>1072.8</v>
      </c>
      <c r="V18" s="257">
        <f>SUM(R18:U18)</f>
        <v>4302.2</v>
      </c>
      <c r="W18" s="266">
        <f>W19*W9</f>
        <v>1120.0474797309423</v>
      </c>
      <c r="X18" s="254">
        <f t="shared" ref="X18:Z18" si="150">X19*X9</f>
        <v>1043.9461913192422</v>
      </c>
      <c r="Y18" s="254">
        <f t="shared" si="150"/>
        <v>1127.5883514917432</v>
      </c>
      <c r="Z18" s="257">
        <f t="shared" si="150"/>
        <v>1141.7008164571153</v>
      </c>
      <c r="AA18" s="257">
        <f>SUM(W18:Z18)</f>
        <v>4433.2828389990427</v>
      </c>
      <c r="AB18" s="266">
        <f>AB19*AB9</f>
        <v>1163.2689637773306</v>
      </c>
      <c r="AC18" s="254">
        <f t="shared" ref="AC18" si="151">AC19*AC9</f>
        <v>1101.9075812049243</v>
      </c>
      <c r="AD18" s="254">
        <f t="shared" ref="AD18" si="152">AD19*AD9</f>
        <v>1199.6940571101647</v>
      </c>
      <c r="AE18" s="257">
        <f t="shared" ref="AE18" si="153">AE19*AE9</f>
        <v>1233.9563254951615</v>
      </c>
      <c r="AF18" s="257">
        <f>SUM(AB18:AE18)</f>
        <v>4698.8269275875818</v>
      </c>
      <c r="AG18" s="266">
        <f t="shared" ref="AG18" si="154">AG19*AG9</f>
        <v>5040.6207346893616</v>
      </c>
      <c r="AH18" s="254">
        <f t="shared" ref="AH18" si="155">AH19*AH9</f>
        <v>5295.8239622240353</v>
      </c>
      <c r="AI18" s="254">
        <f t="shared" ref="AI18" si="156">AI19*AI9</f>
        <v>5612.7725043688897</v>
      </c>
      <c r="AJ18" s="254">
        <f t="shared" ref="AJ18" si="157">AJ19*AJ9</f>
        <v>5999.7464256592075</v>
      </c>
      <c r="AK18" s="257">
        <f t="shared" ref="AK18" si="158">AK19*AK9</f>
        <v>6689.3586056514223</v>
      </c>
    </row>
    <row r="19" spans="1:37" s="260" customFormat="1" x14ac:dyDescent="0.2">
      <c r="B19" s="260" t="s">
        <v>221</v>
      </c>
      <c r="C19" s="260">
        <f>C18/C9</f>
        <v>0.11077710424326742</v>
      </c>
      <c r="D19" s="260">
        <f t="shared" ref="D19:G19" si="159">D18/D9</f>
        <v>0.11121588349311123</v>
      </c>
      <c r="E19" s="260">
        <f t="shared" si="159"/>
        <v>0.10349566262990638</v>
      </c>
      <c r="F19" s="263">
        <f t="shared" si="159"/>
        <v>0.10641534548739037</v>
      </c>
      <c r="G19" s="263">
        <f t="shared" si="159"/>
        <v>0.10790287222134368</v>
      </c>
      <c r="H19" s="260">
        <f>H18/H9</f>
        <v>0.10419691475155514</v>
      </c>
      <c r="I19" s="260">
        <f t="shared" ref="I19" si="160">I18/I9</f>
        <v>0.11035301300430402</v>
      </c>
      <c r="J19" s="260">
        <f t="shared" ref="J19" si="161">J18/J9</f>
        <v>0.10323255310946328</v>
      </c>
      <c r="K19" s="263">
        <f t="shared" ref="K19" si="162">K18/K9</f>
        <v>0.10531366535298371</v>
      </c>
      <c r="L19" s="263">
        <f t="shared" ref="L19" si="163">L18/L9</f>
        <v>0.10573732532522005</v>
      </c>
      <c r="M19" s="260">
        <f>M18/M9</f>
        <v>0.10750669301985422</v>
      </c>
      <c r="N19" s="260">
        <f t="shared" ref="N19" si="164">N18/N9</f>
        <v>0.11987658377041695</v>
      </c>
      <c r="O19" s="260">
        <f t="shared" ref="O19" si="165">O18/O9</f>
        <v>0.10493874523336515</v>
      </c>
      <c r="P19" s="263">
        <f t="shared" ref="P19" si="166">P18/P9</f>
        <v>0.11459214736022197</v>
      </c>
      <c r="Q19" s="263">
        <f t="shared" ref="Q19" si="167">Q18/Q9</f>
        <v>0.11156503553799586</v>
      </c>
      <c r="R19" s="260">
        <f>R18/R9</f>
        <v>0.11421874912672793</v>
      </c>
      <c r="S19" s="260">
        <f t="shared" ref="S19" si="168">S18/S9</f>
        <v>0.12004252955820871</v>
      </c>
      <c r="T19" s="260">
        <f t="shared" ref="T19" si="169">T18/T9</f>
        <v>0.11683564006997253</v>
      </c>
      <c r="U19" s="263">
        <f t="shared" ref="U19" si="170">U18/U9</f>
        <v>0.11211174598339535</v>
      </c>
      <c r="V19" s="263">
        <f t="shared" ref="V19" si="171">V18/V9</f>
        <v>0.11588793142148775</v>
      </c>
      <c r="W19" s="264">
        <f>V19</f>
        <v>0.11588793142148775</v>
      </c>
      <c r="X19" s="264">
        <f>W19</f>
        <v>0.11588793142148775</v>
      </c>
      <c r="Y19" s="264">
        <f t="shared" si="95"/>
        <v>0.11588793142148775</v>
      </c>
      <c r="Z19" s="265">
        <f t="shared" si="95"/>
        <v>0.11588793142148775</v>
      </c>
      <c r="AA19" s="263">
        <f t="shared" ref="AA19" si="172">AA18/AA9</f>
        <v>0.11588810749985817</v>
      </c>
      <c r="AB19" s="264">
        <f>AA19</f>
        <v>0.11588810749985817</v>
      </c>
      <c r="AC19" s="264">
        <f>AB19</f>
        <v>0.11588810749985817</v>
      </c>
      <c r="AD19" s="264">
        <f t="shared" ref="AD19:AE19" si="173">AC19</f>
        <v>0.11588810749985817</v>
      </c>
      <c r="AE19" s="265">
        <f t="shared" si="173"/>
        <v>0.11588810749985817</v>
      </c>
      <c r="AF19" s="263">
        <f t="shared" ref="AF19" si="174">AF18/AF9</f>
        <v>0.11588866442253476</v>
      </c>
      <c r="AG19" s="268">
        <f>AF19</f>
        <v>0.11588866442253476</v>
      </c>
      <c r="AH19" s="264">
        <f>AG19-0.0035</f>
        <v>0.11238866442253476</v>
      </c>
      <c r="AI19" s="264">
        <f t="shared" ref="AI19:AJ19" si="175">AH19-0.0035</f>
        <v>0.10888866442253475</v>
      </c>
      <c r="AJ19" s="264">
        <f t="shared" si="175"/>
        <v>0.10538866442253475</v>
      </c>
      <c r="AK19" s="265">
        <f>AJ19</f>
        <v>0.10538866442253475</v>
      </c>
    </row>
    <row r="20" spans="1:37" s="255" customFormat="1" x14ac:dyDescent="0.2">
      <c r="A20" s="255" t="s">
        <v>219</v>
      </c>
      <c r="C20" s="255">
        <f t="shared" ref="C20:AK20" si="176">C9-SUM(C12:C18)</f>
        <v>1129.2511428003572</v>
      </c>
      <c r="D20" s="255">
        <f t="shared" si="176"/>
        <v>903.4296348682492</v>
      </c>
      <c r="E20" s="255">
        <f t="shared" si="176"/>
        <v>1254.6575305824472</v>
      </c>
      <c r="F20" s="258">
        <f t="shared" si="176"/>
        <v>1139.2419005966103</v>
      </c>
      <c r="G20" s="258">
        <f t="shared" si="176"/>
        <v>4428.8452535325196</v>
      </c>
      <c r="H20" s="255">
        <f t="shared" si="176"/>
        <v>1200.711607063171</v>
      </c>
      <c r="I20" s="255">
        <f t="shared" si="176"/>
        <v>1193.2441588995771</v>
      </c>
      <c r="J20" s="255">
        <f t="shared" si="176"/>
        <v>1520.8886971459606</v>
      </c>
      <c r="K20" s="258">
        <f t="shared" si="176"/>
        <v>1586.3768306375241</v>
      </c>
      <c r="L20" s="258">
        <f t="shared" si="176"/>
        <v>5502.4018098680463</v>
      </c>
      <c r="M20" s="255">
        <f t="shared" si="176"/>
        <v>1428.9188637083007</v>
      </c>
      <c r="N20" s="255">
        <f t="shared" si="176"/>
        <v>1030.1136796781457</v>
      </c>
      <c r="O20" s="255">
        <f t="shared" si="176"/>
        <v>1442.8516102192889</v>
      </c>
      <c r="P20" s="258">
        <f t="shared" si="176"/>
        <v>1102.6563895685595</v>
      </c>
      <c r="Q20" s="258">
        <f t="shared" si="176"/>
        <v>5006.7586021047427</v>
      </c>
      <c r="R20" s="255">
        <f t="shared" si="176"/>
        <v>1074.3851942115944</v>
      </c>
      <c r="S20" s="255">
        <f t="shared" si="176"/>
        <v>652.59109979164259</v>
      </c>
      <c r="T20" s="255">
        <f t="shared" si="176"/>
        <v>898.53066393828703</v>
      </c>
      <c r="U20" s="258">
        <f t="shared" si="176"/>
        <v>947.2352909916408</v>
      </c>
      <c r="V20" s="258">
        <f t="shared" si="176"/>
        <v>3519.207353309248</v>
      </c>
      <c r="W20" s="255">
        <f t="shared" si="176"/>
        <v>915.61704987493249</v>
      </c>
      <c r="X20" s="255">
        <f t="shared" si="176"/>
        <v>853.35209704017325</v>
      </c>
      <c r="Y20" s="255">
        <f t="shared" si="176"/>
        <v>921.78688003574644</v>
      </c>
      <c r="Z20" s="258">
        <f t="shared" si="176"/>
        <v>933.33349092487151</v>
      </c>
      <c r="AA20" s="258">
        <f t="shared" si="176"/>
        <v>3626.3992756391963</v>
      </c>
      <c r="AB20" s="255">
        <f t="shared" si="176"/>
        <v>950.96497868140432</v>
      </c>
      <c r="AC20" s="255">
        <f t="shared" si="176"/>
        <v>910.2701790844676</v>
      </c>
      <c r="AD20" s="255">
        <f t="shared" si="176"/>
        <v>1001.4733272811281</v>
      </c>
      <c r="AE20" s="258">
        <f t="shared" si="176"/>
        <v>1040.7458856659596</v>
      </c>
      <c r="AF20" s="258">
        <f t="shared" si="176"/>
        <v>3905.6229344629683</v>
      </c>
      <c r="AG20" s="255">
        <f t="shared" si="176"/>
        <v>4059.2870733097152</v>
      </c>
      <c r="AH20" s="255">
        <f t="shared" si="176"/>
        <v>5104.5070976822462</v>
      </c>
      <c r="AI20" s="255">
        <f t="shared" si="176"/>
        <v>6357.1732835124349</v>
      </c>
      <c r="AJ20" s="255">
        <f t="shared" si="176"/>
        <v>7875.1877764867459</v>
      </c>
      <c r="AK20" s="258">
        <f t="shared" si="176"/>
        <v>9510.4041341143093</v>
      </c>
    </row>
    <row r="21" spans="1:37" s="260" customFormat="1" x14ac:dyDescent="0.2">
      <c r="B21" s="260" t="s">
        <v>221</v>
      </c>
      <c r="C21" s="260">
        <f>C20/C9</f>
        <v>0.14027267499756002</v>
      </c>
      <c r="D21" s="260">
        <f t="shared" ref="D21:G21" si="177">D20/D9</f>
        <v>0.11831809351828923</v>
      </c>
      <c r="E21" s="260">
        <f t="shared" si="177"/>
        <v>0.15394382039268809</v>
      </c>
      <c r="F21" s="263">
        <f t="shared" si="177"/>
        <v>0.13539515350200976</v>
      </c>
      <c r="G21" s="263">
        <f t="shared" si="177"/>
        <v>0.13732725753039568</v>
      </c>
      <c r="H21" s="260">
        <f>H20/H9</f>
        <v>0.13778683365899119</v>
      </c>
      <c r="I21" s="260">
        <f t="shared" ref="I21" si="178">I20/I9</f>
        <v>0.13683683693687504</v>
      </c>
      <c r="J21" s="260">
        <f t="shared" ref="J21" si="179">J20/J9</f>
        <v>0.16587979207786877</v>
      </c>
      <c r="K21" s="263">
        <f t="shared" ref="K21" si="180">K20/K9</f>
        <v>0.16923334548773009</v>
      </c>
      <c r="L21" s="263">
        <f t="shared" ref="L21" si="181">L20/L9</f>
        <v>0.15294670090433679</v>
      </c>
      <c r="M21" s="260">
        <f>M20/M9</f>
        <v>0.15160203457117061</v>
      </c>
      <c r="N21" s="260">
        <f t="shared" ref="N21" si="182">N20/N9</f>
        <v>0.12029859602044782</v>
      </c>
      <c r="O21" s="260">
        <f t="shared" ref="O21" si="183">O20/O9</f>
        <v>0.15831350641400319</v>
      </c>
      <c r="P21" s="263">
        <f t="shared" ref="P21" si="184">P20/P9</f>
        <v>0.12151929551945632</v>
      </c>
      <c r="Q21" s="263">
        <f t="shared" ref="Q21" si="185">Q20/Q9</f>
        <v>0.13839920747620962</v>
      </c>
      <c r="R21" s="260">
        <f>R20/R9</f>
        <v>0.11432358204129398</v>
      </c>
      <c r="S21" s="260">
        <f t="shared" ref="S21" si="186">S20/S9</f>
        <v>7.452310348759722E-2</v>
      </c>
      <c r="T21" s="260">
        <f t="shared" ref="T21" si="187">T20/T9</f>
        <v>9.5022090191642955E-2</v>
      </c>
      <c r="U21" s="263">
        <f t="shared" ref="U21" si="188">U20/U9</f>
        <v>9.8989748629905311E-2</v>
      </c>
      <c r="V21" s="263">
        <f t="shared" ref="V21" si="189">V20/V9</f>
        <v>9.479653675289329E-2</v>
      </c>
      <c r="W21" s="260">
        <f>W20/W9</f>
        <v>9.4736131998386888E-2</v>
      </c>
      <c r="X21" s="260">
        <f t="shared" ref="X21" si="190">X20/X9</f>
        <v>9.4730178741494628E-2</v>
      </c>
      <c r="Y21" s="260">
        <f t="shared" ref="Y21" si="191">Y20/Y9</f>
        <v>9.4736678148090961E-2</v>
      </c>
      <c r="Z21" s="263">
        <f t="shared" ref="Z21" si="192">Z20/Z9</f>
        <v>9.4737680862245474E-2</v>
      </c>
      <c r="AA21" s="263">
        <f t="shared" ref="AA21" si="193">AA20/AA9</f>
        <v>9.4795790017216566E-2</v>
      </c>
      <c r="AB21" s="260">
        <f>AB20/AB9</f>
        <v>9.4737790751482767E-2</v>
      </c>
      <c r="AC21" s="260">
        <f t="shared" ref="AC21" si="194">AC20/AC9</f>
        <v>9.5733517190529069E-2</v>
      </c>
      <c r="AD21" s="260">
        <f t="shared" ref="AD21" si="195">AD20/AD9</f>
        <v>9.6740371365812858E-2</v>
      </c>
      <c r="AE21" s="263">
        <f t="shared" ref="AE21" si="196">AE20/AE9</f>
        <v>9.7742576934149977E-2</v>
      </c>
      <c r="AF21" s="263">
        <f t="shared" ref="AF21" si="197">AF20/AF9</f>
        <v>9.6325621817552678E-2</v>
      </c>
      <c r="AG21" s="270">
        <f>AG20/AG9</f>
        <v>9.3326870279303753E-2</v>
      </c>
      <c r="AH21" s="260">
        <f t="shared" ref="AH21:AK21" si="198">AH20/AH9</f>
        <v>0.10832851305784916</v>
      </c>
      <c r="AI21" s="260">
        <f t="shared" si="198"/>
        <v>0.12333015596222242</v>
      </c>
      <c r="AJ21" s="260">
        <f t="shared" si="198"/>
        <v>0.13833176653785331</v>
      </c>
      <c r="AK21" s="263">
        <f t="shared" si="198"/>
        <v>0.14983331719816737</v>
      </c>
    </row>
    <row r="22" spans="1:37" s="254" customFormat="1" x14ac:dyDescent="0.2">
      <c r="C22" s="269"/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</row>
    <row r="23" spans="1:37" s="254" customFormat="1" x14ac:dyDescent="0.2">
      <c r="A23" s="255" t="s">
        <v>245</v>
      </c>
    </row>
    <row r="24" spans="1:37" s="254" customFormat="1" x14ac:dyDescent="0.2">
      <c r="B24" s="254" t="s">
        <v>247</v>
      </c>
      <c r="Q24" s="254">
        <v>21018</v>
      </c>
      <c r="V24" s="254">
        <f>Q29</f>
        <v>21514</v>
      </c>
      <c r="AA24" s="254">
        <f t="shared" ref="AA24:AF24" si="199">V29</f>
        <v>22019.919999999998</v>
      </c>
      <c r="AF24" s="254">
        <f t="shared" si="199"/>
        <v>22535.9584</v>
      </c>
      <c r="AG24" s="254">
        <f>AF29</f>
        <v>23062.317567999999</v>
      </c>
      <c r="AH24" s="254">
        <f t="shared" ref="AH24:AJ24" si="200">AG29</f>
        <v>23599.203919359999</v>
      </c>
      <c r="AI24" s="254">
        <f t="shared" si="200"/>
        <v>24146.827997747201</v>
      </c>
      <c r="AJ24" s="254">
        <f t="shared" si="200"/>
        <v>24705.404557702146</v>
      </c>
      <c r="AK24" s="254">
        <f>AJ29</f>
        <v>25275.15264885619</v>
      </c>
    </row>
    <row r="25" spans="1:37" s="254" customFormat="1" x14ac:dyDescent="0.2">
      <c r="B25" s="254" t="s">
        <v>242</v>
      </c>
      <c r="Q25" s="254">
        <v>1261</v>
      </c>
      <c r="V25" s="254">
        <f>Q25*(1.02)</f>
        <v>1286.22</v>
      </c>
      <c r="AA25" s="254">
        <f>V25*(1.02)</f>
        <v>1311.9444000000001</v>
      </c>
      <c r="AF25" s="254">
        <f>AA25*(1.02)</f>
        <v>1338.1832880000002</v>
      </c>
      <c r="AG25" s="254">
        <f>AF25*(1+0.02)</f>
        <v>1364.9469537600003</v>
      </c>
      <c r="AH25" s="254">
        <f t="shared" ref="AH25:AJ27" si="201">AG25*(1+0.02)</f>
        <v>1392.2458928352003</v>
      </c>
      <c r="AI25" s="254">
        <f t="shared" si="201"/>
        <v>1420.0908106919044</v>
      </c>
      <c r="AJ25" s="254">
        <f t="shared" si="201"/>
        <v>1448.4926269057426</v>
      </c>
    </row>
    <row r="26" spans="1:37" s="254" customFormat="1" x14ac:dyDescent="0.2">
      <c r="B26" s="254" t="s">
        <v>248</v>
      </c>
      <c r="Q26" s="254">
        <v>-877</v>
      </c>
      <c r="V26" s="254">
        <f>Q26*(1.02)</f>
        <v>-894.54</v>
      </c>
      <c r="AA26" s="254">
        <f>V26*(1.02)</f>
        <v>-912.43079999999998</v>
      </c>
      <c r="AF26" s="254">
        <f>AA26*(1.02)</f>
        <v>-930.67941599999995</v>
      </c>
      <c r="AG26" s="254">
        <f>AF26*(1+0.02)</f>
        <v>-949.29300431999991</v>
      </c>
      <c r="AH26" s="254">
        <f t="shared" si="201"/>
        <v>-968.27886440639998</v>
      </c>
      <c r="AI26" s="254">
        <f t="shared" si="201"/>
        <v>-987.64444169452804</v>
      </c>
      <c r="AJ26" s="254">
        <f t="shared" si="201"/>
        <v>-1007.3973305284186</v>
      </c>
    </row>
    <row r="27" spans="1:37" s="254" customFormat="1" x14ac:dyDescent="0.2">
      <c r="B27" s="254" t="s">
        <v>243</v>
      </c>
      <c r="Q27" s="254">
        <v>112</v>
      </c>
      <c r="V27" s="254">
        <f>Q27*(1.02)</f>
        <v>114.24000000000001</v>
      </c>
      <c r="AA27" s="254">
        <f>V27*(1.02)</f>
        <v>116.52480000000001</v>
      </c>
      <c r="AF27" s="254">
        <f>AA27*(1.02)</f>
        <v>118.85529600000001</v>
      </c>
      <c r="AG27" s="254">
        <f>AF27*(1+0.02)</f>
        <v>121.23240192000002</v>
      </c>
      <c r="AH27" s="254">
        <f t="shared" si="201"/>
        <v>123.65704995840002</v>
      </c>
      <c r="AI27" s="254">
        <f t="shared" si="201"/>
        <v>126.13019095756803</v>
      </c>
      <c r="AJ27" s="254">
        <f t="shared" si="201"/>
        <v>128.65279477671939</v>
      </c>
    </row>
    <row r="28" spans="1:37" s="11" customFormat="1" x14ac:dyDescent="0.2">
      <c r="A28" s="11" t="s">
        <v>244</v>
      </c>
      <c r="Q28" s="11">
        <f>SUM(Q25:Q27)</f>
        <v>496</v>
      </c>
      <c r="V28" s="11">
        <f t="shared" ref="V28:AF28" si="202">SUM(V25:V27)</f>
        <v>505.92000000000007</v>
      </c>
      <c r="AA28" s="11">
        <f t="shared" si="202"/>
        <v>516.03840000000014</v>
      </c>
      <c r="AF28" s="11">
        <f t="shared" si="202"/>
        <v>526.35916800000018</v>
      </c>
      <c r="AG28" s="11">
        <f t="shared" ref="AG28" si="203">SUM(AG25:AG27)</f>
        <v>536.88635136000039</v>
      </c>
      <c r="AH28" s="11">
        <f t="shared" ref="AH28" si="204">SUM(AH25:AH27)</f>
        <v>547.62407838720037</v>
      </c>
      <c r="AI28" s="11">
        <f t="shared" ref="AI28" si="205">SUM(AI25:AI27)</f>
        <v>558.5765599549444</v>
      </c>
      <c r="AJ28" s="11">
        <f t="shared" ref="AJ28" si="206">SUM(AJ25:AJ27)</f>
        <v>569.74809115404332</v>
      </c>
    </row>
    <row r="29" spans="1:37" x14ac:dyDescent="0.2">
      <c r="B29" s="4" t="s">
        <v>249</v>
      </c>
      <c r="Q29" s="4">
        <f>SUM(Q28,Q24)</f>
        <v>21514</v>
      </c>
      <c r="V29" s="4">
        <f t="shared" ref="V29:AF29" si="207">SUM(V28,V24)</f>
        <v>22019.919999999998</v>
      </c>
      <c r="AA29" s="4">
        <f t="shared" si="207"/>
        <v>22535.9584</v>
      </c>
      <c r="AF29" s="4">
        <f t="shared" si="207"/>
        <v>23062.317567999999</v>
      </c>
      <c r="AG29" s="4">
        <f t="shared" ref="AG29" si="208">SUM(AG28,AG24)</f>
        <v>23599.203919359999</v>
      </c>
      <c r="AH29" s="4">
        <f t="shared" ref="AH29" si="209">SUM(AH28,AH24)</f>
        <v>24146.827997747201</v>
      </c>
      <c r="AI29" s="4">
        <f t="shared" ref="AI29" si="210">SUM(AI28,AI24)</f>
        <v>24705.404557702146</v>
      </c>
      <c r="AJ29" s="4">
        <f t="shared" ref="AJ29" si="211">SUM(AJ28,AJ24)</f>
        <v>25275.15264885619</v>
      </c>
    </row>
    <row r="31" spans="1:37" x14ac:dyDescent="0.2">
      <c r="A31" s="11" t="s">
        <v>246</v>
      </c>
    </row>
    <row r="32" spans="1:37" x14ac:dyDescent="0.2">
      <c r="A32" s="254"/>
      <c r="B32" s="254" t="s">
        <v>247</v>
      </c>
      <c r="Q32" s="4">
        <v>19181</v>
      </c>
      <c r="V32" s="254">
        <f>Q37</f>
        <v>19476</v>
      </c>
      <c r="W32" s="254"/>
      <c r="X32" s="254"/>
      <c r="Y32" s="254"/>
      <c r="Z32" s="254"/>
      <c r="AA32" s="254">
        <f t="shared" ref="AA32:AF32" si="212">V37</f>
        <v>19776.900000000001</v>
      </c>
      <c r="AB32" s="254"/>
      <c r="AC32" s="254"/>
      <c r="AD32" s="254"/>
      <c r="AE32" s="254"/>
      <c r="AF32" s="254">
        <f t="shared" si="212"/>
        <v>20083.818000000003</v>
      </c>
      <c r="AG32" s="254">
        <f>AF37</f>
        <v>20396.874360000002</v>
      </c>
      <c r="AH32" s="254">
        <f t="shared" ref="AH32:AJ32" si="213">AG37</f>
        <v>20716.1918472</v>
      </c>
      <c r="AI32" s="254">
        <f t="shared" si="213"/>
        <v>21041.895684144001</v>
      </c>
      <c r="AJ32" s="254">
        <f t="shared" si="213"/>
        <v>21374.113597826879</v>
      </c>
      <c r="AK32" s="254">
        <f>AJ37</f>
        <v>21712.975869783419</v>
      </c>
    </row>
    <row r="33" spans="1:37" x14ac:dyDescent="0.2">
      <c r="A33" s="254"/>
      <c r="B33" s="254" t="s">
        <v>242</v>
      </c>
      <c r="Q33" s="4">
        <v>1001</v>
      </c>
      <c r="V33" s="254">
        <f>Q33*(1.02)</f>
        <v>1021.02</v>
      </c>
      <c r="W33" s="254"/>
      <c r="X33" s="254"/>
      <c r="Y33" s="254"/>
      <c r="Z33" s="254"/>
      <c r="AA33" s="254">
        <f>V33*(1.02)</f>
        <v>1041.4404</v>
      </c>
      <c r="AB33" s="254"/>
      <c r="AC33" s="254"/>
      <c r="AD33" s="254"/>
      <c r="AE33" s="254"/>
      <c r="AF33" s="254">
        <f>AA33*(1.02)</f>
        <v>1062.2692079999999</v>
      </c>
      <c r="AG33" s="254">
        <f>AF33*(1+0.02)</f>
        <v>1083.5145921599999</v>
      </c>
      <c r="AH33" s="254">
        <f t="shared" ref="AH33:AJ35" si="214">AG33*(1+0.02)</f>
        <v>1105.1848840031998</v>
      </c>
      <c r="AI33" s="254">
        <f t="shared" si="214"/>
        <v>1127.2885816832638</v>
      </c>
      <c r="AJ33" s="254">
        <f t="shared" si="214"/>
        <v>1149.8343533169291</v>
      </c>
    </row>
    <row r="34" spans="1:37" x14ac:dyDescent="0.2">
      <c r="A34" s="254"/>
      <c r="B34" s="254" t="s">
        <v>248</v>
      </c>
      <c r="Q34" s="4">
        <v>-594</v>
      </c>
      <c r="V34" s="254">
        <f>Q34*(1.02)</f>
        <v>-605.88</v>
      </c>
      <c r="W34" s="254"/>
      <c r="X34" s="254"/>
      <c r="Y34" s="254"/>
      <c r="Z34" s="254"/>
      <c r="AA34" s="254">
        <f>V34*(1.02)</f>
        <v>-617.99760000000003</v>
      </c>
      <c r="AB34" s="254"/>
      <c r="AC34" s="254"/>
      <c r="AD34" s="254"/>
      <c r="AE34" s="254"/>
      <c r="AF34" s="254">
        <f>AA34*(1.02)</f>
        <v>-630.35755200000006</v>
      </c>
      <c r="AG34" s="254">
        <f>AF34*(1+0.02)</f>
        <v>-642.96470304000002</v>
      </c>
      <c r="AH34" s="254">
        <f t="shared" si="214"/>
        <v>-655.82399710080006</v>
      </c>
      <c r="AI34" s="254">
        <f t="shared" si="214"/>
        <v>-668.94047704281604</v>
      </c>
      <c r="AJ34" s="254">
        <f t="shared" si="214"/>
        <v>-682.31928658367235</v>
      </c>
    </row>
    <row r="35" spans="1:37" x14ac:dyDescent="0.2">
      <c r="A35" s="254"/>
      <c r="B35" s="254" t="s">
        <v>243</v>
      </c>
      <c r="Q35" s="4">
        <v>-112</v>
      </c>
      <c r="V35" s="254">
        <f>Q35*(1.02)</f>
        <v>-114.24000000000001</v>
      </c>
      <c r="W35" s="254"/>
      <c r="X35" s="254"/>
      <c r="Y35" s="254"/>
      <c r="Z35" s="254"/>
      <c r="AA35" s="254">
        <f>V35*(1.02)</f>
        <v>-116.52480000000001</v>
      </c>
      <c r="AB35" s="254"/>
      <c r="AC35" s="254"/>
      <c r="AD35" s="254"/>
      <c r="AE35" s="254"/>
      <c r="AF35" s="254">
        <f>AA35*(1.02)</f>
        <v>-118.85529600000001</v>
      </c>
      <c r="AG35" s="254">
        <f>AF35*(1+0.02)</f>
        <v>-121.23240192000002</v>
      </c>
      <c r="AH35" s="254">
        <f t="shared" si="214"/>
        <v>-123.65704995840002</v>
      </c>
      <c r="AI35" s="254">
        <f t="shared" si="214"/>
        <v>-126.13019095756803</v>
      </c>
      <c r="AJ35" s="254">
        <f t="shared" si="214"/>
        <v>-128.65279477671939</v>
      </c>
    </row>
    <row r="36" spans="1:37" s="11" customFormat="1" x14ac:dyDescent="0.2">
      <c r="A36" s="11" t="s">
        <v>244</v>
      </c>
      <c r="Q36" s="11">
        <f>SUM(Q33:Q35)</f>
        <v>295</v>
      </c>
      <c r="V36" s="11">
        <f t="shared" ref="V36:AF36" si="215">SUM(V33:V35)</f>
        <v>300.89999999999998</v>
      </c>
      <c r="AA36" s="11">
        <f t="shared" si="215"/>
        <v>306.91799999999989</v>
      </c>
      <c r="AF36" s="11">
        <f t="shared" si="215"/>
        <v>313.05635999999987</v>
      </c>
      <c r="AG36" s="11">
        <f t="shared" ref="AG36" si="216">SUM(AG33:AG35)</f>
        <v>319.31748719999985</v>
      </c>
      <c r="AH36" s="11">
        <f t="shared" ref="AH36" si="217">SUM(AH33:AH35)</f>
        <v>325.70383694399976</v>
      </c>
      <c r="AI36" s="11">
        <f t="shared" ref="AI36" si="218">SUM(AI33:AI35)</f>
        <v>332.21791368287973</v>
      </c>
      <c r="AJ36" s="11">
        <f t="shared" ref="AJ36" si="219">SUM(AJ33:AJ35)</f>
        <v>338.86227195653737</v>
      </c>
    </row>
    <row r="37" spans="1:37" x14ac:dyDescent="0.2">
      <c r="B37" s="4" t="s">
        <v>249</v>
      </c>
      <c r="Q37" s="4">
        <f>SUM(Q36,Q32)</f>
        <v>19476</v>
      </c>
      <c r="V37" s="4">
        <f t="shared" ref="V37:AF37" si="220">SUM(V36,V32)</f>
        <v>19776.900000000001</v>
      </c>
      <c r="AA37" s="4">
        <f t="shared" si="220"/>
        <v>20083.818000000003</v>
      </c>
      <c r="AF37" s="4">
        <f t="shared" si="220"/>
        <v>20396.874360000002</v>
      </c>
      <c r="AG37" s="4">
        <f t="shared" ref="AG37" si="221">SUM(AG36,AG32)</f>
        <v>20716.1918472</v>
      </c>
      <c r="AH37" s="4">
        <f t="shared" ref="AH37" si="222">SUM(AH36,AH32)</f>
        <v>21041.895684144001</v>
      </c>
      <c r="AI37" s="4">
        <f t="shared" ref="AI37" si="223">SUM(AI36,AI32)</f>
        <v>21374.113597826879</v>
      </c>
      <c r="AJ37" s="4">
        <f t="shared" ref="AJ37" si="224">SUM(AJ36,AJ32)</f>
        <v>21712.975869783419</v>
      </c>
    </row>
    <row r="38" spans="1:37" s="187" customFormat="1" x14ac:dyDescent="0.2"/>
    <row r="39" spans="1:37" s="157" customFormat="1" x14ac:dyDescent="0.2">
      <c r="A39" s="291" t="s">
        <v>263</v>
      </c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</row>
    <row r="40" spans="1:37" s="157" customFormat="1" x14ac:dyDescent="0.2">
      <c r="A40" s="11" t="s">
        <v>250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s="157" customFormat="1" x14ac:dyDescent="0.2">
      <c r="A41" s="187"/>
      <c r="B41" s="187" t="s">
        <v>264</v>
      </c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>
        <v>-0.01</v>
      </c>
      <c r="R41" s="187">
        <f>Q41</f>
        <v>-0.01</v>
      </c>
      <c r="S41" s="187">
        <f t="shared" ref="S41:U42" si="225">R41</f>
        <v>-0.01</v>
      </c>
      <c r="T41" s="187">
        <f t="shared" si="225"/>
        <v>-0.01</v>
      </c>
      <c r="U41" s="187">
        <f t="shared" si="225"/>
        <v>-0.01</v>
      </c>
      <c r="V41" s="187">
        <v>0</v>
      </c>
      <c r="W41" s="187">
        <f>V41</f>
        <v>0</v>
      </c>
      <c r="X41" s="187">
        <f t="shared" ref="X41:Z41" si="226">W41</f>
        <v>0</v>
      </c>
      <c r="Y41" s="187">
        <f t="shared" si="226"/>
        <v>0</v>
      </c>
      <c r="Z41" s="187">
        <f t="shared" si="226"/>
        <v>0</v>
      </c>
      <c r="AA41" s="187">
        <v>0.01</v>
      </c>
      <c r="AB41" s="187">
        <f>AA41</f>
        <v>0.01</v>
      </c>
      <c r="AC41" s="187">
        <f t="shared" ref="AC41:AE41" si="227">AB41</f>
        <v>0.01</v>
      </c>
      <c r="AD41" s="187">
        <f t="shared" si="227"/>
        <v>0.01</v>
      </c>
      <c r="AE41" s="187">
        <f t="shared" si="227"/>
        <v>0.01</v>
      </c>
      <c r="AF41" s="187">
        <v>0.02</v>
      </c>
      <c r="AG41" s="187">
        <f>AF41+0.0075</f>
        <v>2.75E-2</v>
      </c>
      <c r="AH41" s="187">
        <f t="shared" ref="AH41:AJ41" si="228">AG41+0.0075</f>
        <v>3.5000000000000003E-2</v>
      </c>
      <c r="AI41" s="187">
        <f t="shared" si="228"/>
        <v>4.2500000000000003E-2</v>
      </c>
      <c r="AJ41" s="187">
        <f t="shared" si="228"/>
        <v>0.05</v>
      </c>
      <c r="AK41" s="187"/>
    </row>
    <row r="42" spans="1:37" s="157" customFormat="1" x14ac:dyDescent="0.2">
      <c r="A42" s="187"/>
      <c r="B42" s="187" t="s">
        <v>251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>
        <v>-0.01</v>
      </c>
      <c r="R42" s="187">
        <f>Q42</f>
        <v>-0.01</v>
      </c>
      <c r="S42" s="187">
        <f t="shared" si="225"/>
        <v>-0.01</v>
      </c>
      <c r="T42" s="187">
        <f t="shared" si="225"/>
        <v>-0.01</v>
      </c>
      <c r="U42" s="187">
        <f t="shared" si="225"/>
        <v>-0.01</v>
      </c>
      <c r="V42" s="187">
        <f>V41</f>
        <v>0</v>
      </c>
      <c r="W42" s="187">
        <f t="shared" ref="W42:AJ42" si="229">W41</f>
        <v>0</v>
      </c>
      <c r="X42" s="187">
        <f t="shared" si="229"/>
        <v>0</v>
      </c>
      <c r="Y42" s="187">
        <f t="shared" si="229"/>
        <v>0</v>
      </c>
      <c r="Z42" s="187">
        <f t="shared" si="229"/>
        <v>0</v>
      </c>
      <c r="AA42" s="187">
        <f t="shared" si="229"/>
        <v>0.01</v>
      </c>
      <c r="AB42" s="187">
        <f t="shared" si="229"/>
        <v>0.01</v>
      </c>
      <c r="AC42" s="187">
        <f t="shared" si="229"/>
        <v>0.01</v>
      </c>
      <c r="AD42" s="187">
        <f t="shared" si="229"/>
        <v>0.01</v>
      </c>
      <c r="AE42" s="187">
        <f t="shared" si="229"/>
        <v>0.01</v>
      </c>
      <c r="AF42" s="187">
        <f t="shared" si="229"/>
        <v>0.02</v>
      </c>
      <c r="AG42" s="187">
        <f t="shared" si="229"/>
        <v>2.75E-2</v>
      </c>
      <c r="AH42" s="187">
        <f t="shared" si="229"/>
        <v>3.5000000000000003E-2</v>
      </c>
      <c r="AI42" s="187">
        <f t="shared" si="229"/>
        <v>4.2500000000000003E-2</v>
      </c>
      <c r="AJ42" s="187">
        <f t="shared" si="229"/>
        <v>0.05</v>
      </c>
      <c r="AK42" s="187"/>
    </row>
    <row r="43" spans="1:37" x14ac:dyDescent="0.2">
      <c r="A43" s="11" t="s">
        <v>252</v>
      </c>
    </row>
    <row r="44" spans="1:37" x14ac:dyDescent="0.2">
      <c r="B44" s="4" t="s">
        <v>253</v>
      </c>
      <c r="Q44" s="4">
        <f t="shared" ref="Q44:AJ44" si="230">Q3</f>
        <v>29765.9</v>
      </c>
      <c r="R44" s="4">
        <f t="shared" si="230"/>
        <v>7785.3</v>
      </c>
      <c r="S44" s="4">
        <f t="shared" si="230"/>
        <v>7285</v>
      </c>
      <c r="T44" s="4">
        <f t="shared" si="230"/>
        <v>7812.5</v>
      </c>
      <c r="U44" s="4">
        <f t="shared" si="230"/>
        <v>7862</v>
      </c>
      <c r="V44" s="4">
        <f t="shared" si="230"/>
        <v>30688.9</v>
      </c>
      <c r="W44" s="4">
        <f t="shared" si="230"/>
        <v>8018.8590000000004</v>
      </c>
      <c r="X44" s="4">
        <f t="shared" si="230"/>
        <v>7503.55</v>
      </c>
      <c r="Y44" s="4">
        <f t="shared" si="230"/>
        <v>8046.875</v>
      </c>
      <c r="Z44" s="4">
        <f t="shared" si="230"/>
        <v>8097.8600000000006</v>
      </c>
      <c r="AA44" s="4">
        <f t="shared" si="230"/>
        <v>31667.144</v>
      </c>
      <c r="AB44" s="4">
        <f t="shared" si="230"/>
        <v>8339.6133600000012</v>
      </c>
      <c r="AC44" s="4">
        <f t="shared" si="230"/>
        <v>7953.7630000000008</v>
      </c>
      <c r="AD44" s="4">
        <f t="shared" si="230"/>
        <v>8610.15625</v>
      </c>
      <c r="AE44" s="4">
        <f t="shared" si="230"/>
        <v>8826.6674000000021</v>
      </c>
      <c r="AF44" s="4">
        <f t="shared" si="230"/>
        <v>33730.20001</v>
      </c>
      <c r="AG44" s="4">
        <f t="shared" si="230"/>
        <v>36428.616010800004</v>
      </c>
      <c r="AH44" s="4">
        <f t="shared" si="230"/>
        <v>39707.191451772007</v>
      </c>
      <c r="AI44" s="4">
        <f t="shared" si="230"/>
        <v>43677.910596949208</v>
      </c>
      <c r="AJ44" s="4">
        <f t="shared" si="230"/>
        <v>48482.480762613617</v>
      </c>
    </row>
    <row r="45" spans="1:37" x14ac:dyDescent="0.2">
      <c r="B45" s="4" t="s">
        <v>254</v>
      </c>
      <c r="Q45" s="4">
        <v>1200</v>
      </c>
      <c r="R45" s="4">
        <f t="shared" ref="R45" si="231">R44*R46</f>
        <v>25.691490000000002</v>
      </c>
      <c r="S45" s="4">
        <f t="shared" ref="S45" si="232">S44*S46</f>
        <v>24.040500000000002</v>
      </c>
      <c r="T45" s="4">
        <f t="shared" ref="T45" si="233">T44*T46</f>
        <v>25.78125</v>
      </c>
      <c r="U45" s="4">
        <f t="shared" ref="U45" si="234">U44*U46</f>
        <v>25.944600000000001</v>
      </c>
      <c r="V45" s="4">
        <f>V44*V46</f>
        <v>1338.4837348806184</v>
      </c>
      <c r="W45" s="4">
        <f t="shared" ref="W45:AF45" si="235">W44*W46</f>
        <v>52.9244694</v>
      </c>
      <c r="X45" s="4">
        <f t="shared" si="235"/>
        <v>49.523429999999998</v>
      </c>
      <c r="Y45" s="4">
        <f t="shared" si="235"/>
        <v>53.109375</v>
      </c>
      <c r="Z45" s="4">
        <f t="shared" si="235"/>
        <v>53.445876000000005</v>
      </c>
      <c r="AA45" s="4">
        <f t="shared" si="235"/>
        <v>1485.6510192700825</v>
      </c>
      <c r="AB45" s="4">
        <f t="shared" si="235"/>
        <v>82.562172263999997</v>
      </c>
      <c r="AC45" s="4">
        <f t="shared" si="235"/>
        <v>78.742253700000006</v>
      </c>
      <c r="AD45" s="4">
        <f t="shared" si="235"/>
        <v>85.240546874999993</v>
      </c>
      <c r="AE45" s="4">
        <f t="shared" si="235"/>
        <v>87.384007260000018</v>
      </c>
      <c r="AF45" s="4">
        <f t="shared" si="235"/>
        <v>1693.7481023832242</v>
      </c>
      <c r="AG45" s="4">
        <f t="shared" ref="AG45" si="236">AG44*AG46</f>
        <v>1949.4623834095223</v>
      </c>
      <c r="AH45" s="4">
        <f t="shared" ref="AH45" si="237">AH44*AH46</f>
        <v>2255.9477297072267</v>
      </c>
      <c r="AI45" s="4">
        <f t="shared" ref="AI45" si="238">AI44*AI46</f>
        <v>2625.6796076478818</v>
      </c>
      <c r="AJ45" s="4">
        <f t="shared" ref="AJ45" si="239">AJ44*AJ46</f>
        <v>3074.4965510057737</v>
      </c>
    </row>
    <row r="46" spans="1:37" s="260" customFormat="1" x14ac:dyDescent="0.2">
      <c r="B46" s="260" t="s">
        <v>258</v>
      </c>
      <c r="Q46" s="264">
        <f>Q45/Q44</f>
        <v>4.0314588169684099E-2</v>
      </c>
      <c r="R46" s="264">
        <f t="shared" ref="R46" si="240">M46+0.0033</f>
        <v>3.3E-3</v>
      </c>
      <c r="S46" s="264">
        <f t="shared" ref="S46" si="241">N46+0.0033</f>
        <v>3.3E-3</v>
      </c>
      <c r="T46" s="264">
        <f t="shared" ref="T46" si="242">O46+0.0033</f>
        <v>3.3E-3</v>
      </c>
      <c r="U46" s="264">
        <f t="shared" ref="U46" si="243">P46+0.0033</f>
        <v>3.3E-3</v>
      </c>
      <c r="V46" s="264">
        <f>Q46+0.0033</f>
        <v>4.3614588169684096E-2</v>
      </c>
      <c r="W46" s="264">
        <f t="shared" ref="W46:AF46" si="244">R46+0.0033</f>
        <v>6.6E-3</v>
      </c>
      <c r="X46" s="264">
        <f t="shared" si="244"/>
        <v>6.6E-3</v>
      </c>
      <c r="Y46" s="264">
        <f t="shared" si="244"/>
        <v>6.6E-3</v>
      </c>
      <c r="Z46" s="264">
        <f t="shared" si="244"/>
        <v>6.6E-3</v>
      </c>
      <c r="AA46" s="264">
        <f t="shared" si="244"/>
        <v>4.6914588169684093E-2</v>
      </c>
      <c r="AB46" s="264">
        <f t="shared" si="244"/>
        <v>9.8999999999999991E-3</v>
      </c>
      <c r="AC46" s="264">
        <f t="shared" si="244"/>
        <v>9.8999999999999991E-3</v>
      </c>
      <c r="AD46" s="264">
        <f t="shared" si="244"/>
        <v>9.8999999999999991E-3</v>
      </c>
      <c r="AE46" s="264">
        <f t="shared" si="244"/>
        <v>9.8999999999999991E-3</v>
      </c>
      <c r="AF46" s="264">
        <f t="shared" si="244"/>
        <v>5.0214588169684091E-2</v>
      </c>
      <c r="AG46" s="264">
        <f>AF46+0.0033</f>
        <v>5.3514588169684088E-2</v>
      </c>
      <c r="AH46" s="264">
        <f t="shared" ref="AH46:AJ46" si="245">AG46+0.0033</f>
        <v>5.6814588169684085E-2</v>
      </c>
      <c r="AI46" s="264">
        <f t="shared" si="245"/>
        <v>6.0114588169684083E-2</v>
      </c>
      <c r="AJ46" s="264">
        <f t="shared" si="245"/>
        <v>6.341458816968408E-2</v>
      </c>
    </row>
    <row r="47" spans="1:37" x14ac:dyDescent="0.2">
      <c r="B47" s="4" t="s">
        <v>255</v>
      </c>
      <c r="Q47" s="4">
        <v>131</v>
      </c>
      <c r="R47" s="4">
        <f t="shared" ref="R47" si="246">R44*R48</f>
        <v>38.926500000000004</v>
      </c>
      <c r="S47" s="4">
        <f t="shared" ref="S47" si="247">S44*S48</f>
        <v>36.425000000000004</v>
      </c>
      <c r="T47" s="4">
        <f t="shared" ref="T47" si="248">T44*T48</f>
        <v>39.0625</v>
      </c>
      <c r="U47" s="4">
        <f t="shared" ref="U47" si="249">U44*U48</f>
        <v>39.31</v>
      </c>
      <c r="V47" s="4">
        <f>V44*V48</f>
        <v>288.50663149946752</v>
      </c>
      <c r="W47" s="4">
        <f t="shared" ref="W47:AF47" si="250">W44*W48</f>
        <v>80.188590000000005</v>
      </c>
      <c r="X47" s="4">
        <f t="shared" si="250"/>
        <v>75.035499999999999</v>
      </c>
      <c r="Y47" s="4">
        <f t="shared" si="250"/>
        <v>80.46875</v>
      </c>
      <c r="Z47" s="4">
        <f t="shared" si="250"/>
        <v>80.978600000000014</v>
      </c>
      <c r="AA47" s="4">
        <f t="shared" si="250"/>
        <v>456.03883235165068</v>
      </c>
      <c r="AB47" s="4">
        <f t="shared" si="250"/>
        <v>125.09420040000002</v>
      </c>
      <c r="AC47" s="4">
        <f t="shared" si="250"/>
        <v>119.30644500000001</v>
      </c>
      <c r="AD47" s="4">
        <f t="shared" si="250"/>
        <v>129.15234375</v>
      </c>
      <c r="AE47" s="4">
        <f t="shared" si="250"/>
        <v>132.40001100000003</v>
      </c>
      <c r="AF47" s="4">
        <f t="shared" si="250"/>
        <v>654.39992099936114</v>
      </c>
      <c r="AG47" s="4">
        <f t="shared" ref="AG47" si="251">AG44*AG48</f>
        <v>888.89499473331023</v>
      </c>
      <c r="AH47" s="4">
        <f t="shared" ref="AH47" si="252">AH44*AH48</f>
        <v>1167.4315015181683</v>
      </c>
      <c r="AI47" s="4">
        <f t="shared" ref="AI47" si="253">AI44*AI48</f>
        <v>1502.5642046547312</v>
      </c>
      <c r="AJ47" s="4">
        <f t="shared" ref="AJ47" si="254">AJ44*AJ48</f>
        <v>1910.2586709798193</v>
      </c>
    </row>
    <row r="48" spans="1:37" s="260" customFormat="1" x14ac:dyDescent="0.2">
      <c r="B48" s="260" t="s">
        <v>258</v>
      </c>
      <c r="Q48" s="264">
        <f>Q47/Q44</f>
        <v>4.4010092085238475E-3</v>
      </c>
      <c r="R48" s="264">
        <f t="shared" ref="R48" si="255">M48+0.005</f>
        <v>5.0000000000000001E-3</v>
      </c>
      <c r="S48" s="264">
        <f t="shared" ref="S48" si="256">N48+0.005</f>
        <v>5.0000000000000001E-3</v>
      </c>
      <c r="T48" s="264">
        <f t="shared" ref="T48" si="257">O48+0.005</f>
        <v>5.0000000000000001E-3</v>
      </c>
      <c r="U48" s="264">
        <f t="shared" ref="U48" si="258">P48+0.005</f>
        <v>5.0000000000000001E-3</v>
      </c>
      <c r="V48" s="264">
        <f>Q48+0.005</f>
        <v>9.4010092085238476E-3</v>
      </c>
      <c r="W48" s="264">
        <f t="shared" ref="W48:AF48" si="259">R48+0.005</f>
        <v>0.01</v>
      </c>
      <c r="X48" s="264">
        <f t="shared" si="259"/>
        <v>0.01</v>
      </c>
      <c r="Y48" s="264">
        <f t="shared" si="259"/>
        <v>0.01</v>
      </c>
      <c r="Z48" s="264">
        <f t="shared" si="259"/>
        <v>0.01</v>
      </c>
      <c r="AA48" s="264">
        <f t="shared" si="259"/>
        <v>1.4401009208523847E-2</v>
      </c>
      <c r="AB48" s="264">
        <f t="shared" si="259"/>
        <v>1.4999999999999999E-2</v>
      </c>
      <c r="AC48" s="264">
        <f t="shared" si="259"/>
        <v>1.4999999999999999E-2</v>
      </c>
      <c r="AD48" s="264">
        <f t="shared" si="259"/>
        <v>1.4999999999999999E-2</v>
      </c>
      <c r="AE48" s="264">
        <f t="shared" si="259"/>
        <v>1.4999999999999999E-2</v>
      </c>
      <c r="AF48" s="264">
        <f t="shared" si="259"/>
        <v>1.9401009208523848E-2</v>
      </c>
      <c r="AG48" s="264">
        <f>AF48+0.005</f>
        <v>2.4401009208523849E-2</v>
      </c>
      <c r="AH48" s="264">
        <f t="shared" ref="AH48:AJ48" si="260">AG48+0.005</f>
        <v>2.940100920852385E-2</v>
      </c>
      <c r="AI48" s="264">
        <f t="shared" si="260"/>
        <v>3.4401009208523847E-2</v>
      </c>
      <c r="AJ48" s="264">
        <f t="shared" si="260"/>
        <v>3.9401009208523845E-2</v>
      </c>
    </row>
    <row r="49" spans="1:36" x14ac:dyDescent="0.2">
      <c r="B49" s="4" t="s">
        <v>256</v>
      </c>
      <c r="Q49" s="4">
        <v>-408</v>
      </c>
      <c r="R49" s="4">
        <f t="shared" ref="R49" si="261">R44*R50</f>
        <v>-77.853000000000009</v>
      </c>
      <c r="S49" s="4">
        <f t="shared" ref="S49" si="262">S44*S50</f>
        <v>-72.850000000000009</v>
      </c>
      <c r="T49" s="4">
        <f t="shared" ref="T49" si="263">T44*T50</f>
        <v>-78.125</v>
      </c>
      <c r="U49" s="4">
        <f t="shared" ref="U49" si="264">U44*U50</f>
        <v>-78.62</v>
      </c>
      <c r="V49" s="4">
        <f>V44*V50</f>
        <v>0</v>
      </c>
      <c r="W49" s="4">
        <f t="shared" ref="W49:AF49" si="265">W44*W50</f>
        <v>0</v>
      </c>
      <c r="X49" s="4">
        <f t="shared" si="265"/>
        <v>0</v>
      </c>
      <c r="Y49" s="4">
        <f t="shared" si="265"/>
        <v>0</v>
      </c>
      <c r="Z49" s="4">
        <f t="shared" si="265"/>
        <v>0</v>
      </c>
      <c r="AA49" s="4">
        <f t="shared" si="265"/>
        <v>316.67144000000002</v>
      </c>
      <c r="AB49" s="4">
        <f t="shared" si="265"/>
        <v>83.396133600000013</v>
      </c>
      <c r="AC49" s="4">
        <f t="shared" si="265"/>
        <v>79.537630000000007</v>
      </c>
      <c r="AD49" s="4">
        <f t="shared" si="265"/>
        <v>86.1015625</v>
      </c>
      <c r="AE49" s="4">
        <f t="shared" si="265"/>
        <v>88.266674000000023</v>
      </c>
      <c r="AF49" s="4">
        <f t="shared" si="265"/>
        <v>674.60400019999997</v>
      </c>
      <c r="AG49" s="4">
        <f t="shared" ref="AG49" si="266">AG44*AG50</f>
        <v>1001.7869402970001</v>
      </c>
      <c r="AH49" s="4">
        <f t="shared" ref="AH49" si="267">AH44*AH50</f>
        <v>1389.7517008120203</v>
      </c>
      <c r="AI49" s="4">
        <f t="shared" ref="AI49" si="268">AI44*AI50</f>
        <v>1856.3112003703416</v>
      </c>
      <c r="AJ49" s="4">
        <f t="shared" ref="AJ49" si="269">AJ44*AJ50</f>
        <v>2424.1240381306811</v>
      </c>
    </row>
    <row r="50" spans="1:36" s="260" customFormat="1" x14ac:dyDescent="0.2">
      <c r="B50" s="260" t="s">
        <v>258</v>
      </c>
      <c r="Q50" s="264">
        <f t="shared" ref="Q50:AJ50" si="270">Q41</f>
        <v>-0.01</v>
      </c>
      <c r="R50" s="264">
        <f t="shared" si="270"/>
        <v>-0.01</v>
      </c>
      <c r="S50" s="264">
        <f t="shared" si="270"/>
        <v>-0.01</v>
      </c>
      <c r="T50" s="264">
        <f t="shared" si="270"/>
        <v>-0.01</v>
      </c>
      <c r="U50" s="264">
        <f t="shared" si="270"/>
        <v>-0.01</v>
      </c>
      <c r="V50" s="264">
        <f t="shared" si="270"/>
        <v>0</v>
      </c>
      <c r="W50" s="264">
        <f t="shared" si="270"/>
        <v>0</v>
      </c>
      <c r="X50" s="264">
        <f t="shared" si="270"/>
        <v>0</v>
      </c>
      <c r="Y50" s="264">
        <f t="shared" si="270"/>
        <v>0</v>
      </c>
      <c r="Z50" s="264">
        <f t="shared" si="270"/>
        <v>0</v>
      </c>
      <c r="AA50" s="264">
        <f t="shared" si="270"/>
        <v>0.01</v>
      </c>
      <c r="AB50" s="264">
        <f t="shared" si="270"/>
        <v>0.01</v>
      </c>
      <c r="AC50" s="264">
        <f t="shared" si="270"/>
        <v>0.01</v>
      </c>
      <c r="AD50" s="264">
        <f t="shared" si="270"/>
        <v>0.01</v>
      </c>
      <c r="AE50" s="264">
        <f t="shared" si="270"/>
        <v>0.01</v>
      </c>
      <c r="AF50" s="264">
        <f t="shared" si="270"/>
        <v>0.02</v>
      </c>
      <c r="AG50" s="264">
        <f t="shared" si="270"/>
        <v>2.75E-2</v>
      </c>
      <c r="AH50" s="264">
        <f t="shared" si="270"/>
        <v>3.5000000000000003E-2</v>
      </c>
      <c r="AI50" s="264">
        <f t="shared" si="270"/>
        <v>4.2500000000000003E-2</v>
      </c>
      <c r="AJ50" s="264">
        <f t="shared" si="270"/>
        <v>0.05</v>
      </c>
    </row>
    <row r="51" spans="1:36" s="11" customFormat="1" x14ac:dyDescent="0.2">
      <c r="B51" s="11" t="s">
        <v>257</v>
      </c>
      <c r="L51" s="11">
        <f>Q3</f>
        <v>29765.9</v>
      </c>
      <c r="Q51" s="11">
        <f>SUM(Q49,Q47,Q45,Q44)</f>
        <v>30688.9</v>
      </c>
      <c r="R51" s="11">
        <f t="shared" ref="R51:AF51" si="271">SUM(R49,R47,R45,R44)</f>
        <v>7772.0649899999999</v>
      </c>
      <c r="S51" s="11">
        <f t="shared" si="271"/>
        <v>7272.6154999999999</v>
      </c>
      <c r="T51" s="11">
        <f t="shared" si="271"/>
        <v>7799.21875</v>
      </c>
      <c r="U51" s="11">
        <f t="shared" si="271"/>
        <v>7848.6346000000003</v>
      </c>
      <c r="V51" s="11">
        <f t="shared" si="271"/>
        <v>32315.890366380088</v>
      </c>
      <c r="W51" s="11">
        <f t="shared" si="271"/>
        <v>8151.9720594</v>
      </c>
      <c r="X51" s="11">
        <f t="shared" si="271"/>
        <v>7628.1089300000003</v>
      </c>
      <c r="Y51" s="11">
        <f t="shared" si="271"/>
        <v>8180.453125</v>
      </c>
      <c r="Z51" s="11">
        <f t="shared" si="271"/>
        <v>8232.2844760000007</v>
      </c>
      <c r="AA51" s="11">
        <f t="shared" si="271"/>
        <v>33925.505291621732</v>
      </c>
      <c r="AB51" s="11">
        <f t="shared" si="271"/>
        <v>8630.665866264002</v>
      </c>
      <c r="AC51" s="11">
        <f t="shared" si="271"/>
        <v>8231.3493287000001</v>
      </c>
      <c r="AD51" s="11">
        <f t="shared" si="271"/>
        <v>8910.6507031250003</v>
      </c>
      <c r="AE51" s="11">
        <f t="shared" si="271"/>
        <v>9134.7180922600019</v>
      </c>
      <c r="AF51" s="11">
        <f t="shared" si="271"/>
        <v>36752.952033582587</v>
      </c>
      <c r="AG51" s="11">
        <f t="shared" ref="AG51:AJ51" si="272">SUM(AG49,AG47,AG45,AG44)</f>
        <v>40268.760329239834</v>
      </c>
      <c r="AH51" s="11">
        <f t="shared" si="272"/>
        <v>44520.32238380942</v>
      </c>
      <c r="AI51" s="11">
        <f t="shared" si="272"/>
        <v>49662.465609622159</v>
      </c>
      <c r="AJ51" s="11">
        <f t="shared" si="272"/>
        <v>55891.360022729888</v>
      </c>
    </row>
    <row r="52" spans="1:36" x14ac:dyDescent="0.2">
      <c r="Q52" s="8">
        <f>Q51/L51-1</f>
        <v>3.1008637400515404E-2</v>
      </c>
      <c r="V52" s="8">
        <f>V51/Q51-1</f>
        <v>5.3015597378208046E-2</v>
      </c>
      <c r="W52" s="8">
        <f t="shared" ref="W52:AF52" si="273">W51/R51-1</f>
        <v>4.8881097866372958E-2</v>
      </c>
      <c r="X52" s="8">
        <f t="shared" si="273"/>
        <v>4.8881097866372958E-2</v>
      </c>
      <c r="Y52" s="8">
        <f t="shared" si="273"/>
        <v>4.8881097866372736E-2</v>
      </c>
      <c r="Z52" s="8">
        <f t="shared" si="273"/>
        <v>4.8881097866372958E-2</v>
      </c>
      <c r="AA52" s="8">
        <f t="shared" si="273"/>
        <v>4.9808775404072136E-2</v>
      </c>
      <c r="AB52" s="8">
        <f t="shared" si="273"/>
        <v>5.8721227621483685E-2</v>
      </c>
      <c r="AC52" s="8">
        <f t="shared" si="273"/>
        <v>7.9081251229588867E-2</v>
      </c>
      <c r="AD52" s="8">
        <f t="shared" si="273"/>
        <v>8.9261263033641569E-2</v>
      </c>
      <c r="AE52" s="8">
        <f t="shared" si="273"/>
        <v>0.1096212866417472</v>
      </c>
      <c r="AF52" s="8">
        <f t="shared" si="273"/>
        <v>8.3342804113196944E-2</v>
      </c>
      <c r="AG52" s="8">
        <f>AG51/AF51-1</f>
        <v>9.5660568774032617E-2</v>
      </c>
      <c r="AH52" s="8">
        <f t="shared" ref="AH52:AJ52" si="274">AH51/AG51-1</f>
        <v>0.10557966075460379</v>
      </c>
      <c r="AI52" s="8">
        <f t="shared" si="274"/>
        <v>0.11550103302223103</v>
      </c>
      <c r="AJ52" s="8">
        <f t="shared" si="274"/>
        <v>0.12542459051611954</v>
      </c>
    </row>
    <row r="53" spans="1:36" x14ac:dyDescent="0.2">
      <c r="A53" s="11" t="s">
        <v>261</v>
      </c>
    </row>
    <row r="54" spans="1:36" x14ac:dyDescent="0.2">
      <c r="B54" s="4" t="s">
        <v>253</v>
      </c>
      <c r="M54" s="4">
        <f>R5</f>
        <v>1135.7</v>
      </c>
      <c r="N54" s="4">
        <f>S5</f>
        <v>1016</v>
      </c>
      <c r="O54" s="4">
        <f>T5</f>
        <v>1105.5999999999999</v>
      </c>
      <c r="P54" s="4">
        <f>U5</f>
        <v>1093</v>
      </c>
      <c r="Q54" s="4">
        <f>Q5</f>
        <v>4505.1000000000004</v>
      </c>
      <c r="R54" s="4">
        <f t="shared" ref="R54:AJ54" si="275">R5</f>
        <v>1135.7</v>
      </c>
      <c r="S54" s="4">
        <f t="shared" si="275"/>
        <v>1016</v>
      </c>
      <c r="T54" s="4">
        <f t="shared" si="275"/>
        <v>1105.5999999999999</v>
      </c>
      <c r="U54" s="4">
        <f t="shared" si="275"/>
        <v>1093</v>
      </c>
      <c r="V54" s="4">
        <f t="shared" si="275"/>
        <v>4350.2999999999993</v>
      </c>
      <c r="W54" s="4">
        <f t="shared" si="275"/>
        <v>1124.3430000000001</v>
      </c>
      <c r="X54" s="4">
        <f t="shared" si="275"/>
        <v>1005.84</v>
      </c>
      <c r="Y54" s="4">
        <f t="shared" si="275"/>
        <v>1094.5439999999999</v>
      </c>
      <c r="Z54" s="4">
        <f t="shared" si="275"/>
        <v>1082.07</v>
      </c>
      <c r="AA54" s="4">
        <f t="shared" si="275"/>
        <v>4306.7969999999996</v>
      </c>
      <c r="AB54" s="4">
        <f t="shared" si="275"/>
        <v>1124.3430000000001</v>
      </c>
      <c r="AC54" s="4">
        <f t="shared" si="275"/>
        <v>1005.84</v>
      </c>
      <c r="AD54" s="4">
        <f t="shared" si="275"/>
        <v>1094.5439999999999</v>
      </c>
      <c r="AE54" s="4">
        <f t="shared" si="275"/>
        <v>1082.07</v>
      </c>
      <c r="AF54" s="4">
        <f t="shared" si="275"/>
        <v>4306.7969999999996</v>
      </c>
      <c r="AG54" s="4">
        <f t="shared" si="275"/>
        <v>4306.7969999999996</v>
      </c>
      <c r="AH54" s="4">
        <f t="shared" si="275"/>
        <v>4349.8649699999996</v>
      </c>
      <c r="AI54" s="4">
        <f t="shared" si="275"/>
        <v>4436.8622693999996</v>
      </c>
      <c r="AJ54" s="4">
        <f t="shared" si="275"/>
        <v>4569.9681374819993</v>
      </c>
    </row>
    <row r="55" spans="1:36" x14ac:dyDescent="0.2">
      <c r="B55" s="4" t="s">
        <v>254</v>
      </c>
      <c r="Q55" s="4">
        <v>-143</v>
      </c>
      <c r="V55" s="4">
        <f>V54*V56</f>
        <v>-116.33486878204698</v>
      </c>
      <c r="AA55" s="4">
        <f t="shared" ref="AA55:AJ55" si="276">AA54*AA56</f>
        <v>-93.637535094226521</v>
      </c>
      <c r="AB55" s="4">
        <f t="shared" si="276"/>
        <v>16.865145000000002</v>
      </c>
      <c r="AC55" s="4">
        <f t="shared" si="276"/>
        <v>15.0876</v>
      </c>
      <c r="AD55" s="4">
        <f t="shared" si="276"/>
        <v>16.418159999999997</v>
      </c>
      <c r="AE55" s="4">
        <f t="shared" si="276"/>
        <v>16.23105</v>
      </c>
      <c r="AF55" s="4">
        <f t="shared" si="276"/>
        <v>-72.10355009422652</v>
      </c>
      <c r="AG55" s="4">
        <f t="shared" si="276"/>
        <v>-50.569565094226519</v>
      </c>
      <c r="AH55" s="4">
        <f t="shared" si="276"/>
        <v>-29.325935895168783</v>
      </c>
      <c r="AI55" s="4">
        <f t="shared" si="276"/>
        <v>-7.728143266072161</v>
      </c>
      <c r="AJ55" s="4">
        <f t="shared" si="276"/>
        <v>14.889853123355671</v>
      </c>
    </row>
    <row r="56" spans="1:36" s="187" customFormat="1" x14ac:dyDescent="0.2">
      <c r="A56" s="260"/>
      <c r="B56" s="260" t="s">
        <v>258</v>
      </c>
      <c r="Q56" s="264">
        <f>Q55/Q54</f>
        <v>-3.1741803733546424E-2</v>
      </c>
      <c r="R56" s="264">
        <f t="shared" ref="R56" si="277">M56+0.005</f>
        <v>5.0000000000000001E-3</v>
      </c>
      <c r="S56" s="264">
        <f t="shared" ref="S56" si="278">N56+0.005</f>
        <v>5.0000000000000001E-3</v>
      </c>
      <c r="T56" s="264">
        <f t="shared" ref="T56" si="279">O56+0.005</f>
        <v>5.0000000000000001E-3</v>
      </c>
      <c r="U56" s="264">
        <f t="shared" ref="U56" si="280">P56+0.005</f>
        <v>5.0000000000000001E-3</v>
      </c>
      <c r="V56" s="264">
        <f>Q56+0.005</f>
        <v>-2.6741803733546423E-2</v>
      </c>
      <c r="W56" s="264">
        <f t="shared" ref="W56:AF56" si="281">R56+0.005</f>
        <v>0.01</v>
      </c>
      <c r="X56" s="264">
        <f t="shared" si="281"/>
        <v>0.01</v>
      </c>
      <c r="Y56" s="264">
        <f t="shared" si="281"/>
        <v>0.01</v>
      </c>
      <c r="Z56" s="264">
        <f t="shared" si="281"/>
        <v>0.01</v>
      </c>
      <c r="AA56" s="264">
        <f t="shared" si="281"/>
        <v>-2.1741803733546422E-2</v>
      </c>
      <c r="AB56" s="264">
        <f t="shared" si="281"/>
        <v>1.4999999999999999E-2</v>
      </c>
      <c r="AC56" s="264">
        <f t="shared" si="281"/>
        <v>1.4999999999999999E-2</v>
      </c>
      <c r="AD56" s="264">
        <f t="shared" si="281"/>
        <v>1.4999999999999999E-2</v>
      </c>
      <c r="AE56" s="264">
        <f t="shared" si="281"/>
        <v>1.4999999999999999E-2</v>
      </c>
      <c r="AF56" s="264">
        <f t="shared" si="281"/>
        <v>-1.6741803733546421E-2</v>
      </c>
      <c r="AG56" s="264">
        <f>AF56+0.005</f>
        <v>-1.174180373354642E-2</v>
      </c>
      <c r="AH56" s="264">
        <f t="shared" ref="AH56:AJ58" si="282">AG56+0.005</f>
        <v>-6.74180373354642E-3</v>
      </c>
      <c r="AI56" s="264">
        <f t="shared" si="282"/>
        <v>-1.7418037335464199E-3</v>
      </c>
      <c r="AJ56" s="264">
        <f t="shared" si="282"/>
        <v>3.2581962664535802E-3</v>
      </c>
    </row>
    <row r="57" spans="1:36" x14ac:dyDescent="0.2">
      <c r="B57" s="4" t="s">
        <v>255</v>
      </c>
      <c r="Q57" s="4">
        <v>-36</v>
      </c>
      <c r="V57" s="4">
        <f>V58*V54</f>
        <v>-13.0115019311447</v>
      </c>
      <c r="AA57" s="4">
        <f t="shared" ref="AA57:AJ57" si="283">AA58*AA54</f>
        <v>8.6525980881667444</v>
      </c>
      <c r="AB57" s="4">
        <f t="shared" si="283"/>
        <v>16.865145000000002</v>
      </c>
      <c r="AC57" s="4">
        <f t="shared" si="283"/>
        <v>15.0876</v>
      </c>
      <c r="AD57" s="4">
        <f t="shared" si="283"/>
        <v>16.418159999999997</v>
      </c>
      <c r="AE57" s="4">
        <f t="shared" si="283"/>
        <v>16.23105</v>
      </c>
      <c r="AF57" s="4">
        <f t="shared" si="283"/>
        <v>30.186583088166742</v>
      </c>
      <c r="AG57" s="4">
        <f t="shared" si="283"/>
        <v>51.720568088166743</v>
      </c>
      <c r="AH57" s="4">
        <f t="shared" si="283"/>
        <v>73.98709861904841</v>
      </c>
      <c r="AI57" s="4">
        <f t="shared" si="283"/>
        <v>97.651151938429379</v>
      </c>
      <c r="AJ57" s="4">
        <f t="shared" si="283"/>
        <v>123.43052718399225</v>
      </c>
    </row>
    <row r="58" spans="1:36" s="187" customFormat="1" x14ac:dyDescent="0.2">
      <c r="A58" s="260"/>
      <c r="B58" s="260" t="s">
        <v>258</v>
      </c>
      <c r="Q58" s="264">
        <f>Q57/Q54</f>
        <v>-7.9909435972564426E-3</v>
      </c>
      <c r="R58" s="264">
        <f t="shared" ref="R58" si="284">M58+0.005</f>
        <v>5.0000000000000001E-3</v>
      </c>
      <c r="S58" s="264">
        <f t="shared" ref="S58" si="285">N58+0.005</f>
        <v>5.0000000000000001E-3</v>
      </c>
      <c r="T58" s="264">
        <f t="shared" ref="T58" si="286">O58+0.005</f>
        <v>5.0000000000000001E-3</v>
      </c>
      <c r="U58" s="264">
        <f t="shared" ref="U58" si="287">P58+0.005</f>
        <v>5.0000000000000001E-3</v>
      </c>
      <c r="V58" s="264">
        <f>Q58+0.005</f>
        <v>-2.9909435972564425E-3</v>
      </c>
      <c r="W58" s="264">
        <f t="shared" ref="W58" si="288">R58+0.005</f>
        <v>0.01</v>
      </c>
      <c r="X58" s="264">
        <f t="shared" ref="X58" si="289">S58+0.005</f>
        <v>0.01</v>
      </c>
      <c r="Y58" s="264">
        <f t="shared" ref="Y58" si="290">T58+0.005</f>
        <v>0.01</v>
      </c>
      <c r="Z58" s="264">
        <f t="shared" ref="Z58" si="291">U58+0.005</f>
        <v>0.01</v>
      </c>
      <c r="AA58" s="264">
        <f t="shared" ref="AA58" si="292">V58+0.005</f>
        <v>2.0090564027435576E-3</v>
      </c>
      <c r="AB58" s="264">
        <f t="shared" ref="AB58" si="293">W58+0.005</f>
        <v>1.4999999999999999E-2</v>
      </c>
      <c r="AC58" s="264">
        <f t="shared" ref="AC58" si="294">X58+0.005</f>
        <v>1.4999999999999999E-2</v>
      </c>
      <c r="AD58" s="264">
        <f t="shared" ref="AD58" si="295">Y58+0.005</f>
        <v>1.4999999999999999E-2</v>
      </c>
      <c r="AE58" s="264">
        <f t="shared" ref="AE58" si="296">Z58+0.005</f>
        <v>1.4999999999999999E-2</v>
      </c>
      <c r="AF58" s="264">
        <f t="shared" ref="AF58" si="297">AA58+0.005</f>
        <v>7.0090564027435577E-3</v>
      </c>
      <c r="AG58" s="264">
        <f>AF58+0.005</f>
        <v>1.2009056402743558E-2</v>
      </c>
      <c r="AH58" s="264">
        <f t="shared" si="282"/>
        <v>1.7009056402743559E-2</v>
      </c>
      <c r="AI58" s="264">
        <f t="shared" si="282"/>
        <v>2.200905640274356E-2</v>
      </c>
      <c r="AJ58" s="264">
        <f t="shared" si="282"/>
        <v>2.7009056402743561E-2</v>
      </c>
    </row>
    <row r="59" spans="1:36" x14ac:dyDescent="0.2">
      <c r="B59" s="4" t="s">
        <v>256</v>
      </c>
      <c r="Q59" s="4">
        <f>Q54*Q60</f>
        <v>-45.051000000000002</v>
      </c>
      <c r="V59" s="4">
        <f>V60*V54</f>
        <v>0</v>
      </c>
      <c r="AA59" s="4">
        <f t="shared" ref="AA59:AJ59" si="298">AA60*AA54</f>
        <v>43.067969999999995</v>
      </c>
      <c r="AB59" s="4">
        <f t="shared" si="298"/>
        <v>11.243430000000002</v>
      </c>
      <c r="AC59" s="4">
        <f t="shared" si="298"/>
        <v>10.058400000000001</v>
      </c>
      <c r="AD59" s="4">
        <f t="shared" si="298"/>
        <v>10.94544</v>
      </c>
      <c r="AE59" s="4">
        <f t="shared" si="298"/>
        <v>10.8207</v>
      </c>
      <c r="AF59" s="4">
        <f t="shared" si="298"/>
        <v>86.135939999999991</v>
      </c>
      <c r="AG59" s="4">
        <f t="shared" si="298"/>
        <v>118.43691749999999</v>
      </c>
      <c r="AH59" s="4">
        <f t="shared" si="298"/>
        <v>152.24527395000001</v>
      </c>
      <c r="AI59" s="4">
        <f t="shared" si="298"/>
        <v>188.56664644949998</v>
      </c>
      <c r="AJ59" s="4">
        <f t="shared" si="298"/>
        <v>228.49840687409997</v>
      </c>
    </row>
    <row r="60" spans="1:36" s="187" customFormat="1" x14ac:dyDescent="0.2">
      <c r="A60" s="260"/>
      <c r="B60" s="260" t="s">
        <v>258</v>
      </c>
      <c r="Q60" s="264">
        <f t="shared" ref="Q60:AJ60" si="299">Q42</f>
        <v>-0.01</v>
      </c>
      <c r="R60" s="264">
        <f t="shared" si="299"/>
        <v>-0.01</v>
      </c>
      <c r="S60" s="264">
        <f t="shared" si="299"/>
        <v>-0.01</v>
      </c>
      <c r="T60" s="264">
        <f t="shared" si="299"/>
        <v>-0.01</v>
      </c>
      <c r="U60" s="264">
        <f t="shared" si="299"/>
        <v>-0.01</v>
      </c>
      <c r="V60" s="264">
        <f t="shared" si="299"/>
        <v>0</v>
      </c>
      <c r="W60" s="264">
        <f t="shared" si="299"/>
        <v>0</v>
      </c>
      <c r="X60" s="264">
        <f t="shared" si="299"/>
        <v>0</v>
      </c>
      <c r="Y60" s="264">
        <f t="shared" si="299"/>
        <v>0</v>
      </c>
      <c r="Z60" s="264">
        <f t="shared" si="299"/>
        <v>0</v>
      </c>
      <c r="AA60" s="264">
        <f t="shared" si="299"/>
        <v>0.01</v>
      </c>
      <c r="AB60" s="264">
        <f t="shared" si="299"/>
        <v>0.01</v>
      </c>
      <c r="AC60" s="264">
        <f t="shared" si="299"/>
        <v>0.01</v>
      </c>
      <c r="AD60" s="264">
        <f t="shared" si="299"/>
        <v>0.01</v>
      </c>
      <c r="AE60" s="264">
        <f t="shared" si="299"/>
        <v>0.01</v>
      </c>
      <c r="AF60" s="264">
        <f t="shared" si="299"/>
        <v>0.02</v>
      </c>
      <c r="AG60" s="264">
        <f t="shared" si="299"/>
        <v>2.75E-2</v>
      </c>
      <c r="AH60" s="264">
        <f t="shared" si="299"/>
        <v>3.5000000000000003E-2</v>
      </c>
      <c r="AI60" s="264">
        <f t="shared" si="299"/>
        <v>4.2500000000000003E-2</v>
      </c>
      <c r="AJ60" s="264">
        <f t="shared" si="299"/>
        <v>0.05</v>
      </c>
    </row>
    <row r="61" spans="1:36" s="11" customFormat="1" x14ac:dyDescent="0.2">
      <c r="B61" s="11" t="s">
        <v>257</v>
      </c>
      <c r="L61" s="11">
        <f>Q5</f>
        <v>4505.1000000000004</v>
      </c>
      <c r="Q61" s="11">
        <f>SUM(Q59,Q57,Q55,Q54)</f>
        <v>4281.049</v>
      </c>
      <c r="R61" s="11">
        <f t="shared" ref="R61:AJ61" si="300">SUM(R59,R57,R55,R54)</f>
        <v>1135.7</v>
      </c>
      <c r="S61" s="11">
        <f t="shared" si="300"/>
        <v>1016</v>
      </c>
      <c r="T61" s="11">
        <f t="shared" si="300"/>
        <v>1105.5999999999999</v>
      </c>
      <c r="U61" s="11">
        <f t="shared" si="300"/>
        <v>1093</v>
      </c>
      <c r="V61" s="11">
        <f t="shared" si="300"/>
        <v>4220.9536292868079</v>
      </c>
      <c r="W61" s="11">
        <f t="shared" si="300"/>
        <v>1124.3430000000001</v>
      </c>
      <c r="X61" s="11">
        <f t="shared" si="300"/>
        <v>1005.84</v>
      </c>
      <c r="Y61" s="11">
        <f t="shared" si="300"/>
        <v>1094.5439999999999</v>
      </c>
      <c r="Z61" s="11">
        <f t="shared" si="300"/>
        <v>1082.07</v>
      </c>
      <c r="AA61" s="11">
        <f t="shared" si="300"/>
        <v>4264.8800329939395</v>
      </c>
      <c r="AB61" s="11">
        <f t="shared" si="300"/>
        <v>1169.31672</v>
      </c>
      <c r="AC61" s="11">
        <f t="shared" si="300"/>
        <v>1046.0735999999999</v>
      </c>
      <c r="AD61" s="11">
        <f t="shared" si="300"/>
        <v>1138.3257599999999</v>
      </c>
      <c r="AE61" s="11">
        <f t="shared" si="300"/>
        <v>1125.3527999999999</v>
      </c>
      <c r="AF61" s="11">
        <f t="shared" si="300"/>
        <v>4351.0159729939396</v>
      </c>
      <c r="AG61" s="11">
        <f t="shared" si="300"/>
        <v>4426.3849204939397</v>
      </c>
      <c r="AH61" s="11">
        <f t="shared" si="300"/>
        <v>4546.771406673879</v>
      </c>
      <c r="AI61" s="11">
        <f t="shared" si="300"/>
        <v>4715.3519245218567</v>
      </c>
      <c r="AJ61" s="11">
        <f t="shared" si="300"/>
        <v>4936.7869246634473</v>
      </c>
    </row>
    <row r="62" spans="1:36" x14ac:dyDescent="0.2">
      <c r="Q62" s="8">
        <f>Q61/L61-1</f>
        <v>-4.9732747330802907E-2</v>
      </c>
      <c r="V62" s="8">
        <f>V61/Q61-1</f>
        <v>-1.4037533957960369E-2</v>
      </c>
      <c r="W62" s="8">
        <f t="shared" ref="W62" si="301">W61/R61-1</f>
        <v>-1.0000000000000009E-2</v>
      </c>
      <c r="X62" s="8">
        <f t="shared" ref="X62" si="302">X61/S61-1</f>
        <v>-1.0000000000000009E-2</v>
      </c>
      <c r="Y62" s="8">
        <f t="shared" ref="Y62" si="303">Y61/T61-1</f>
        <v>-1.0000000000000009E-2</v>
      </c>
      <c r="Z62" s="8">
        <f t="shared" ref="Z62" si="304">Z61/U61-1</f>
        <v>-1.0000000000000009E-2</v>
      </c>
      <c r="AA62" s="8">
        <f t="shared" ref="AA62" si="305">AA61/V61-1</f>
        <v>1.0406748703030377E-2</v>
      </c>
      <c r="AB62" s="8">
        <f t="shared" ref="AB62" si="306">AB61/W61-1</f>
        <v>4.0000000000000036E-2</v>
      </c>
      <c r="AC62" s="8">
        <f t="shared" ref="AC62" si="307">AC61/X61-1</f>
        <v>3.9999999999999813E-2</v>
      </c>
      <c r="AD62" s="8">
        <f t="shared" ref="AD62" si="308">AD61/Y61-1</f>
        <v>4.0000000000000036E-2</v>
      </c>
      <c r="AE62" s="8">
        <f t="shared" ref="AE62" si="309">AE61/Z61-1</f>
        <v>4.0000000000000036E-2</v>
      </c>
      <c r="AF62" s="8">
        <f t="shared" ref="AF62" si="310">AF61/AA61-1</f>
        <v>2.0196568094210443E-2</v>
      </c>
      <c r="AG62" s="8">
        <f>AG61/AF61-1</f>
        <v>1.7322149118229602E-2</v>
      </c>
      <c r="AH62" s="8">
        <f t="shared" ref="AH62" si="311">AH61/AG61-1</f>
        <v>2.7197473410537798E-2</v>
      </c>
      <c r="AI62" s="8">
        <f t="shared" ref="AI62" si="312">AI61/AH61-1</f>
        <v>3.7076972376603345E-2</v>
      </c>
      <c r="AJ62" s="8">
        <f t="shared" ref="AJ62" si="313">AJ61/AI61-1</f>
        <v>4.69604397903014E-2</v>
      </c>
    </row>
    <row r="63" spans="1:36" x14ac:dyDescent="0.2">
      <c r="B63" s="11" t="s">
        <v>262</v>
      </c>
      <c r="L63" s="11">
        <f>SUM(L61,L51)</f>
        <v>34271</v>
      </c>
      <c r="M63" s="11">
        <f t="shared" ref="M63:AJ63" si="314">SUM(M61,M51)</f>
        <v>0</v>
      </c>
      <c r="N63" s="11">
        <f t="shared" si="314"/>
        <v>0</v>
      </c>
      <c r="O63" s="11">
        <f t="shared" si="314"/>
        <v>0</v>
      </c>
      <c r="P63" s="11">
        <f t="shared" si="314"/>
        <v>0</v>
      </c>
      <c r="Q63" s="11">
        <f t="shared" si="314"/>
        <v>34969.949000000001</v>
      </c>
      <c r="R63" s="11">
        <f t="shared" si="314"/>
        <v>8907.7649899999997</v>
      </c>
      <c r="S63" s="11">
        <f t="shared" si="314"/>
        <v>8288.6154999999999</v>
      </c>
      <c r="T63" s="11">
        <f t="shared" si="314"/>
        <v>8904.8187500000004</v>
      </c>
      <c r="U63" s="11">
        <f t="shared" si="314"/>
        <v>8941.6346000000012</v>
      </c>
      <c r="V63" s="11">
        <f t="shared" si="314"/>
        <v>36536.843995666895</v>
      </c>
      <c r="W63" s="11">
        <f t="shared" si="314"/>
        <v>9276.3150593999999</v>
      </c>
      <c r="X63" s="11">
        <f t="shared" si="314"/>
        <v>8633.9489300000005</v>
      </c>
      <c r="Y63" s="11">
        <f t="shared" si="314"/>
        <v>9274.9971249999999</v>
      </c>
      <c r="Z63" s="11">
        <f t="shared" si="314"/>
        <v>9314.3544760000004</v>
      </c>
      <c r="AA63" s="11">
        <f t="shared" si="314"/>
        <v>38190.385324615672</v>
      </c>
      <c r="AB63" s="11">
        <f t="shared" si="314"/>
        <v>9799.9825862640027</v>
      </c>
      <c r="AC63" s="11">
        <f t="shared" si="314"/>
        <v>9277.4229286999998</v>
      </c>
      <c r="AD63" s="11">
        <f t="shared" si="314"/>
        <v>10048.976463125</v>
      </c>
      <c r="AE63" s="11">
        <f t="shared" si="314"/>
        <v>10260.070892260002</v>
      </c>
      <c r="AF63" s="11">
        <f t="shared" si="314"/>
        <v>41103.968006576528</v>
      </c>
      <c r="AG63" s="11">
        <f t="shared" si="314"/>
        <v>44695.145249733774</v>
      </c>
      <c r="AH63" s="11">
        <f t="shared" si="314"/>
        <v>49067.093790483297</v>
      </c>
      <c r="AI63" s="11">
        <f t="shared" si="314"/>
        <v>54377.817534144015</v>
      </c>
      <c r="AJ63" s="11">
        <f t="shared" si="314"/>
        <v>60828.146947393339</v>
      </c>
    </row>
    <row r="64" spans="1:36" x14ac:dyDescent="0.2">
      <c r="Q64" s="8">
        <f>Q63/L63-1</f>
        <v>2.0394765253421321E-2</v>
      </c>
      <c r="V64" s="8">
        <f>V63/Q63-1</f>
        <v>4.4806899651666399E-2</v>
      </c>
      <c r="W64" s="8">
        <f t="shared" ref="W64" si="315">W63/R63-1</f>
        <v>4.1374022531324162E-2</v>
      </c>
      <c r="X64" s="8">
        <f t="shared" ref="X64" si="316">X63/S63-1</f>
        <v>4.1663584225857919E-2</v>
      </c>
      <c r="Y64" s="8">
        <f t="shared" ref="Y64" si="317">Y63/T63-1</f>
        <v>4.1570568182536016E-2</v>
      </c>
      <c r="Z64" s="8">
        <f t="shared" ref="Z64" si="318">Z63/U63-1</f>
        <v>4.1683639812344797E-2</v>
      </c>
      <c r="AA64" s="8">
        <f t="shared" ref="AA64" si="319">AA63/V63-1</f>
        <v>4.5256818819514821E-2</v>
      </c>
      <c r="AB64" s="8">
        <f t="shared" ref="AB64" si="320">AB63/W63-1</f>
        <v>5.6452106629706789E-2</v>
      </c>
      <c r="AC64" s="8">
        <f t="shared" ref="AC64" si="321">AC63/X63-1</f>
        <v>7.4528353586172935E-2</v>
      </c>
      <c r="AD64" s="8">
        <f t="shared" ref="AD64" si="322">AD63/Y63-1</f>
        <v>8.3447932942081637E-2</v>
      </c>
      <c r="AE64" s="8">
        <f t="shared" ref="AE64" si="323">AE63/Z63-1</f>
        <v>0.10153322151275201</v>
      </c>
      <c r="AF64" s="8">
        <f t="shared" ref="AF64" si="324">AF63/AA63-1</f>
        <v>7.6290999873282361E-2</v>
      </c>
      <c r="AG64" s="8">
        <f>AG63/AF63-1</f>
        <v>8.7368140287153562E-2</v>
      </c>
      <c r="AH64" s="8">
        <f t="shared" ref="AH64" si="325">AH63/AG63-1</f>
        <v>9.7817078707794547E-2</v>
      </c>
      <c r="AI64" s="8">
        <f t="shared" ref="AI64" si="326">AI63/AH63-1</f>
        <v>0.10823391673322913</v>
      </c>
      <c r="AJ64" s="8">
        <f t="shared" ref="AJ64" si="327">AJ63/AI63-1</f>
        <v>0.118620601299402</v>
      </c>
    </row>
  </sheetData>
  <phoneticPr fontId="7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D4" sqref="D4"/>
    </sheetView>
  </sheetViews>
  <sheetFormatPr baseColWidth="10" defaultColWidth="9" defaultRowHeight="15" x14ac:dyDescent="0.2"/>
  <cols>
    <col min="1" max="1" width="2.33203125" style="4" customWidth="1"/>
    <col min="2" max="2" width="36.33203125" style="4" bestFit="1" customWidth="1"/>
    <col min="3" max="12" width="11.6640625" style="4" customWidth="1"/>
    <col min="13" max="20" width="11.5" style="4" customWidth="1"/>
    <col min="21" max="16384" width="9" style="4"/>
  </cols>
  <sheetData>
    <row r="1" spans="1:20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20" x14ac:dyDescent="0.2">
      <c r="A2" s="62" t="s">
        <v>126</v>
      </c>
      <c r="B2" s="240" t="s">
        <v>127</v>
      </c>
      <c r="C2" s="240">
        <v>2023</v>
      </c>
      <c r="D2" s="240">
        <f>C2+1</f>
        <v>2024</v>
      </c>
      <c r="E2" s="240">
        <f t="shared" ref="E2:J2" si="0">D2+1</f>
        <v>2025</v>
      </c>
      <c r="F2" s="240">
        <f t="shared" si="0"/>
        <v>2026</v>
      </c>
      <c r="G2" s="240">
        <f t="shared" si="0"/>
        <v>2027</v>
      </c>
      <c r="H2" s="240">
        <f t="shared" si="0"/>
        <v>2028</v>
      </c>
      <c r="I2" s="240">
        <f t="shared" si="0"/>
        <v>2029</v>
      </c>
      <c r="J2" s="240">
        <f t="shared" si="0"/>
        <v>2030</v>
      </c>
      <c r="K2" s="240">
        <f t="shared" ref="K2" si="1">J2+1</f>
        <v>2031</v>
      </c>
      <c r="L2" s="240">
        <f t="shared" ref="L2" si="2">K2+1</f>
        <v>2032</v>
      </c>
    </row>
    <row r="3" spans="1:20" x14ac:dyDescent="0.2">
      <c r="A3" s="84"/>
      <c r="B3" s="157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20" x14ac:dyDescent="0.2">
      <c r="B4" s="92" t="s">
        <v>132</v>
      </c>
      <c r="C4"/>
      <c r="D4" s="237">
        <v>1</v>
      </c>
      <c r="E4"/>
      <c r="F4"/>
      <c r="G4" s="87"/>
      <c r="H4" s="87"/>
      <c r="I4" s="87"/>
      <c r="J4" s="87"/>
      <c r="K4" s="87"/>
      <c r="L4" s="87"/>
      <c r="M4" s="210"/>
      <c r="N4" s="211"/>
      <c r="O4" s="211"/>
    </row>
    <row r="5" spans="1:20" x14ac:dyDescent="0.2">
      <c r="B5" s="86"/>
      <c r="C5" s="88"/>
      <c r="D5" s="111" t="s">
        <v>128</v>
      </c>
      <c r="E5" s="89"/>
      <c r="M5" s="212"/>
      <c r="N5" s="213"/>
      <c r="O5" s="213"/>
    </row>
    <row r="6" spans="1:20" x14ac:dyDescent="0.2">
      <c r="B6" s="90" t="s">
        <v>260</v>
      </c>
      <c r="D6" s="99">
        <v>0</v>
      </c>
      <c r="E6" s="91"/>
      <c r="F6" s="99">
        <f>'Quarterly Projections'!AA10</f>
        <v>3.0467226801723868E-2</v>
      </c>
      <c r="G6" s="99">
        <f>'Quarterly Projections'!AF10</f>
        <v>5.9892751538709321E-2</v>
      </c>
      <c r="H6" s="99">
        <f>'Quarterly Projections'!AG10</f>
        <v>7.2740241845268283E-2</v>
      </c>
      <c r="I6" s="99">
        <f>'Quarterly Projections'!AH10</f>
        <v>8.3347951081823579E-2</v>
      </c>
      <c r="J6" s="99">
        <f>'Quarterly Projections'!AI10</f>
        <v>9.3915406248316735E-2</v>
      </c>
      <c r="K6" s="99">
        <f>'Quarterly Projections'!AJ10</f>
        <v>0.10444533722936855</v>
      </c>
      <c r="L6" s="99">
        <f>'Quarterly Projections'!AK10</f>
        <v>0.11494022098049683</v>
      </c>
      <c r="M6" s="169"/>
      <c r="N6" s="214"/>
      <c r="O6" s="214"/>
      <c r="P6" s="214"/>
      <c r="Q6" s="214"/>
      <c r="R6" s="214"/>
      <c r="S6" s="214"/>
      <c r="T6" s="214"/>
    </row>
    <row r="7" spans="1:20" x14ac:dyDescent="0.2">
      <c r="B7" s="4" t="s">
        <v>259</v>
      </c>
      <c r="D7" s="99">
        <v>2.5000000000000001E-2</v>
      </c>
      <c r="E7" s="91"/>
      <c r="F7" s="99">
        <f>'Quarterly Projections'!V64</f>
        <v>4.4806899651666399E-2</v>
      </c>
      <c r="G7" s="99">
        <f>'Quarterly Projections'!AA64</f>
        <v>4.5256818819514821E-2</v>
      </c>
      <c r="H7" s="99">
        <f>'Quarterly Projections'!AF64</f>
        <v>7.6290999873282361E-2</v>
      </c>
      <c r="I7" s="99">
        <f>'Quarterly Projections'!AG64</f>
        <v>8.7368140287153562E-2</v>
      </c>
      <c r="J7" s="99">
        <f>'Quarterly Projections'!AH64</f>
        <v>9.7817078707794547E-2</v>
      </c>
      <c r="K7" s="99">
        <f>'Quarterly Projections'!AI64</f>
        <v>0.10823391673322913</v>
      </c>
      <c r="L7" s="99">
        <f>'Quarterly Projections'!AJ64</f>
        <v>0.118620601299402</v>
      </c>
      <c r="M7" s="169"/>
      <c r="N7" s="169"/>
      <c r="O7" s="169"/>
      <c r="P7" s="169"/>
      <c r="Q7" s="169"/>
      <c r="R7" s="169"/>
      <c r="S7" s="169"/>
      <c r="T7" s="169"/>
    </row>
    <row r="8" spans="1:20" x14ac:dyDescent="0.2">
      <c r="B8" s="4" t="s">
        <v>129</v>
      </c>
      <c r="D8" s="99">
        <v>-2.5000000000000001E-2</v>
      </c>
      <c r="E8" s="91"/>
      <c r="F8" s="99">
        <f>F6+$D$8</f>
        <v>5.4672268017238665E-3</v>
      </c>
      <c r="G8" s="99">
        <f t="shared" ref="G8:J8" si="3">G6+$D$8</f>
        <v>3.489275153870932E-2</v>
      </c>
      <c r="H8" s="99">
        <f t="shared" si="3"/>
        <v>4.7740241845268282E-2</v>
      </c>
      <c r="I8" s="99">
        <f t="shared" si="3"/>
        <v>5.8347951081823578E-2</v>
      </c>
      <c r="J8" s="99">
        <f t="shared" si="3"/>
        <v>6.8915406248316741E-2</v>
      </c>
      <c r="K8" s="99">
        <f t="shared" ref="K8:L8" si="4">K6+$D$8</f>
        <v>7.9445337229368557E-2</v>
      </c>
      <c r="L8" s="99">
        <f t="shared" si="4"/>
        <v>8.9940220980496838E-2</v>
      </c>
    </row>
    <row r="9" spans="1:20" x14ac:dyDescent="0.2">
      <c r="M9" s="169"/>
      <c r="N9" s="169"/>
    </row>
    <row r="10" spans="1:20" x14ac:dyDescent="0.2">
      <c r="B10" s="116" t="s">
        <v>149</v>
      </c>
      <c r="C10" s="187"/>
      <c r="D10" s="250">
        <f>'Quarterly Projections'!Q10</f>
        <v>5.5666507840290702E-3</v>
      </c>
      <c r="E10" s="188">
        <f>'Quarterly Projections'!V10</f>
        <v>2.6193679953564697E-2</v>
      </c>
      <c r="F10" s="103">
        <f t="shared" ref="F10" si="5">CHOOSE(ScenarioREV,F6,F7,F8)</f>
        <v>3.0467226801723868E-2</v>
      </c>
      <c r="G10" s="103">
        <f t="shared" ref="G10:J10" si="6">CHOOSE(ScenarioREV,G6,G7,G8)</f>
        <v>5.9892751538709321E-2</v>
      </c>
      <c r="H10" s="103">
        <f t="shared" si="6"/>
        <v>7.2740241845268283E-2</v>
      </c>
      <c r="I10" s="103">
        <f t="shared" si="6"/>
        <v>8.3347951081823579E-2</v>
      </c>
      <c r="J10" s="103">
        <f t="shared" si="6"/>
        <v>9.3915406248316735E-2</v>
      </c>
      <c r="K10" s="103">
        <f t="shared" ref="K10:L10" si="7">CHOOSE(ScenarioREV,K6,K7,K8)</f>
        <v>0.10444533722936855</v>
      </c>
      <c r="L10" s="103">
        <f t="shared" si="7"/>
        <v>0.11494022098049683</v>
      </c>
      <c r="M10" s="169"/>
      <c r="N10" s="169"/>
    </row>
    <row r="11" spans="1:20" x14ac:dyDescent="0.2">
      <c r="B11" s="4" t="s">
        <v>133</v>
      </c>
      <c r="C11" s="8">
        <f>'Quarterly Projections'!L13</f>
        <v>0.3171341461883545</v>
      </c>
      <c r="D11" s="8">
        <f>'Quarterly Projections'!Q13</f>
        <v>0.31182095723150699</v>
      </c>
      <c r="E11" s="8">
        <f>'Quarterly Projections'!V13</f>
        <v>0.314035768234389</v>
      </c>
      <c r="F11" s="99">
        <f>'Quarterly Projections'!AA13</f>
        <v>0.31403624537558605</v>
      </c>
      <c r="G11" s="99">
        <f t="shared" ref="G11:J11" si="8">F11</f>
        <v>0.31403624537558605</v>
      </c>
      <c r="H11" s="99">
        <f t="shared" si="8"/>
        <v>0.31403624537558605</v>
      </c>
      <c r="I11" s="99">
        <f t="shared" si="8"/>
        <v>0.31403624537558605</v>
      </c>
      <c r="J11" s="99">
        <f t="shared" si="8"/>
        <v>0.31403624537558605</v>
      </c>
      <c r="K11" s="99">
        <f t="shared" ref="K11:K13" si="9">J11</f>
        <v>0.31403624537558605</v>
      </c>
      <c r="L11" s="99">
        <f t="shared" ref="L11:L13" si="10">K11</f>
        <v>0.31403624537558605</v>
      </c>
      <c r="M11" s="169"/>
      <c r="N11" s="169"/>
    </row>
    <row r="12" spans="1:20" x14ac:dyDescent="0.2">
      <c r="B12" s="4" t="s">
        <v>45</v>
      </c>
      <c r="C12" s="8">
        <f>SUM('Quarterly Projections'!L15,'Quarterly Projections'!L17,'Quarterly Projections'!L19)</f>
        <v>0.52989854759985933</v>
      </c>
      <c r="D12" s="187">
        <f>SUM('Quarterly Projections'!Q15,'Quarterly Projections'!Q17,'Quarterly Projections'!Q19)</f>
        <v>0.54975910301951669</v>
      </c>
      <c r="E12" s="8">
        <f>SUM('Quarterly Projections'!V15,'Quarterly Projections'!V17,'Quarterly Projections'!V19)</f>
        <v>0.5911464338718333</v>
      </c>
      <c r="F12" s="99">
        <f>SUM('Quarterly Projections'!AA15,'Quarterly Projections'!AA17,'Quarterly Projections'!AA19)</f>
        <v>0.59114733205078496</v>
      </c>
      <c r="G12" s="99">
        <f>SUM('Quarterly Projections'!AF15,'Quarterly Projections'!AF17,'Quarterly Projections'!AF19)</f>
        <v>0.58961719471437513</v>
      </c>
      <c r="H12" s="99">
        <f>SUM('Quarterly Projections'!AG15,'Quarterly Projections'!AG17,'Quarterly Projections'!AG19)</f>
        <v>0.58961719471437513</v>
      </c>
      <c r="I12" s="99">
        <f>SUM('Quarterly Projections'!AH15,'Quarterly Projections'!AH17,'Quarterly Projections'!AH19)</f>
        <v>0.57811719471437506</v>
      </c>
      <c r="J12" s="99">
        <f>SUM('Quarterly Projections'!AI15,'Quarterly Projections'!AI17,'Quarterly Projections'!AI19)</f>
        <v>0.56661719471437499</v>
      </c>
      <c r="K12" s="99">
        <f>SUM('Quarterly Projections'!AJ15,'Quarterly Projections'!AJ17,'Quarterly Projections'!AJ19)</f>
        <v>0.55511719471437504</v>
      </c>
      <c r="L12" s="99">
        <f>SUM('Quarterly Projections'!AK15,'Quarterly Projections'!AK17,'Quarterly Projections'!AK19)</f>
        <v>0.54711719471437503</v>
      </c>
    </row>
    <row r="13" spans="1:20" x14ac:dyDescent="0.2">
      <c r="B13" s="4" t="s">
        <v>135</v>
      </c>
      <c r="C13" s="4">
        <f>IncState!C22</f>
        <v>0</v>
      </c>
      <c r="D13" s="4">
        <f>IncState!D22</f>
        <v>0</v>
      </c>
      <c r="E13" s="4">
        <f>IncState!E22</f>
        <v>0</v>
      </c>
      <c r="F13" s="100">
        <f>E13</f>
        <v>0</v>
      </c>
      <c r="G13" s="100">
        <f t="shared" ref="G13:J13" si="11">F13</f>
        <v>0</v>
      </c>
      <c r="H13" s="100">
        <f t="shared" si="11"/>
        <v>0</v>
      </c>
      <c r="I13" s="100">
        <f t="shared" si="11"/>
        <v>0</v>
      </c>
      <c r="J13" s="100">
        <f t="shared" si="11"/>
        <v>0</v>
      </c>
      <c r="K13" s="100">
        <f t="shared" si="9"/>
        <v>0</v>
      </c>
      <c r="L13" s="100">
        <f t="shared" si="10"/>
        <v>0</v>
      </c>
    </row>
    <row r="14" spans="1:20" x14ac:dyDescent="0.2">
      <c r="B14" s="4" t="s">
        <v>136</v>
      </c>
      <c r="C14" s="4">
        <f>IncState!C25</f>
        <v>0</v>
      </c>
      <c r="D14" s="4">
        <f>IncState!D25</f>
        <v>0</v>
      </c>
      <c r="E14" s="4">
        <f>IncState!E25</f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</row>
    <row r="15" spans="1:20" x14ac:dyDescent="0.2">
      <c r="B15" s="4" t="s">
        <v>138</v>
      </c>
      <c r="C15" s="4">
        <f>IncState!C26</f>
        <v>0</v>
      </c>
      <c r="D15" s="4">
        <f>IncState!D26</f>
        <v>0</v>
      </c>
      <c r="E15" s="4">
        <f>IncState!E26</f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</row>
    <row r="16" spans="1:20" x14ac:dyDescent="0.2">
      <c r="B16" s="4" t="s">
        <v>48</v>
      </c>
      <c r="C16" s="8">
        <f>IncState!C33/IncState!C31</f>
        <v>0.23592781800117338</v>
      </c>
      <c r="D16" s="8">
        <f>IncState!D33/IncState!D31</f>
        <v>0.281407829522827</v>
      </c>
      <c r="E16" s="8">
        <f>IncState!E33/IncState!E31</f>
        <v>0.30787491305051778</v>
      </c>
      <c r="F16" s="99">
        <v>0.19</v>
      </c>
      <c r="G16" s="99">
        <f>F16+0.01</f>
        <v>0.2</v>
      </c>
      <c r="H16" s="99">
        <f t="shared" ref="H16:I16" si="12">G16+0.01</f>
        <v>0.21000000000000002</v>
      </c>
      <c r="I16" s="99">
        <f t="shared" si="12"/>
        <v>0.22000000000000003</v>
      </c>
      <c r="J16" s="99">
        <f t="shared" ref="J16" si="13">I16</f>
        <v>0.22000000000000003</v>
      </c>
      <c r="K16" s="99">
        <f t="shared" ref="K16:K19" si="14">J16</f>
        <v>0.22000000000000003</v>
      </c>
      <c r="L16" s="99">
        <f t="shared" ref="L16:L19" si="15">K16</f>
        <v>0.22000000000000003</v>
      </c>
    </row>
    <row r="17" spans="1:12" s="243" customFormat="1" x14ac:dyDescent="0.2">
      <c r="B17" s="243" t="s">
        <v>139</v>
      </c>
      <c r="C17" s="243">
        <f>IncState!C35</f>
        <v>1.9621954391745426</v>
      </c>
      <c r="D17" s="243">
        <f>IncState!D35</f>
        <v>2.1198116498081618</v>
      </c>
      <c r="E17" s="243">
        <f>IncState!E35</f>
        <v>2.2799435526547893</v>
      </c>
      <c r="F17" s="244">
        <f>E17+(E17-D17)</f>
        <v>2.4400754555014168</v>
      </c>
      <c r="G17" s="244">
        <f t="shared" ref="G17:L17" si="16">F17+(F17-E17)</f>
        <v>2.6002073583480443</v>
      </c>
      <c r="H17" s="244">
        <f t="shared" si="16"/>
        <v>2.7603392611946718</v>
      </c>
      <c r="I17" s="244">
        <f t="shared" si="16"/>
        <v>2.9204711640412993</v>
      </c>
      <c r="J17" s="244">
        <f t="shared" si="16"/>
        <v>3.0806030668879267</v>
      </c>
      <c r="K17" s="244">
        <f t="shared" si="16"/>
        <v>3.2407349697345542</v>
      </c>
      <c r="L17" s="244">
        <f t="shared" si="16"/>
        <v>3.4008668725811817</v>
      </c>
    </row>
    <row r="18" spans="1:12" x14ac:dyDescent="0.2">
      <c r="B18" s="4" t="s">
        <v>49</v>
      </c>
      <c r="C18" s="4">
        <f>IncState!C38</f>
        <v>1153.3</v>
      </c>
      <c r="D18" s="4">
        <f>IncState!D38</f>
        <v>1146.8</v>
      </c>
      <c r="E18" s="4">
        <f>IncState!E38</f>
        <v>1133.8</v>
      </c>
      <c r="F18" s="100">
        <f>E18</f>
        <v>1133.8</v>
      </c>
      <c r="G18" s="100">
        <f t="shared" ref="G18:J18" si="17">F18</f>
        <v>1133.8</v>
      </c>
      <c r="H18" s="100">
        <f t="shared" si="17"/>
        <v>1133.8</v>
      </c>
      <c r="I18" s="100">
        <f t="shared" si="17"/>
        <v>1133.8</v>
      </c>
      <c r="J18" s="100">
        <f t="shared" si="17"/>
        <v>1133.8</v>
      </c>
      <c r="K18" s="100">
        <f t="shared" si="14"/>
        <v>1133.8</v>
      </c>
      <c r="L18" s="100">
        <f t="shared" si="15"/>
        <v>1133.8</v>
      </c>
    </row>
    <row r="19" spans="1:12" x14ac:dyDescent="0.2">
      <c r="B19" s="4" t="s">
        <v>50</v>
      </c>
      <c r="C19" s="4">
        <f>IncState!C39</f>
        <v>1158.5</v>
      </c>
      <c r="D19" s="4">
        <f>IncState!D39</f>
        <v>1151.3</v>
      </c>
      <c r="E19" s="4">
        <f>IncState!E39</f>
        <v>1137.3</v>
      </c>
      <c r="F19" s="100">
        <f>E19</f>
        <v>1137.3</v>
      </c>
      <c r="G19" s="100">
        <f t="shared" ref="G19:J19" si="18">F19</f>
        <v>1137.3</v>
      </c>
      <c r="H19" s="100">
        <f t="shared" si="18"/>
        <v>1137.3</v>
      </c>
      <c r="I19" s="100">
        <f t="shared" si="18"/>
        <v>1137.3</v>
      </c>
      <c r="J19" s="100">
        <f t="shared" si="18"/>
        <v>1137.3</v>
      </c>
      <c r="K19" s="100">
        <f t="shared" si="14"/>
        <v>1137.3</v>
      </c>
      <c r="L19" s="100">
        <f t="shared" si="15"/>
        <v>1137.3</v>
      </c>
    </row>
    <row r="20" spans="1:12" x14ac:dyDescent="0.2">
      <c r="F20" s="102"/>
      <c r="G20" s="102"/>
      <c r="H20" s="102"/>
      <c r="I20" s="102"/>
      <c r="J20" s="102"/>
      <c r="K20" s="102"/>
      <c r="L20" s="102"/>
    </row>
    <row r="21" spans="1:12" x14ac:dyDescent="0.2">
      <c r="A21" s="62" t="s">
        <v>126</v>
      </c>
      <c r="B21" s="105" t="s">
        <v>144</v>
      </c>
      <c r="C21" s="240">
        <f t="shared" ref="C21:L21" si="19">C2</f>
        <v>2023</v>
      </c>
      <c r="D21" s="240">
        <f t="shared" si="19"/>
        <v>2024</v>
      </c>
      <c r="E21" s="240">
        <f t="shared" si="19"/>
        <v>2025</v>
      </c>
      <c r="F21" s="240">
        <f t="shared" si="19"/>
        <v>2026</v>
      </c>
      <c r="G21" s="240">
        <f t="shared" si="19"/>
        <v>2027</v>
      </c>
      <c r="H21" s="240">
        <f t="shared" si="19"/>
        <v>2028</v>
      </c>
      <c r="I21" s="240">
        <f t="shared" si="19"/>
        <v>2029</v>
      </c>
      <c r="J21" s="240">
        <f t="shared" si="19"/>
        <v>2030</v>
      </c>
      <c r="K21" s="240">
        <f t="shared" si="19"/>
        <v>2031</v>
      </c>
      <c r="L21" s="240">
        <f t="shared" si="19"/>
        <v>2032</v>
      </c>
    </row>
    <row r="22" spans="1:12" x14ac:dyDescent="0.2">
      <c r="A22" s="84"/>
      <c r="B22" s="157"/>
      <c r="C22" s="192"/>
      <c r="D22" s="192"/>
      <c r="E22" s="192"/>
      <c r="F22" s="193"/>
      <c r="G22" s="193"/>
      <c r="H22" s="193"/>
      <c r="I22" s="193"/>
      <c r="J22" s="193"/>
      <c r="K22" s="193"/>
      <c r="L22" s="193"/>
    </row>
    <row r="23" spans="1:12" x14ac:dyDescent="0.2">
      <c r="B23" s="4" t="s">
        <v>137</v>
      </c>
      <c r="E23" s="8">
        <v>5.8479999999999997E-2</v>
      </c>
      <c r="F23" s="99">
        <f>E23</f>
        <v>5.8479999999999997E-2</v>
      </c>
      <c r="G23" s="99">
        <f t="shared" ref="G23:J23" si="20">F23</f>
        <v>5.8479999999999997E-2</v>
      </c>
      <c r="H23" s="99">
        <f t="shared" si="20"/>
        <v>5.8479999999999997E-2</v>
      </c>
      <c r="I23" s="99">
        <f t="shared" si="20"/>
        <v>5.8479999999999997E-2</v>
      </c>
      <c r="J23" s="99">
        <f t="shared" si="20"/>
        <v>5.8479999999999997E-2</v>
      </c>
      <c r="K23" s="99">
        <f t="shared" ref="K23:K25" si="21">J23</f>
        <v>5.8479999999999997E-2</v>
      </c>
      <c r="L23" s="99">
        <f t="shared" ref="L23:L25" si="22">K23</f>
        <v>5.8479999999999997E-2</v>
      </c>
    </row>
    <row r="24" spans="1:12" x14ac:dyDescent="0.2">
      <c r="B24" s="4" t="s">
        <v>26</v>
      </c>
      <c r="E24" s="8">
        <v>3.8100000000000002E-2</v>
      </c>
      <c r="F24" s="99">
        <f>E24</f>
        <v>3.8100000000000002E-2</v>
      </c>
      <c r="G24" s="99">
        <f t="shared" ref="G24:J24" si="23">F24</f>
        <v>3.8100000000000002E-2</v>
      </c>
      <c r="H24" s="99">
        <f t="shared" si="23"/>
        <v>3.8100000000000002E-2</v>
      </c>
      <c r="I24" s="99">
        <f t="shared" si="23"/>
        <v>3.8100000000000002E-2</v>
      </c>
      <c r="J24" s="99">
        <f t="shared" si="23"/>
        <v>3.8100000000000002E-2</v>
      </c>
      <c r="K24" s="99">
        <f t="shared" si="21"/>
        <v>3.8100000000000002E-2</v>
      </c>
      <c r="L24" s="99">
        <f t="shared" si="22"/>
        <v>3.8100000000000002E-2</v>
      </c>
    </row>
    <row r="25" spans="1:12" x14ac:dyDescent="0.2">
      <c r="B25" s="4" t="s">
        <v>27</v>
      </c>
      <c r="C25" s="8"/>
      <c r="D25" s="8"/>
      <c r="E25" s="8">
        <f>IncState!E28/SUM(BalSheet!E17:E18)</f>
        <v>3.7368389020753456E-2</v>
      </c>
      <c r="F25" s="125">
        <f>E25</f>
        <v>3.7368389020753456E-2</v>
      </c>
      <c r="G25" s="125">
        <f t="shared" ref="G25:J25" si="24">F25</f>
        <v>3.7368389020753456E-2</v>
      </c>
      <c r="H25" s="125">
        <f t="shared" si="24"/>
        <v>3.7368389020753456E-2</v>
      </c>
      <c r="I25" s="125">
        <f t="shared" si="24"/>
        <v>3.7368389020753456E-2</v>
      </c>
      <c r="J25" s="125">
        <f t="shared" si="24"/>
        <v>3.7368389020753456E-2</v>
      </c>
      <c r="K25" s="125">
        <f t="shared" si="21"/>
        <v>3.7368389020753456E-2</v>
      </c>
      <c r="L25" s="125">
        <f t="shared" si="22"/>
        <v>3.7368389020753456E-2</v>
      </c>
    </row>
    <row r="26" spans="1:12" x14ac:dyDescent="0.2">
      <c r="F26" s="102"/>
      <c r="G26" s="102"/>
      <c r="H26" s="102"/>
      <c r="I26" s="102"/>
      <c r="J26" s="102"/>
      <c r="K26" s="102"/>
      <c r="L26" s="102"/>
    </row>
    <row r="27" spans="1:12" x14ac:dyDescent="0.2">
      <c r="B27" s="4" t="s">
        <v>28</v>
      </c>
      <c r="E27" s="4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</row>
    <row r="28" spans="1:12" x14ac:dyDescent="0.2">
      <c r="B28" s="4" t="s">
        <v>29</v>
      </c>
      <c r="E28" s="4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</row>
    <row r="29" spans="1:12" x14ac:dyDescent="0.2">
      <c r="F29" s="102"/>
      <c r="G29" s="102"/>
      <c r="H29" s="102"/>
      <c r="I29" s="102"/>
      <c r="J29" s="102"/>
      <c r="K29" s="102"/>
      <c r="L29" s="102"/>
    </row>
    <row r="30" spans="1:12" x14ac:dyDescent="0.2">
      <c r="A30" s="62" t="s">
        <v>126</v>
      </c>
      <c r="B30" s="105" t="s">
        <v>141</v>
      </c>
      <c r="C30" s="240">
        <f>C21</f>
        <v>2023</v>
      </c>
      <c r="D30" s="240">
        <f t="shared" ref="D30:J30" si="25">D21</f>
        <v>2024</v>
      </c>
      <c r="E30" s="240">
        <f t="shared" si="25"/>
        <v>2025</v>
      </c>
      <c r="F30" s="240">
        <f t="shared" si="25"/>
        <v>2026</v>
      </c>
      <c r="G30" s="240">
        <f t="shared" si="25"/>
        <v>2027</v>
      </c>
      <c r="H30" s="240">
        <f t="shared" si="25"/>
        <v>2028</v>
      </c>
      <c r="I30" s="240">
        <f t="shared" si="25"/>
        <v>2029</v>
      </c>
      <c r="J30" s="240">
        <f t="shared" si="25"/>
        <v>2030</v>
      </c>
      <c r="K30" s="240">
        <f t="shared" ref="K30:L30" si="26">K21</f>
        <v>2031</v>
      </c>
      <c r="L30" s="240">
        <f t="shared" si="26"/>
        <v>2032</v>
      </c>
    </row>
    <row r="31" spans="1:12" x14ac:dyDescent="0.2">
      <c r="A31" s="84"/>
      <c r="B31" s="157"/>
      <c r="C31" s="192"/>
      <c r="D31" s="192"/>
      <c r="E31" s="192"/>
      <c r="F31" s="193"/>
      <c r="G31" s="193"/>
      <c r="H31" s="193"/>
      <c r="I31" s="193"/>
      <c r="J31" s="193"/>
      <c r="K31" s="193"/>
      <c r="L31" s="193"/>
    </row>
    <row r="32" spans="1:12" x14ac:dyDescent="0.2">
      <c r="B32" s="4" t="s">
        <v>142</v>
      </c>
      <c r="C32" s="8">
        <f>1841.3/IncState!C16</f>
        <v>5.1181424059234405E-2</v>
      </c>
      <c r="D32" s="8">
        <f>2333.6/IncState!D16</f>
        <v>6.4506483382424956E-2</v>
      </c>
      <c r="E32" s="8">
        <f>2777.5/IncState!E16</f>
        <v>7.481723990590447E-2</v>
      </c>
      <c r="F32" s="200">
        <f>E32+0.001</f>
        <v>7.5817239905904471E-2</v>
      </c>
      <c r="G32" s="200">
        <f t="shared" ref="G32:L32" si="27">F32+0.001</f>
        <v>7.6817239905904472E-2</v>
      </c>
      <c r="H32" s="200">
        <f t="shared" si="27"/>
        <v>7.7817239905904473E-2</v>
      </c>
      <c r="I32" s="200">
        <f t="shared" si="27"/>
        <v>7.8817239905904474E-2</v>
      </c>
      <c r="J32" s="200">
        <f t="shared" si="27"/>
        <v>7.9817239905904475E-2</v>
      </c>
      <c r="K32" s="200">
        <f t="shared" si="27"/>
        <v>8.0817239905904475E-2</v>
      </c>
      <c r="L32" s="200">
        <f t="shared" si="27"/>
        <v>8.1817239905904476E-2</v>
      </c>
    </row>
    <row r="33" spans="1:12" x14ac:dyDescent="0.2">
      <c r="B33" s="4" t="s">
        <v>155</v>
      </c>
      <c r="D33" s="8">
        <f>IncState!D21/BalSheet!C24</f>
        <v>9.3468074450641814E-2</v>
      </c>
      <c r="E33" s="8">
        <f>IncState!E21/BalSheet!D24</f>
        <v>9.5735994987246581E-2</v>
      </c>
      <c r="F33" s="99">
        <f>E33</f>
        <v>9.5735994987246581E-2</v>
      </c>
      <c r="G33" s="99">
        <f t="shared" ref="G33:J33" si="28">F33</f>
        <v>9.5735994987246581E-2</v>
      </c>
      <c r="H33" s="99">
        <f t="shared" si="28"/>
        <v>9.5735994987246581E-2</v>
      </c>
      <c r="I33" s="99">
        <f t="shared" si="28"/>
        <v>9.5735994987246581E-2</v>
      </c>
      <c r="J33" s="99">
        <f t="shared" si="28"/>
        <v>9.5735994987246581E-2</v>
      </c>
      <c r="K33" s="99">
        <f t="shared" ref="K33" si="29">J33</f>
        <v>9.5735994987246581E-2</v>
      </c>
      <c r="L33" s="99">
        <f t="shared" ref="L33" si="30">K33</f>
        <v>9.5735994987246581E-2</v>
      </c>
    </row>
    <row r="34" spans="1:12" x14ac:dyDescent="0.2">
      <c r="B34" s="4" t="s">
        <v>143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</row>
    <row r="35" spans="1:12" x14ac:dyDescent="0.2">
      <c r="F35" s="29"/>
      <c r="G35" s="29"/>
      <c r="H35" s="29"/>
      <c r="I35" s="29"/>
      <c r="J35" s="29"/>
      <c r="K35" s="29"/>
      <c r="L35" s="29"/>
    </row>
    <row r="36" spans="1:12" x14ac:dyDescent="0.2">
      <c r="A36" s="62" t="s">
        <v>126</v>
      </c>
      <c r="B36" s="105" t="s">
        <v>61</v>
      </c>
      <c r="C36" s="240">
        <f>C30</f>
        <v>2023</v>
      </c>
      <c r="D36" s="240">
        <f t="shared" ref="D36:J36" si="31">D30</f>
        <v>2024</v>
      </c>
      <c r="E36" s="240">
        <f t="shared" si="31"/>
        <v>2025</v>
      </c>
      <c r="F36" s="240">
        <f t="shared" si="31"/>
        <v>2026</v>
      </c>
      <c r="G36" s="240">
        <f t="shared" si="31"/>
        <v>2027</v>
      </c>
      <c r="H36" s="240">
        <f t="shared" si="31"/>
        <v>2028</v>
      </c>
      <c r="I36" s="240">
        <f t="shared" si="31"/>
        <v>2029</v>
      </c>
      <c r="J36" s="240">
        <f t="shared" si="31"/>
        <v>2030</v>
      </c>
      <c r="K36" s="240">
        <f t="shared" ref="K36:L36" si="32">K30</f>
        <v>2031</v>
      </c>
      <c r="L36" s="240">
        <f t="shared" si="32"/>
        <v>2032</v>
      </c>
    </row>
    <row r="37" spans="1:12" x14ac:dyDescent="0.2">
      <c r="A37" s="84"/>
      <c r="B37" s="157"/>
      <c r="C37" s="192"/>
      <c r="D37" s="192"/>
      <c r="E37" s="192"/>
      <c r="F37" s="238"/>
      <c r="G37" s="238"/>
      <c r="H37" s="238"/>
      <c r="I37" s="238"/>
      <c r="J37" s="238"/>
      <c r="K37" s="238"/>
      <c r="L37" s="238"/>
    </row>
    <row r="38" spans="1:12" s="243" customFormat="1" x14ac:dyDescent="0.2">
      <c r="B38" s="243" t="str">
        <f>B17</f>
        <v>Dividend Payout Rate</v>
      </c>
      <c r="C38" s="243">
        <f>C17</f>
        <v>1.9621954391745426</v>
      </c>
      <c r="D38" s="243">
        <f t="shared" ref="D38:E38" si="33">D17</f>
        <v>2.1198116498081618</v>
      </c>
      <c r="E38" s="243">
        <f t="shared" si="33"/>
        <v>2.2799435526547893</v>
      </c>
      <c r="F38" s="244">
        <f>F17</f>
        <v>2.4400754555014168</v>
      </c>
      <c r="G38" s="244">
        <f t="shared" ref="G38:J38" si="34">G17</f>
        <v>2.6002073583480443</v>
      </c>
      <c r="H38" s="244">
        <f t="shared" si="34"/>
        <v>2.7603392611946718</v>
      </c>
      <c r="I38" s="244">
        <f t="shared" si="34"/>
        <v>2.9204711640412993</v>
      </c>
      <c r="J38" s="244">
        <f t="shared" si="34"/>
        <v>3.0806030668879267</v>
      </c>
      <c r="K38" s="244">
        <f t="shared" ref="K38:L38" si="35">K17</f>
        <v>3.2407349697345542</v>
      </c>
      <c r="L38" s="244">
        <f t="shared" si="35"/>
        <v>3.4008668725811817</v>
      </c>
    </row>
    <row r="39" spans="1:12" x14ac:dyDescent="0.2">
      <c r="B39" s="4" t="s">
        <v>49</v>
      </c>
      <c r="C39" s="4">
        <f>C18</f>
        <v>1153.3</v>
      </c>
      <c r="D39" s="4">
        <f t="shared" ref="D39:E39" si="36">D18</f>
        <v>1146.8</v>
      </c>
      <c r="E39" s="4">
        <f t="shared" si="36"/>
        <v>1133.8</v>
      </c>
      <c r="F39" s="100">
        <f>F18</f>
        <v>1133.8</v>
      </c>
      <c r="G39" s="100">
        <f t="shared" ref="G39:J40" si="37">G18</f>
        <v>1133.8</v>
      </c>
      <c r="H39" s="100">
        <f t="shared" si="37"/>
        <v>1133.8</v>
      </c>
      <c r="I39" s="100">
        <f t="shared" si="37"/>
        <v>1133.8</v>
      </c>
      <c r="J39" s="100">
        <f t="shared" si="37"/>
        <v>1133.8</v>
      </c>
      <c r="K39" s="100">
        <f t="shared" ref="K39:L39" si="38">K18</f>
        <v>1133.8</v>
      </c>
      <c r="L39" s="100">
        <f t="shared" si="38"/>
        <v>1133.8</v>
      </c>
    </row>
    <row r="40" spans="1:12" x14ac:dyDescent="0.2">
      <c r="B40" s="4" t="s">
        <v>50</v>
      </c>
      <c r="C40" s="4">
        <f t="shared" ref="C40:E40" si="39">C19</f>
        <v>1158.5</v>
      </c>
      <c r="D40" s="4">
        <f t="shared" si="39"/>
        <v>1151.3</v>
      </c>
      <c r="E40" s="4">
        <f t="shared" si="39"/>
        <v>1137.3</v>
      </c>
      <c r="F40" s="100">
        <f>F19</f>
        <v>1137.3</v>
      </c>
      <c r="G40" s="100">
        <f t="shared" si="37"/>
        <v>1137.3</v>
      </c>
      <c r="H40" s="100">
        <f t="shared" si="37"/>
        <v>1137.3</v>
      </c>
      <c r="I40" s="100">
        <f t="shared" si="37"/>
        <v>1137.3</v>
      </c>
      <c r="J40" s="100">
        <f t="shared" si="37"/>
        <v>1137.3</v>
      </c>
      <c r="K40" s="100">
        <f t="shared" ref="K40:L40" si="40">K19</f>
        <v>1137.3</v>
      </c>
      <c r="L40" s="100">
        <f t="shared" si="40"/>
        <v>1137.3</v>
      </c>
    </row>
    <row r="41" spans="1:12" x14ac:dyDescent="0.2">
      <c r="F41" s="29"/>
      <c r="G41" s="29"/>
      <c r="H41" s="29"/>
      <c r="I41" s="29"/>
      <c r="J41" s="29"/>
      <c r="K41" s="29"/>
      <c r="L41" s="29"/>
    </row>
    <row r="42" spans="1:12" x14ac:dyDescent="0.2">
      <c r="A42" s="62" t="s">
        <v>126</v>
      </c>
      <c r="B42" s="105" t="s">
        <v>130</v>
      </c>
      <c r="C42" s="240">
        <f>C36</f>
        <v>2023</v>
      </c>
      <c r="D42" s="240">
        <f t="shared" ref="D42:J42" si="41">D36</f>
        <v>2024</v>
      </c>
      <c r="E42" s="240">
        <f t="shared" si="41"/>
        <v>2025</v>
      </c>
      <c r="F42" s="240">
        <f t="shared" si="41"/>
        <v>2026</v>
      </c>
      <c r="G42" s="240">
        <f t="shared" si="41"/>
        <v>2027</v>
      </c>
      <c r="H42" s="240">
        <f t="shared" si="41"/>
        <v>2028</v>
      </c>
      <c r="I42" s="240">
        <f t="shared" si="41"/>
        <v>2029</v>
      </c>
      <c r="J42" s="240">
        <f t="shared" si="41"/>
        <v>2030</v>
      </c>
      <c r="K42" s="240">
        <f t="shared" ref="K42:L42" si="42">K36</f>
        <v>2031</v>
      </c>
      <c r="L42" s="240">
        <f t="shared" si="42"/>
        <v>2032</v>
      </c>
    </row>
    <row r="43" spans="1:12" x14ac:dyDescent="0.2">
      <c r="A43" s="84"/>
      <c r="B43" s="157"/>
      <c r="C43" s="192"/>
      <c r="D43" s="192"/>
      <c r="E43" s="192"/>
      <c r="F43" s="238"/>
      <c r="G43" s="238"/>
      <c r="H43" s="238"/>
      <c r="I43" s="238"/>
      <c r="J43" s="238"/>
      <c r="K43" s="238"/>
      <c r="L43" s="238"/>
    </row>
    <row r="44" spans="1:12" x14ac:dyDescent="0.2">
      <c r="B44" s="4" t="s">
        <v>140</v>
      </c>
      <c r="C44" s="8">
        <f>BalSheet!C17/IncState!C16</f>
        <v>0.02</v>
      </c>
      <c r="D44" s="8">
        <f>BalSheet!D17/IncState!D16</f>
        <v>0.02</v>
      </c>
      <c r="E44" s="8">
        <f>BalSheet!E17/IncState!E16</f>
        <v>0.02</v>
      </c>
      <c r="F44" s="99">
        <f>E44</f>
        <v>0.02</v>
      </c>
      <c r="G44" s="99">
        <f t="shared" ref="G44:J44" si="43">F44</f>
        <v>0.02</v>
      </c>
      <c r="H44" s="99">
        <f t="shared" si="43"/>
        <v>0.02</v>
      </c>
      <c r="I44" s="99">
        <f t="shared" si="43"/>
        <v>0.02</v>
      </c>
      <c r="J44" s="99">
        <f t="shared" si="43"/>
        <v>0.02</v>
      </c>
      <c r="K44" s="99">
        <f t="shared" ref="K44:K47" si="44">J44</f>
        <v>0.02</v>
      </c>
      <c r="L44" s="99">
        <f t="shared" ref="L44:L47" si="45">K44</f>
        <v>0.02</v>
      </c>
    </row>
    <row r="45" spans="1:12" x14ac:dyDescent="0.2">
      <c r="B45" s="4" t="s">
        <v>153</v>
      </c>
      <c r="C45" s="8">
        <f>BalSheet!C19/IncState!C16</f>
        <v>3.2674612492059982E-2</v>
      </c>
      <c r="D45" s="8">
        <f>BalSheet!D19/IncState!D16</f>
        <v>3.2731456536308448E-2</v>
      </c>
      <c r="E45" s="8">
        <f>BalSheet!E19/IncState!E16</f>
        <v>3.2696009288132079E-2</v>
      </c>
      <c r="F45" s="99">
        <f>E45</f>
        <v>3.2696009288132079E-2</v>
      </c>
      <c r="G45" s="99">
        <f t="shared" ref="G45:J45" si="46">F45</f>
        <v>3.2696009288132079E-2</v>
      </c>
      <c r="H45" s="99">
        <f t="shared" si="46"/>
        <v>3.2696009288132079E-2</v>
      </c>
      <c r="I45" s="99">
        <f t="shared" si="46"/>
        <v>3.2696009288132079E-2</v>
      </c>
      <c r="J45" s="99">
        <f t="shared" si="46"/>
        <v>3.2696009288132079E-2</v>
      </c>
      <c r="K45" s="99">
        <f t="shared" si="44"/>
        <v>3.2696009288132079E-2</v>
      </c>
      <c r="L45" s="99">
        <f t="shared" si="45"/>
        <v>3.2696009288132079E-2</v>
      </c>
    </row>
    <row r="46" spans="1:12" x14ac:dyDescent="0.2">
      <c r="B46" s="4" t="s">
        <v>65</v>
      </c>
      <c r="C46" s="8">
        <f>BalSheet!C20/IncState!C17</f>
        <v>0.19077586509132982</v>
      </c>
      <c r="D46" s="8">
        <f>BalSheet!D20/IncState!D17</f>
        <v>0.16013474580027481</v>
      </c>
      <c r="E46" s="8">
        <f>BalSheet!E20/IncState!E17</f>
        <v>0.15245063560412414</v>
      </c>
      <c r="F46" s="99">
        <f t="shared" ref="F46:J46" si="47">E46</f>
        <v>0.15245063560412414</v>
      </c>
      <c r="G46" s="99">
        <f t="shared" si="47"/>
        <v>0.15245063560412414</v>
      </c>
      <c r="H46" s="99">
        <f t="shared" si="47"/>
        <v>0.15245063560412414</v>
      </c>
      <c r="I46" s="99">
        <f t="shared" si="47"/>
        <v>0.15245063560412414</v>
      </c>
      <c r="J46" s="99">
        <f t="shared" si="47"/>
        <v>0.15245063560412414</v>
      </c>
      <c r="K46" s="99">
        <f t="shared" si="44"/>
        <v>0.15245063560412414</v>
      </c>
      <c r="L46" s="99">
        <f t="shared" si="45"/>
        <v>0.15245063560412414</v>
      </c>
    </row>
    <row r="47" spans="1:12" x14ac:dyDescent="0.2">
      <c r="B47" s="4" t="s">
        <v>66</v>
      </c>
      <c r="C47" s="8">
        <f>BalSheet!C21/IncState!C16</f>
        <v>2.357686628308403E-2</v>
      </c>
      <c r="D47" s="8">
        <f>BalSheet!D21/IncState!D16</f>
        <v>2.1046981679541638E-2</v>
      </c>
      <c r="E47" s="8">
        <f>BalSheet!E21/IncState!E16</f>
        <v>1.535672672200041E-2</v>
      </c>
      <c r="F47" s="99">
        <f t="shared" ref="F47:J47" si="48">E47</f>
        <v>1.535672672200041E-2</v>
      </c>
      <c r="G47" s="99">
        <f t="shared" si="48"/>
        <v>1.535672672200041E-2</v>
      </c>
      <c r="H47" s="99">
        <f t="shared" si="48"/>
        <v>1.535672672200041E-2</v>
      </c>
      <c r="I47" s="99">
        <f t="shared" si="48"/>
        <v>1.535672672200041E-2</v>
      </c>
      <c r="J47" s="99">
        <f t="shared" si="48"/>
        <v>1.535672672200041E-2</v>
      </c>
      <c r="K47" s="99">
        <f t="shared" si="44"/>
        <v>1.535672672200041E-2</v>
      </c>
      <c r="L47" s="99">
        <f t="shared" si="45"/>
        <v>1.535672672200041E-2</v>
      </c>
    </row>
    <row r="48" spans="1:12" x14ac:dyDescent="0.2">
      <c r="E48" s="8"/>
      <c r="F48" s="102"/>
      <c r="G48" s="102"/>
      <c r="H48" s="102"/>
      <c r="I48" s="102"/>
      <c r="J48" s="102"/>
      <c r="K48" s="102"/>
      <c r="L48" s="102"/>
    </row>
    <row r="49" spans="1:12" x14ac:dyDescent="0.2">
      <c r="B49" s="4" t="s">
        <v>176</v>
      </c>
      <c r="C49" s="4">
        <f>BalSheet!C26</f>
        <v>590.29999999999995</v>
      </c>
      <c r="D49" s="4">
        <f>BalSheet!D26</f>
        <v>687.3</v>
      </c>
      <c r="E49" s="4">
        <f>BalSheet!E26</f>
        <v>739.9</v>
      </c>
      <c r="F49" s="100">
        <f>E49</f>
        <v>739.9</v>
      </c>
      <c r="G49" s="100">
        <f t="shared" ref="G49:J49" si="49">F49</f>
        <v>739.9</v>
      </c>
      <c r="H49" s="100">
        <f t="shared" si="49"/>
        <v>739.9</v>
      </c>
      <c r="I49" s="100">
        <f t="shared" si="49"/>
        <v>739.9</v>
      </c>
      <c r="J49" s="100">
        <f t="shared" si="49"/>
        <v>739.9</v>
      </c>
      <c r="K49" s="100">
        <f t="shared" ref="K49:K50" si="50">J49</f>
        <v>739.9</v>
      </c>
      <c r="L49" s="100">
        <f t="shared" ref="L49:L50" si="51">K49</f>
        <v>739.9</v>
      </c>
    </row>
    <row r="50" spans="1:12" x14ac:dyDescent="0.2">
      <c r="B50" s="4" t="s">
        <v>67</v>
      </c>
      <c r="C50" s="8">
        <f>BalSheet!C27/IncState!C16</f>
        <v>6.542983440668651E-2</v>
      </c>
      <c r="D50" s="8">
        <f>BalSheet!D27/IncState!D16</f>
        <v>6.4028268537329E-2</v>
      </c>
      <c r="E50" s="8">
        <f>BalSheet!E27/IncState!E16</f>
        <v>6.4209488663799996E-2</v>
      </c>
      <c r="F50" s="99">
        <f>E50</f>
        <v>6.4209488663799996E-2</v>
      </c>
      <c r="G50" s="99">
        <f t="shared" ref="G50:J50" si="52">F50</f>
        <v>6.4209488663799996E-2</v>
      </c>
      <c r="H50" s="99">
        <f t="shared" si="52"/>
        <v>6.4209488663799996E-2</v>
      </c>
      <c r="I50" s="99">
        <f t="shared" si="52"/>
        <v>6.4209488663799996E-2</v>
      </c>
      <c r="J50" s="99">
        <f t="shared" si="52"/>
        <v>6.4209488663799996E-2</v>
      </c>
      <c r="K50" s="99">
        <f t="shared" si="50"/>
        <v>6.4209488663799996E-2</v>
      </c>
      <c r="L50" s="99">
        <f t="shared" si="51"/>
        <v>6.4209488663799996E-2</v>
      </c>
    </row>
    <row r="51" spans="1:12" x14ac:dyDescent="0.2">
      <c r="F51" s="29"/>
      <c r="G51" s="29"/>
      <c r="H51" s="29"/>
      <c r="I51" s="29"/>
      <c r="J51" s="29"/>
      <c r="K51" s="29"/>
      <c r="L51" s="29"/>
    </row>
    <row r="52" spans="1:12" x14ac:dyDescent="0.2">
      <c r="A52" s="62" t="s">
        <v>126</v>
      </c>
      <c r="B52" s="105" t="s">
        <v>131</v>
      </c>
      <c r="C52" s="240">
        <f>C42</f>
        <v>2023</v>
      </c>
      <c r="D52" s="240">
        <f t="shared" ref="D52:J52" si="53">D42</f>
        <v>2024</v>
      </c>
      <c r="E52" s="240">
        <f t="shared" si="53"/>
        <v>2025</v>
      </c>
      <c r="F52" s="240">
        <f t="shared" si="53"/>
        <v>2026</v>
      </c>
      <c r="G52" s="240">
        <f t="shared" si="53"/>
        <v>2027</v>
      </c>
      <c r="H52" s="240">
        <f t="shared" si="53"/>
        <v>2028</v>
      </c>
      <c r="I52" s="240">
        <f t="shared" si="53"/>
        <v>2029</v>
      </c>
      <c r="J52" s="240">
        <f t="shared" si="53"/>
        <v>2030</v>
      </c>
      <c r="K52" s="240">
        <f t="shared" ref="K52:L52" si="54">K42</f>
        <v>2031</v>
      </c>
      <c r="L52" s="240">
        <f t="shared" si="54"/>
        <v>2032</v>
      </c>
    </row>
    <row r="53" spans="1:12" x14ac:dyDescent="0.2">
      <c r="A53" s="84"/>
      <c r="B53" s="157"/>
      <c r="C53" s="192"/>
      <c r="D53" s="192"/>
      <c r="E53" s="192"/>
      <c r="F53" s="238"/>
      <c r="G53" s="238"/>
      <c r="H53" s="238"/>
      <c r="I53" s="238"/>
      <c r="J53" s="238"/>
      <c r="K53" s="238"/>
      <c r="L53" s="238"/>
    </row>
    <row r="54" spans="1:12" x14ac:dyDescent="0.2">
      <c r="B54" s="4" t="s">
        <v>154</v>
      </c>
      <c r="C54" s="8">
        <f>BalSheet!C33/IncState!C17</f>
        <v>0.38041229884654493</v>
      </c>
      <c r="D54" s="8">
        <f>BalSheet!D33/IncState!D17</f>
        <v>0.40048756704046806</v>
      </c>
      <c r="E54" s="8">
        <f>BalSheet!E33/IncState!E17</f>
        <v>0.3925820452556999</v>
      </c>
      <c r="F54" s="99">
        <f t="shared" ref="F54:J54" si="55">E54</f>
        <v>0.3925820452556999</v>
      </c>
      <c r="G54" s="99">
        <f t="shared" si="55"/>
        <v>0.3925820452556999</v>
      </c>
      <c r="H54" s="99">
        <f t="shared" si="55"/>
        <v>0.3925820452556999</v>
      </c>
      <c r="I54" s="99">
        <f t="shared" si="55"/>
        <v>0.3925820452556999</v>
      </c>
      <c r="J54" s="99">
        <f t="shared" si="55"/>
        <v>0.3925820452556999</v>
      </c>
      <c r="K54" s="99">
        <f t="shared" ref="K54:K56" si="56">J54</f>
        <v>0.3925820452556999</v>
      </c>
      <c r="L54" s="99">
        <f t="shared" ref="L54:L56" si="57">K54</f>
        <v>0.3925820452556999</v>
      </c>
    </row>
    <row r="55" spans="1:12" x14ac:dyDescent="0.2">
      <c r="B55" s="4" t="s">
        <v>68</v>
      </c>
      <c r="C55" s="8">
        <f>BalSheet!C34/IncState!C16</f>
        <v>8.0264747794191751E-2</v>
      </c>
      <c r="D55" s="8">
        <f>BalSheet!D34/IncState!D16</f>
        <v>8.3176212074784331E-2</v>
      </c>
      <c r="E55" s="8">
        <f>BalSheet!E34/IncState!E16</f>
        <v>8.7391384852106527E-2</v>
      </c>
      <c r="F55" s="99">
        <f t="shared" ref="F55:J55" si="58">E55</f>
        <v>8.7391384852106527E-2</v>
      </c>
      <c r="G55" s="99">
        <f t="shared" si="58"/>
        <v>8.7391384852106527E-2</v>
      </c>
      <c r="H55" s="99">
        <f t="shared" si="58"/>
        <v>8.7391384852106527E-2</v>
      </c>
      <c r="I55" s="99">
        <f t="shared" si="58"/>
        <v>8.7391384852106527E-2</v>
      </c>
      <c r="J55" s="99">
        <f t="shared" si="58"/>
        <v>8.7391384852106527E-2</v>
      </c>
      <c r="K55" s="99">
        <f t="shared" si="56"/>
        <v>8.7391384852106527E-2</v>
      </c>
      <c r="L55" s="99">
        <f t="shared" si="57"/>
        <v>8.7391384852106527E-2</v>
      </c>
    </row>
    <row r="56" spans="1:12" x14ac:dyDescent="0.2">
      <c r="B56" s="4" t="s">
        <v>69</v>
      </c>
      <c r="C56" s="8">
        <f>BalSheet!C38/IncState!C16</f>
        <v>0.40041757787590032</v>
      </c>
      <c r="D56" s="8">
        <f>BalSheet!D38/IncState!D16</f>
        <v>0.40193266668401262</v>
      </c>
      <c r="E56" s="8">
        <f>BalSheet!E38/IncState!E16</f>
        <v>0.41459660352393812</v>
      </c>
      <c r="F56" s="99">
        <f t="shared" ref="F56:J56" si="59">E56</f>
        <v>0.41459660352393812</v>
      </c>
      <c r="G56" s="99">
        <f t="shared" si="59"/>
        <v>0.41459660352393812</v>
      </c>
      <c r="H56" s="99">
        <f t="shared" si="59"/>
        <v>0.41459660352393812</v>
      </c>
      <c r="I56" s="99">
        <f t="shared" si="59"/>
        <v>0.41459660352393812</v>
      </c>
      <c r="J56" s="99">
        <f t="shared" si="59"/>
        <v>0.41459660352393812</v>
      </c>
      <c r="K56" s="99">
        <f t="shared" si="56"/>
        <v>0.41459660352393812</v>
      </c>
      <c r="L56" s="99">
        <f t="shared" si="57"/>
        <v>0.41459660352393812</v>
      </c>
    </row>
    <row r="57" spans="1:12" x14ac:dyDescent="0.2">
      <c r="F57" s="120"/>
      <c r="G57" s="29"/>
      <c r="H57" s="29"/>
      <c r="I57" s="29"/>
      <c r="J57" s="29"/>
      <c r="K57" s="29"/>
      <c r="L57" s="29"/>
    </row>
    <row r="58" spans="1:12" x14ac:dyDescent="0.2">
      <c r="F58" s="121"/>
      <c r="G58" s="93"/>
      <c r="H58" s="93"/>
      <c r="I58" s="93"/>
      <c r="J58" s="93"/>
      <c r="K58" s="93"/>
      <c r="L58" s="93"/>
    </row>
    <row r="59" spans="1:12" x14ac:dyDescent="0.2">
      <c r="F59" s="93"/>
      <c r="G59" s="93"/>
      <c r="H59" s="93"/>
      <c r="I59" s="93"/>
      <c r="J59" s="93"/>
      <c r="K59" s="93"/>
      <c r="L59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L8 N7:T7 D7:D8 M9:N11 F11:L20 F22:L29 F31:L34 F38:L40 F44:L50 F54:L56 F58:L59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topLeftCell="A2" zoomScaleNormal="100" workbookViewId="0">
      <selection activeCell="F26" sqref="F6:L26"/>
    </sheetView>
  </sheetViews>
  <sheetFormatPr baseColWidth="10" defaultColWidth="8.83203125" defaultRowHeight="15" x14ac:dyDescent="0.2"/>
  <cols>
    <col min="1" max="1" width="1.6640625" style="11" customWidth="1"/>
    <col min="2" max="2" width="40.6640625" style="4" customWidth="1"/>
    <col min="3" max="8" width="11.6640625" style="4" customWidth="1"/>
    <col min="9" max="12" width="11.6640625" style="6" customWidth="1"/>
    <col min="13" max="253" width="8.83203125" style="4"/>
    <col min="254" max="254" width="1.6640625" style="4" customWidth="1"/>
    <col min="255" max="255" width="40.6640625" style="4" customWidth="1"/>
    <col min="256" max="263" width="10.6640625" style="4" customWidth="1"/>
    <col min="264" max="509" width="8.83203125" style="4"/>
    <col min="510" max="510" width="1.6640625" style="4" customWidth="1"/>
    <col min="511" max="511" width="40.6640625" style="4" customWidth="1"/>
    <col min="512" max="519" width="10.6640625" style="4" customWidth="1"/>
    <col min="520" max="765" width="8.83203125" style="4"/>
    <col min="766" max="766" width="1.6640625" style="4" customWidth="1"/>
    <col min="767" max="767" width="40.6640625" style="4" customWidth="1"/>
    <col min="768" max="775" width="10.6640625" style="4" customWidth="1"/>
    <col min="776" max="1021" width="8.83203125" style="4"/>
    <col min="1022" max="1022" width="1.6640625" style="4" customWidth="1"/>
    <col min="1023" max="1023" width="40.6640625" style="4" customWidth="1"/>
    <col min="1024" max="1031" width="10.6640625" style="4" customWidth="1"/>
    <col min="1032" max="1277" width="8.83203125" style="4"/>
    <col min="1278" max="1278" width="1.6640625" style="4" customWidth="1"/>
    <col min="1279" max="1279" width="40.6640625" style="4" customWidth="1"/>
    <col min="1280" max="1287" width="10.6640625" style="4" customWidth="1"/>
    <col min="1288" max="1533" width="8.83203125" style="4"/>
    <col min="1534" max="1534" width="1.6640625" style="4" customWidth="1"/>
    <col min="1535" max="1535" width="40.6640625" style="4" customWidth="1"/>
    <col min="1536" max="1543" width="10.6640625" style="4" customWidth="1"/>
    <col min="1544" max="1789" width="8.83203125" style="4"/>
    <col min="1790" max="1790" width="1.6640625" style="4" customWidth="1"/>
    <col min="1791" max="1791" width="40.6640625" style="4" customWidth="1"/>
    <col min="1792" max="1799" width="10.6640625" style="4" customWidth="1"/>
    <col min="1800" max="2045" width="8.83203125" style="4"/>
    <col min="2046" max="2046" width="1.6640625" style="4" customWidth="1"/>
    <col min="2047" max="2047" width="40.6640625" style="4" customWidth="1"/>
    <col min="2048" max="2055" width="10.6640625" style="4" customWidth="1"/>
    <col min="2056" max="2301" width="8.83203125" style="4"/>
    <col min="2302" max="2302" width="1.6640625" style="4" customWidth="1"/>
    <col min="2303" max="2303" width="40.6640625" style="4" customWidth="1"/>
    <col min="2304" max="2311" width="10.6640625" style="4" customWidth="1"/>
    <col min="2312" max="2557" width="8.83203125" style="4"/>
    <col min="2558" max="2558" width="1.6640625" style="4" customWidth="1"/>
    <col min="2559" max="2559" width="40.6640625" style="4" customWidth="1"/>
    <col min="2560" max="2567" width="10.6640625" style="4" customWidth="1"/>
    <col min="2568" max="2813" width="8.83203125" style="4"/>
    <col min="2814" max="2814" width="1.6640625" style="4" customWidth="1"/>
    <col min="2815" max="2815" width="40.6640625" style="4" customWidth="1"/>
    <col min="2816" max="2823" width="10.6640625" style="4" customWidth="1"/>
    <col min="2824" max="3069" width="8.83203125" style="4"/>
    <col min="3070" max="3070" width="1.6640625" style="4" customWidth="1"/>
    <col min="3071" max="3071" width="40.6640625" style="4" customWidth="1"/>
    <col min="3072" max="3079" width="10.6640625" style="4" customWidth="1"/>
    <col min="3080" max="3325" width="8.83203125" style="4"/>
    <col min="3326" max="3326" width="1.6640625" style="4" customWidth="1"/>
    <col min="3327" max="3327" width="40.6640625" style="4" customWidth="1"/>
    <col min="3328" max="3335" width="10.6640625" style="4" customWidth="1"/>
    <col min="3336" max="3581" width="8.83203125" style="4"/>
    <col min="3582" max="3582" width="1.6640625" style="4" customWidth="1"/>
    <col min="3583" max="3583" width="40.6640625" style="4" customWidth="1"/>
    <col min="3584" max="3591" width="10.6640625" style="4" customWidth="1"/>
    <col min="3592" max="3837" width="8.83203125" style="4"/>
    <col min="3838" max="3838" width="1.6640625" style="4" customWidth="1"/>
    <col min="3839" max="3839" width="40.6640625" style="4" customWidth="1"/>
    <col min="3840" max="3847" width="10.6640625" style="4" customWidth="1"/>
    <col min="3848" max="4093" width="8.83203125" style="4"/>
    <col min="4094" max="4094" width="1.6640625" style="4" customWidth="1"/>
    <col min="4095" max="4095" width="40.6640625" style="4" customWidth="1"/>
    <col min="4096" max="4103" width="10.6640625" style="4" customWidth="1"/>
    <col min="4104" max="4349" width="8.83203125" style="4"/>
    <col min="4350" max="4350" width="1.6640625" style="4" customWidth="1"/>
    <col min="4351" max="4351" width="40.6640625" style="4" customWidth="1"/>
    <col min="4352" max="4359" width="10.6640625" style="4" customWidth="1"/>
    <col min="4360" max="4605" width="8.83203125" style="4"/>
    <col min="4606" max="4606" width="1.6640625" style="4" customWidth="1"/>
    <col min="4607" max="4607" width="40.6640625" style="4" customWidth="1"/>
    <col min="4608" max="4615" width="10.6640625" style="4" customWidth="1"/>
    <col min="4616" max="4861" width="8.83203125" style="4"/>
    <col min="4862" max="4862" width="1.6640625" style="4" customWidth="1"/>
    <col min="4863" max="4863" width="40.6640625" style="4" customWidth="1"/>
    <col min="4864" max="4871" width="10.6640625" style="4" customWidth="1"/>
    <col min="4872" max="5117" width="8.83203125" style="4"/>
    <col min="5118" max="5118" width="1.6640625" style="4" customWidth="1"/>
    <col min="5119" max="5119" width="40.6640625" style="4" customWidth="1"/>
    <col min="5120" max="5127" width="10.6640625" style="4" customWidth="1"/>
    <col min="5128" max="5373" width="8.83203125" style="4"/>
    <col min="5374" max="5374" width="1.6640625" style="4" customWidth="1"/>
    <col min="5375" max="5375" width="40.6640625" style="4" customWidth="1"/>
    <col min="5376" max="5383" width="10.6640625" style="4" customWidth="1"/>
    <col min="5384" max="5629" width="8.83203125" style="4"/>
    <col min="5630" max="5630" width="1.6640625" style="4" customWidth="1"/>
    <col min="5631" max="5631" width="40.6640625" style="4" customWidth="1"/>
    <col min="5632" max="5639" width="10.6640625" style="4" customWidth="1"/>
    <col min="5640" max="5885" width="8.83203125" style="4"/>
    <col min="5886" max="5886" width="1.6640625" style="4" customWidth="1"/>
    <col min="5887" max="5887" width="40.6640625" style="4" customWidth="1"/>
    <col min="5888" max="5895" width="10.6640625" style="4" customWidth="1"/>
    <col min="5896" max="6141" width="8.83203125" style="4"/>
    <col min="6142" max="6142" width="1.6640625" style="4" customWidth="1"/>
    <col min="6143" max="6143" width="40.6640625" style="4" customWidth="1"/>
    <col min="6144" max="6151" width="10.6640625" style="4" customWidth="1"/>
    <col min="6152" max="6397" width="8.83203125" style="4"/>
    <col min="6398" max="6398" width="1.6640625" style="4" customWidth="1"/>
    <col min="6399" max="6399" width="40.6640625" style="4" customWidth="1"/>
    <col min="6400" max="6407" width="10.6640625" style="4" customWidth="1"/>
    <col min="6408" max="6653" width="8.83203125" style="4"/>
    <col min="6654" max="6654" width="1.6640625" style="4" customWidth="1"/>
    <col min="6655" max="6655" width="40.6640625" style="4" customWidth="1"/>
    <col min="6656" max="6663" width="10.6640625" style="4" customWidth="1"/>
    <col min="6664" max="6909" width="8.83203125" style="4"/>
    <col min="6910" max="6910" width="1.6640625" style="4" customWidth="1"/>
    <col min="6911" max="6911" width="40.6640625" style="4" customWidth="1"/>
    <col min="6912" max="6919" width="10.6640625" style="4" customWidth="1"/>
    <col min="6920" max="7165" width="8.83203125" style="4"/>
    <col min="7166" max="7166" width="1.6640625" style="4" customWidth="1"/>
    <col min="7167" max="7167" width="40.6640625" style="4" customWidth="1"/>
    <col min="7168" max="7175" width="10.6640625" style="4" customWidth="1"/>
    <col min="7176" max="7421" width="8.83203125" style="4"/>
    <col min="7422" max="7422" width="1.6640625" style="4" customWidth="1"/>
    <col min="7423" max="7423" width="40.6640625" style="4" customWidth="1"/>
    <col min="7424" max="7431" width="10.6640625" style="4" customWidth="1"/>
    <col min="7432" max="7677" width="8.83203125" style="4"/>
    <col min="7678" max="7678" width="1.6640625" style="4" customWidth="1"/>
    <col min="7679" max="7679" width="40.6640625" style="4" customWidth="1"/>
    <col min="7680" max="7687" width="10.6640625" style="4" customWidth="1"/>
    <col min="7688" max="7933" width="8.83203125" style="4"/>
    <col min="7934" max="7934" width="1.6640625" style="4" customWidth="1"/>
    <col min="7935" max="7935" width="40.6640625" style="4" customWidth="1"/>
    <col min="7936" max="7943" width="10.6640625" style="4" customWidth="1"/>
    <col min="7944" max="8189" width="8.83203125" style="4"/>
    <col min="8190" max="8190" width="1.6640625" style="4" customWidth="1"/>
    <col min="8191" max="8191" width="40.6640625" style="4" customWidth="1"/>
    <col min="8192" max="8199" width="10.6640625" style="4" customWidth="1"/>
    <col min="8200" max="8445" width="8.83203125" style="4"/>
    <col min="8446" max="8446" width="1.6640625" style="4" customWidth="1"/>
    <col min="8447" max="8447" width="40.6640625" style="4" customWidth="1"/>
    <col min="8448" max="8455" width="10.6640625" style="4" customWidth="1"/>
    <col min="8456" max="8701" width="8.83203125" style="4"/>
    <col min="8702" max="8702" width="1.6640625" style="4" customWidth="1"/>
    <col min="8703" max="8703" width="40.6640625" style="4" customWidth="1"/>
    <col min="8704" max="8711" width="10.6640625" style="4" customWidth="1"/>
    <col min="8712" max="8957" width="8.83203125" style="4"/>
    <col min="8958" max="8958" width="1.6640625" style="4" customWidth="1"/>
    <col min="8959" max="8959" width="40.6640625" style="4" customWidth="1"/>
    <col min="8960" max="8967" width="10.6640625" style="4" customWidth="1"/>
    <col min="8968" max="9213" width="8.83203125" style="4"/>
    <col min="9214" max="9214" width="1.6640625" style="4" customWidth="1"/>
    <col min="9215" max="9215" width="40.6640625" style="4" customWidth="1"/>
    <col min="9216" max="9223" width="10.6640625" style="4" customWidth="1"/>
    <col min="9224" max="9469" width="8.83203125" style="4"/>
    <col min="9470" max="9470" width="1.6640625" style="4" customWidth="1"/>
    <col min="9471" max="9471" width="40.6640625" style="4" customWidth="1"/>
    <col min="9472" max="9479" width="10.6640625" style="4" customWidth="1"/>
    <col min="9480" max="9725" width="8.83203125" style="4"/>
    <col min="9726" max="9726" width="1.6640625" style="4" customWidth="1"/>
    <col min="9727" max="9727" width="40.6640625" style="4" customWidth="1"/>
    <col min="9728" max="9735" width="10.6640625" style="4" customWidth="1"/>
    <col min="9736" max="9981" width="8.83203125" style="4"/>
    <col min="9982" max="9982" width="1.6640625" style="4" customWidth="1"/>
    <col min="9983" max="9983" width="40.6640625" style="4" customWidth="1"/>
    <col min="9984" max="9991" width="10.6640625" style="4" customWidth="1"/>
    <col min="9992" max="10237" width="8.83203125" style="4"/>
    <col min="10238" max="10238" width="1.6640625" style="4" customWidth="1"/>
    <col min="10239" max="10239" width="40.6640625" style="4" customWidth="1"/>
    <col min="10240" max="10247" width="10.6640625" style="4" customWidth="1"/>
    <col min="10248" max="10493" width="8.83203125" style="4"/>
    <col min="10494" max="10494" width="1.6640625" style="4" customWidth="1"/>
    <col min="10495" max="10495" width="40.6640625" style="4" customWidth="1"/>
    <col min="10496" max="10503" width="10.6640625" style="4" customWidth="1"/>
    <col min="10504" max="10749" width="8.83203125" style="4"/>
    <col min="10750" max="10750" width="1.6640625" style="4" customWidth="1"/>
    <col min="10751" max="10751" width="40.6640625" style="4" customWidth="1"/>
    <col min="10752" max="10759" width="10.6640625" style="4" customWidth="1"/>
    <col min="10760" max="11005" width="8.83203125" style="4"/>
    <col min="11006" max="11006" width="1.6640625" style="4" customWidth="1"/>
    <col min="11007" max="11007" width="40.6640625" style="4" customWidth="1"/>
    <col min="11008" max="11015" width="10.6640625" style="4" customWidth="1"/>
    <col min="11016" max="11261" width="8.83203125" style="4"/>
    <col min="11262" max="11262" width="1.6640625" style="4" customWidth="1"/>
    <col min="11263" max="11263" width="40.6640625" style="4" customWidth="1"/>
    <col min="11264" max="11271" width="10.6640625" style="4" customWidth="1"/>
    <col min="11272" max="11517" width="8.83203125" style="4"/>
    <col min="11518" max="11518" width="1.6640625" style="4" customWidth="1"/>
    <col min="11519" max="11519" width="40.6640625" style="4" customWidth="1"/>
    <col min="11520" max="11527" width="10.6640625" style="4" customWidth="1"/>
    <col min="11528" max="11773" width="8.83203125" style="4"/>
    <col min="11774" max="11774" width="1.6640625" style="4" customWidth="1"/>
    <col min="11775" max="11775" width="40.6640625" style="4" customWidth="1"/>
    <col min="11776" max="11783" width="10.6640625" style="4" customWidth="1"/>
    <col min="11784" max="12029" width="8.83203125" style="4"/>
    <col min="12030" max="12030" width="1.6640625" style="4" customWidth="1"/>
    <col min="12031" max="12031" width="40.6640625" style="4" customWidth="1"/>
    <col min="12032" max="12039" width="10.6640625" style="4" customWidth="1"/>
    <col min="12040" max="12285" width="8.83203125" style="4"/>
    <col min="12286" max="12286" width="1.6640625" style="4" customWidth="1"/>
    <col min="12287" max="12287" width="40.6640625" style="4" customWidth="1"/>
    <col min="12288" max="12295" width="10.6640625" style="4" customWidth="1"/>
    <col min="12296" max="12541" width="8.83203125" style="4"/>
    <col min="12542" max="12542" width="1.6640625" style="4" customWidth="1"/>
    <col min="12543" max="12543" width="40.6640625" style="4" customWidth="1"/>
    <col min="12544" max="12551" width="10.6640625" style="4" customWidth="1"/>
    <col min="12552" max="12797" width="8.83203125" style="4"/>
    <col min="12798" max="12798" width="1.6640625" style="4" customWidth="1"/>
    <col min="12799" max="12799" width="40.6640625" style="4" customWidth="1"/>
    <col min="12800" max="12807" width="10.6640625" style="4" customWidth="1"/>
    <col min="12808" max="13053" width="8.83203125" style="4"/>
    <col min="13054" max="13054" width="1.6640625" style="4" customWidth="1"/>
    <col min="13055" max="13055" width="40.6640625" style="4" customWidth="1"/>
    <col min="13056" max="13063" width="10.6640625" style="4" customWidth="1"/>
    <col min="13064" max="13309" width="8.83203125" style="4"/>
    <col min="13310" max="13310" width="1.6640625" style="4" customWidth="1"/>
    <col min="13311" max="13311" width="40.6640625" style="4" customWidth="1"/>
    <col min="13312" max="13319" width="10.6640625" style="4" customWidth="1"/>
    <col min="13320" max="13565" width="8.83203125" style="4"/>
    <col min="13566" max="13566" width="1.6640625" style="4" customWidth="1"/>
    <col min="13567" max="13567" width="40.6640625" style="4" customWidth="1"/>
    <col min="13568" max="13575" width="10.6640625" style="4" customWidth="1"/>
    <col min="13576" max="13821" width="8.83203125" style="4"/>
    <col min="13822" max="13822" width="1.6640625" style="4" customWidth="1"/>
    <col min="13823" max="13823" width="40.6640625" style="4" customWidth="1"/>
    <col min="13824" max="13831" width="10.6640625" style="4" customWidth="1"/>
    <col min="13832" max="14077" width="8.83203125" style="4"/>
    <col min="14078" max="14078" width="1.6640625" style="4" customWidth="1"/>
    <col min="14079" max="14079" width="40.6640625" style="4" customWidth="1"/>
    <col min="14080" max="14087" width="10.6640625" style="4" customWidth="1"/>
    <col min="14088" max="14333" width="8.83203125" style="4"/>
    <col min="14334" max="14334" width="1.6640625" style="4" customWidth="1"/>
    <col min="14335" max="14335" width="40.6640625" style="4" customWidth="1"/>
    <col min="14336" max="14343" width="10.6640625" style="4" customWidth="1"/>
    <col min="14344" max="14589" width="8.83203125" style="4"/>
    <col min="14590" max="14590" width="1.6640625" style="4" customWidth="1"/>
    <col min="14591" max="14591" width="40.6640625" style="4" customWidth="1"/>
    <col min="14592" max="14599" width="10.6640625" style="4" customWidth="1"/>
    <col min="14600" max="14845" width="8.83203125" style="4"/>
    <col min="14846" max="14846" width="1.6640625" style="4" customWidth="1"/>
    <col min="14847" max="14847" width="40.6640625" style="4" customWidth="1"/>
    <col min="14848" max="14855" width="10.6640625" style="4" customWidth="1"/>
    <col min="14856" max="15101" width="8.83203125" style="4"/>
    <col min="15102" max="15102" width="1.6640625" style="4" customWidth="1"/>
    <col min="15103" max="15103" width="40.6640625" style="4" customWidth="1"/>
    <col min="15104" max="15111" width="10.6640625" style="4" customWidth="1"/>
    <col min="15112" max="15357" width="8.83203125" style="4"/>
    <col min="15358" max="15358" width="1.6640625" style="4" customWidth="1"/>
    <col min="15359" max="15359" width="40.6640625" style="4" customWidth="1"/>
    <col min="15360" max="15367" width="10.6640625" style="4" customWidth="1"/>
    <col min="15368" max="15613" width="8.83203125" style="4"/>
    <col min="15614" max="15614" width="1.6640625" style="4" customWidth="1"/>
    <col min="15615" max="15615" width="40.6640625" style="4" customWidth="1"/>
    <col min="15616" max="15623" width="10.6640625" style="4" customWidth="1"/>
    <col min="15624" max="15869" width="8.83203125" style="4"/>
    <col min="15870" max="15870" width="1.6640625" style="4" customWidth="1"/>
    <col min="15871" max="15871" width="40.6640625" style="4" customWidth="1"/>
    <col min="15872" max="15879" width="10.6640625" style="4" customWidth="1"/>
    <col min="15880" max="16125" width="8.83203125" style="4"/>
    <col min="16126" max="16126" width="1.6640625" style="4" customWidth="1"/>
    <col min="16127" max="16127" width="40.6640625" style="4" customWidth="1"/>
    <col min="16128" max="16135" width="10.6640625" style="4" customWidth="1"/>
    <col min="16136" max="16384" width="8.83203125" style="4"/>
  </cols>
  <sheetData>
    <row r="1" spans="1:13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3" x14ac:dyDescent="0.2">
      <c r="A2" s="20" t="s">
        <v>11</v>
      </c>
      <c r="B2" s="19"/>
      <c r="C2" s="189">
        <v>2023</v>
      </c>
      <c r="D2" s="231">
        <f>C2+1</f>
        <v>2024</v>
      </c>
      <c r="E2" s="231">
        <f t="shared" ref="E2:J2" si="0">D2+1</f>
        <v>2025</v>
      </c>
      <c r="F2" s="231">
        <f t="shared" si="0"/>
        <v>2026</v>
      </c>
      <c r="G2" s="231">
        <f t="shared" si="0"/>
        <v>2027</v>
      </c>
      <c r="H2" s="231">
        <f t="shared" si="0"/>
        <v>2028</v>
      </c>
      <c r="I2" s="231">
        <f t="shared" si="0"/>
        <v>2029</v>
      </c>
      <c r="J2" s="231">
        <f t="shared" si="0"/>
        <v>2030</v>
      </c>
      <c r="K2" s="231">
        <f t="shared" ref="K2" si="1">J2+1</f>
        <v>2031</v>
      </c>
      <c r="L2" s="231">
        <f t="shared" ref="L2" si="2">K2+1</f>
        <v>2032</v>
      </c>
      <c r="M2" s="190"/>
    </row>
    <row r="3" spans="1:13" x14ac:dyDescent="0.2">
      <c r="B3" s="4" t="s">
        <v>12</v>
      </c>
      <c r="C3" s="28"/>
      <c r="D3" s="28"/>
      <c r="E3" s="39"/>
      <c r="F3" s="194">
        <f>Assumptions!F32</f>
        <v>7.5817239905904471E-2</v>
      </c>
      <c r="G3" s="194">
        <f>Assumptions!G32</f>
        <v>7.6817239905904472E-2</v>
      </c>
      <c r="H3" s="194">
        <f>Assumptions!H32</f>
        <v>7.7817239905904473E-2</v>
      </c>
      <c r="I3" s="194">
        <f>Assumptions!I32</f>
        <v>7.8817239905904474E-2</v>
      </c>
      <c r="J3" s="194">
        <f>Assumptions!J32</f>
        <v>7.9817239905904475E-2</v>
      </c>
      <c r="K3" s="194">
        <f>Assumptions!K32</f>
        <v>8.0817239905904475E-2</v>
      </c>
      <c r="L3" s="194">
        <f>Assumptions!L32</f>
        <v>8.1817239905904476E-2</v>
      </c>
    </row>
    <row r="4" spans="1:13" x14ac:dyDescent="0.2">
      <c r="B4" s="4" t="s">
        <v>134</v>
      </c>
      <c r="C4" s="28"/>
      <c r="D4" s="28"/>
      <c r="E4" s="39"/>
      <c r="F4" s="194">
        <f>Assumptions!F33</f>
        <v>9.5735994987246581E-2</v>
      </c>
      <c r="G4" s="194">
        <f>F4</f>
        <v>9.5735994987246581E-2</v>
      </c>
      <c r="H4" s="194">
        <f t="shared" ref="H4:J4" si="3">G4</f>
        <v>9.5735994987246581E-2</v>
      </c>
      <c r="I4" s="194">
        <f t="shared" si="3"/>
        <v>9.5735994987246581E-2</v>
      </c>
      <c r="J4" s="194">
        <f t="shared" si="3"/>
        <v>9.5735994987246581E-2</v>
      </c>
      <c r="K4" s="194">
        <f t="shared" ref="K4" si="4">J4</f>
        <v>9.5735994987246581E-2</v>
      </c>
      <c r="L4" s="194">
        <f t="shared" ref="L4" si="5">K4</f>
        <v>9.5735994987246581E-2</v>
      </c>
    </row>
    <row r="5" spans="1:13" x14ac:dyDescent="0.2">
      <c r="E5" s="27"/>
      <c r="F5" s="76"/>
      <c r="G5" s="64"/>
      <c r="H5" s="82"/>
      <c r="I5" s="64"/>
      <c r="J5" s="64"/>
      <c r="K5" s="64"/>
      <c r="L5" s="64"/>
    </row>
    <row r="6" spans="1:13" x14ac:dyDescent="0.2">
      <c r="B6" s="4" t="s">
        <v>13</v>
      </c>
      <c r="E6" s="27"/>
      <c r="F6" s="4">
        <f>E9</f>
        <v>17951.7</v>
      </c>
      <c r="G6" s="4">
        <f t="shared" ref="G6:L6" si="6">F9</f>
        <v>19133.453717009015</v>
      </c>
      <c r="H6" s="4">
        <f t="shared" si="6"/>
        <v>20416.328704103315</v>
      </c>
      <c r="I6" s="4">
        <f t="shared" si="6"/>
        <v>21846.441070176777</v>
      </c>
      <c r="J6" s="4">
        <f t="shared" si="6"/>
        <v>23468.867798546031</v>
      </c>
      <c r="K6" s="4">
        <f t="shared" si="6"/>
        <v>25336.309936870737</v>
      </c>
      <c r="L6" s="4">
        <f t="shared" si="6"/>
        <v>27511.615374139416</v>
      </c>
    </row>
    <row r="7" spans="1:13" x14ac:dyDescent="0.2">
      <c r="B7" s="4" t="s">
        <v>14</v>
      </c>
      <c r="C7" s="12"/>
      <c r="D7" s="12"/>
      <c r="E7" s="126"/>
      <c r="F7" s="4">
        <f>F3*IncState!F16</f>
        <v>2900.3775782215707</v>
      </c>
      <c r="G7" s="4">
        <f>G3*IncState!G16</f>
        <v>3114.6352162345893</v>
      </c>
      <c r="H7" s="4">
        <f>H3*IncState!H16</f>
        <v>3384.6899085474779</v>
      </c>
      <c r="I7" s="4">
        <f>I3*IncState!I16</f>
        <v>3713.9175011528755</v>
      </c>
      <c r="J7" s="4">
        <f>J3*IncState!J16</f>
        <v>4114.2575482426628</v>
      </c>
      <c r="K7" s="4">
        <f>K3*IncState!K16</f>
        <v>4600.902278380262</v>
      </c>
      <c r="L7" s="4">
        <f>L3*IncState!L16</f>
        <v>5193.2042298296883</v>
      </c>
    </row>
    <row r="8" spans="1:13" x14ac:dyDescent="0.2">
      <c r="B8" s="4" t="s">
        <v>15</v>
      </c>
      <c r="E8" s="27"/>
      <c r="F8" s="4">
        <f>F6*F4</f>
        <v>1718.6238612125546</v>
      </c>
      <c r="G8" s="4">
        <f t="shared" ref="G8:L8" si="7">G6*G4</f>
        <v>1831.7602291402895</v>
      </c>
      <c r="H8" s="4">
        <f t="shared" si="7"/>
        <v>1954.5775424740134</v>
      </c>
      <c r="I8" s="4">
        <f t="shared" si="7"/>
        <v>2091.4907727836217</v>
      </c>
      <c r="J8" s="4">
        <f t="shared" si="7"/>
        <v>2246.8154099179555</v>
      </c>
      <c r="K8" s="4">
        <f t="shared" si="7"/>
        <v>2425.5968411115828</v>
      </c>
      <c r="L8" s="4">
        <f t="shared" si="7"/>
        <v>2633.8518715496671</v>
      </c>
    </row>
    <row r="9" spans="1:13" x14ac:dyDescent="0.2">
      <c r="B9" s="4" t="s">
        <v>16</v>
      </c>
      <c r="E9" s="27">
        <f>BalSheet!E24</f>
        <v>17951.7</v>
      </c>
      <c r="F9" s="4">
        <f>F6+F7-F8</f>
        <v>19133.453717009015</v>
      </c>
      <c r="G9" s="4">
        <f t="shared" ref="G9:L9" si="8">G6+G7-G8</f>
        <v>20416.328704103315</v>
      </c>
      <c r="H9" s="4">
        <f t="shared" si="8"/>
        <v>21846.441070176777</v>
      </c>
      <c r="I9" s="4">
        <f t="shared" si="8"/>
        <v>23468.867798546031</v>
      </c>
      <c r="J9" s="4">
        <f t="shared" si="8"/>
        <v>25336.309936870737</v>
      </c>
      <c r="K9" s="4">
        <f t="shared" si="8"/>
        <v>27511.615374139416</v>
      </c>
      <c r="L9" s="4">
        <f t="shared" si="8"/>
        <v>30070.967732419434</v>
      </c>
    </row>
    <row r="10" spans="1:13" x14ac:dyDescent="0.2">
      <c r="A10" s="20" t="s">
        <v>17</v>
      </c>
      <c r="B10" s="41"/>
      <c r="C10" s="215">
        <f t="shared" ref="C10:F10" si="9">C2</f>
        <v>2023</v>
      </c>
      <c r="D10" s="215">
        <f t="shared" si="9"/>
        <v>2024</v>
      </c>
      <c r="E10" s="215">
        <f t="shared" si="9"/>
        <v>2025</v>
      </c>
      <c r="F10" s="215">
        <f t="shared" si="9"/>
        <v>2026</v>
      </c>
      <c r="G10" s="215">
        <f t="shared" ref="G10:L10" si="10">G2</f>
        <v>2027</v>
      </c>
      <c r="H10" s="215">
        <f t="shared" si="10"/>
        <v>2028</v>
      </c>
      <c r="I10" s="215">
        <f t="shared" si="10"/>
        <v>2029</v>
      </c>
      <c r="J10" s="215">
        <f t="shared" si="10"/>
        <v>2030</v>
      </c>
      <c r="K10" s="215">
        <f t="shared" si="10"/>
        <v>2031</v>
      </c>
      <c r="L10" s="215">
        <f t="shared" si="10"/>
        <v>2032</v>
      </c>
    </row>
    <row r="11" spans="1:13" x14ac:dyDescent="0.2">
      <c r="B11" s="4" t="s">
        <v>18</v>
      </c>
      <c r="E11" s="27"/>
      <c r="F11" s="233">
        <f>Assumptions!F34</f>
        <v>0</v>
      </c>
      <c r="G11" s="233">
        <f>Assumptions!G34</f>
        <v>0</v>
      </c>
      <c r="H11" s="233">
        <f>Assumptions!H34</f>
        <v>0</v>
      </c>
      <c r="I11" s="233">
        <f>Assumptions!I34</f>
        <v>0</v>
      </c>
      <c r="J11" s="233">
        <f>Assumptions!J34</f>
        <v>0</v>
      </c>
      <c r="K11" s="233">
        <f>Assumptions!K34</f>
        <v>0</v>
      </c>
      <c r="L11" s="233">
        <f>Assumptions!L34</f>
        <v>0</v>
      </c>
    </row>
    <row r="12" spans="1:13" x14ac:dyDescent="0.2">
      <c r="E12" s="27"/>
      <c r="F12" s="76"/>
      <c r="G12" s="76"/>
      <c r="H12" s="76"/>
      <c r="I12" s="76"/>
      <c r="J12" s="76"/>
      <c r="K12" s="76"/>
      <c r="L12" s="76"/>
    </row>
    <row r="13" spans="1:13" x14ac:dyDescent="0.2">
      <c r="B13" s="4" t="s">
        <v>19</v>
      </c>
      <c r="E13" s="27"/>
      <c r="F13" s="4">
        <f>E17</f>
        <v>-7441.6</v>
      </c>
      <c r="G13" s="4">
        <f t="shared" ref="G13:L13" si="11">F17</f>
        <v>-7270.1348088491159</v>
      </c>
      <c r="H13" s="4">
        <f t="shared" si="11"/>
        <v>-7093.0723987124784</v>
      </c>
      <c r="I13" s="4">
        <f t="shared" si="11"/>
        <v>-6912.1476679302668</v>
      </c>
      <c r="J13" s="4">
        <f t="shared" si="11"/>
        <v>-6259.5760851976802</v>
      </c>
      <c r="K13" s="4">
        <f t="shared" si="11"/>
        <v>-4953.9325921750451</v>
      </c>
      <c r="L13" s="4">
        <f t="shared" si="11"/>
        <v>-2818.0133543201714</v>
      </c>
    </row>
    <row r="14" spans="1:13" x14ac:dyDescent="0.2">
      <c r="B14" s="4" t="s">
        <v>20</v>
      </c>
      <c r="E14" s="27"/>
      <c r="F14" s="4">
        <f>IncState!F34</f>
        <v>2938.0227425983903</v>
      </c>
      <c r="G14" s="4">
        <f>IncState!G34</f>
        <v>3125.1775130316501</v>
      </c>
      <c r="H14" s="4">
        <f>IncState!H34</f>
        <v>3310.59738512473</v>
      </c>
      <c r="I14" s="4">
        <f>IncState!I34</f>
        <v>3963.8017885226118</v>
      </c>
      <c r="J14" s="4">
        <f>IncState!J34</f>
        <v>4798.4312502601661</v>
      </c>
      <c r="K14" s="4">
        <f>IncState!K34</f>
        <v>5810.264546539911</v>
      </c>
      <c r="L14" s="4">
        <f>IncState!L34</f>
        <v>6874.1705730977801</v>
      </c>
    </row>
    <row r="15" spans="1:13" x14ac:dyDescent="0.2">
      <c r="B15" s="4" t="s">
        <v>21</v>
      </c>
      <c r="E15" s="27"/>
      <c r="F15" s="4">
        <f>-IncState!F36</f>
        <v>-2766.5575514475063</v>
      </c>
      <c r="G15" s="4">
        <f>-IncState!G36</f>
        <v>-2948.1151028950126</v>
      </c>
      <c r="H15" s="4">
        <f>-IncState!H36</f>
        <v>-3129.6726543425189</v>
      </c>
      <c r="I15" s="4">
        <f>-IncState!I36</f>
        <v>-3311.2302057900251</v>
      </c>
      <c r="J15" s="4">
        <f>-IncState!J36</f>
        <v>-3492.787757237531</v>
      </c>
      <c r="K15" s="4">
        <f>-IncState!K36</f>
        <v>-3674.3453086850373</v>
      </c>
      <c r="L15" s="4">
        <f>-IncState!L36</f>
        <v>-3855.9028601325435</v>
      </c>
    </row>
    <row r="16" spans="1:13" x14ac:dyDescent="0.2">
      <c r="B16" s="4" t="s">
        <v>22</v>
      </c>
      <c r="E16" s="27"/>
      <c r="F16" s="4">
        <f>F11</f>
        <v>0</v>
      </c>
      <c r="G16" s="4">
        <f t="shared" ref="G16:L16" si="12">G11</f>
        <v>0</v>
      </c>
      <c r="H16" s="4">
        <f t="shared" si="12"/>
        <v>0</v>
      </c>
      <c r="I16" s="4">
        <f t="shared" si="12"/>
        <v>0</v>
      </c>
      <c r="J16" s="4">
        <f t="shared" si="12"/>
        <v>0</v>
      </c>
      <c r="K16" s="4">
        <f t="shared" si="12"/>
        <v>0</v>
      </c>
      <c r="L16" s="4">
        <f t="shared" si="12"/>
        <v>0</v>
      </c>
    </row>
    <row r="17" spans="1:12" x14ac:dyDescent="0.2">
      <c r="B17" s="4" t="s">
        <v>23</v>
      </c>
      <c r="E17" s="27">
        <f>BalSheet!E41</f>
        <v>-7441.6</v>
      </c>
      <c r="F17" s="4">
        <f>SUM(F13:F16)</f>
        <v>-7270.1348088491159</v>
      </c>
      <c r="G17" s="4">
        <f t="shared" ref="G17:L17" si="13">SUM(G13:G16)</f>
        <v>-7093.0723987124784</v>
      </c>
      <c r="H17" s="4">
        <f t="shared" si="13"/>
        <v>-6912.1476679302668</v>
      </c>
      <c r="I17" s="4">
        <f t="shared" si="13"/>
        <v>-6259.5760851976802</v>
      </c>
      <c r="J17" s="4">
        <f t="shared" si="13"/>
        <v>-4953.9325921750451</v>
      </c>
      <c r="K17" s="4">
        <f t="shared" si="13"/>
        <v>-2818.0133543201714</v>
      </c>
      <c r="L17" s="4">
        <f t="shared" si="13"/>
        <v>200.25435864506517</v>
      </c>
    </row>
    <row r="18" spans="1:12" x14ac:dyDescent="0.2">
      <c r="A18" s="20" t="s">
        <v>24</v>
      </c>
      <c r="B18" s="41"/>
      <c r="C18" s="215">
        <f>C10</f>
        <v>2023</v>
      </c>
      <c r="D18" s="215">
        <f t="shared" ref="D18:F18" si="14">D10</f>
        <v>2024</v>
      </c>
      <c r="E18" s="215">
        <f t="shared" si="14"/>
        <v>2025</v>
      </c>
      <c r="F18" s="215">
        <f t="shared" si="14"/>
        <v>2026</v>
      </c>
      <c r="G18" s="215">
        <f t="shared" ref="G18:L18" si="15">G10</f>
        <v>2027</v>
      </c>
      <c r="H18" s="215">
        <f t="shared" si="15"/>
        <v>2028</v>
      </c>
      <c r="I18" s="215">
        <f t="shared" si="15"/>
        <v>2029</v>
      </c>
      <c r="J18" s="215">
        <f t="shared" si="15"/>
        <v>2030</v>
      </c>
      <c r="K18" s="215">
        <f t="shared" si="15"/>
        <v>2031</v>
      </c>
      <c r="L18" s="215">
        <f t="shared" si="15"/>
        <v>2032</v>
      </c>
    </row>
    <row r="19" spans="1:12" x14ac:dyDescent="0.2">
      <c r="A19" s="85"/>
      <c r="B19" s="170" t="s">
        <v>158</v>
      </c>
      <c r="C19" s="192"/>
      <c r="D19" s="192"/>
      <c r="E19" s="196">
        <f>BalSheet!E17</f>
        <v>742.47593295159868</v>
      </c>
      <c r="F19" s="130">
        <f>BalSheet!F17</f>
        <v>765.09711559565653</v>
      </c>
      <c r="G19" s="130">
        <f>BalSheet!G17</f>
        <v>810.92088704301034</v>
      </c>
      <c r="H19" s="130">
        <f>BalSheet!H17</f>
        <v>869.90746848389847</v>
      </c>
      <c r="I19" s="130">
        <f>BalSheet!I17</f>
        <v>942.41247361280739</v>
      </c>
      <c r="J19" s="130">
        <f>BalSheet!J17</f>
        <v>1030.9195239256353</v>
      </c>
      <c r="K19" s="130">
        <f>BalSheet!K17</f>
        <v>1138.5942612583883</v>
      </c>
      <c r="L19" s="130">
        <f>BalSheet!L17</f>
        <v>1269.4645372545531</v>
      </c>
    </row>
    <row r="20" spans="1:12" x14ac:dyDescent="0.2">
      <c r="B20" s="4" t="str">
        <f>BalSheet!B20</f>
        <v>Inventories</v>
      </c>
      <c r="D20" s="96"/>
      <c r="E20" s="97">
        <f>BalSheet!E20</f>
        <v>1777.3</v>
      </c>
      <c r="F20" s="4">
        <f>BalSheet!F20</f>
        <v>1831.4521848712282</v>
      </c>
      <c r="G20" s="4">
        <f>BalSheet!G20</f>
        <v>1941.1428955347467</v>
      </c>
      <c r="H20" s="4">
        <f>BalSheet!H20</f>
        <v>2082.3420992121687</v>
      </c>
      <c r="I20" s="4">
        <f>BalSheet!I20</f>
        <v>2255.9010466329264</v>
      </c>
      <c r="J20" s="4">
        <f>BalSheet!J20</f>
        <v>2467.7649098834609</v>
      </c>
      <c r="K20" s="4">
        <f>BalSheet!K20</f>
        <v>2725.5114480990414</v>
      </c>
      <c r="L20" s="4">
        <f>BalSheet!L20</f>
        <v>3038.7823362284189</v>
      </c>
    </row>
    <row r="21" spans="1:12" x14ac:dyDescent="0.2">
      <c r="B21" s="4" t="str">
        <f>BalSheet!B19</f>
        <v>Accounts receivable</v>
      </c>
      <c r="C21" s="96"/>
      <c r="D21" s="96"/>
      <c r="E21" s="97">
        <f>BalSheet!E19</f>
        <v>1213.8</v>
      </c>
      <c r="F21" s="4">
        <f>BalSheet!F19</f>
        <v>1250.7811198919323</v>
      </c>
      <c r="G21" s="4">
        <f>BalSheet!G19</f>
        <v>1325.6938427349285</v>
      </c>
      <c r="H21" s="4">
        <f>BalSheet!H19</f>
        <v>1422.1251334682504</v>
      </c>
      <c r="I21" s="4">
        <f>BalSheet!I19</f>
        <v>1540.6563495247938</v>
      </c>
      <c r="J21" s="4">
        <f>BalSheet!J19</f>
        <v>1685.3477164794635</v>
      </c>
      <c r="K21" s="4">
        <f>BalSheet!K19</f>
        <v>1861.3744270759073</v>
      </c>
      <c r="L21" s="4">
        <f>BalSheet!L19</f>
        <v>2075.3212150514578</v>
      </c>
    </row>
    <row r="22" spans="1:12" x14ac:dyDescent="0.2">
      <c r="B22" s="4" t="s">
        <v>72</v>
      </c>
      <c r="C22" s="96"/>
      <c r="D22" s="96"/>
      <c r="E22" s="97">
        <f>BalSheet!E21</f>
        <v>570.1</v>
      </c>
      <c r="F22" s="4">
        <f>BalSheet!F21</f>
        <v>587.46936599966273</v>
      </c>
      <c r="G22" s="4">
        <f>BalSheet!G21</f>
        <v>622.6545227740836</v>
      </c>
      <c r="H22" s="4">
        <f>BalSheet!H21</f>
        <v>667.94656334672061</v>
      </c>
      <c r="I22" s="4">
        <f>BalSheet!I21</f>
        <v>723.61854083381525</v>
      </c>
      <c r="J22" s="4">
        <f>BalSheet!J21</f>
        <v>791.57747006503723</v>
      </c>
      <c r="K22" s="4">
        <f>BalSheet!K21</f>
        <v>874.25404586915045</v>
      </c>
      <c r="L22" s="4">
        <f>BalSheet!L21</f>
        <v>974.74099909444396</v>
      </c>
    </row>
    <row r="23" spans="1:12" x14ac:dyDescent="0.2">
      <c r="B23" s="4" t="s">
        <v>164</v>
      </c>
      <c r="C23" s="96"/>
      <c r="D23" s="96"/>
      <c r="E23" s="97">
        <f>BalSheet!E33</f>
        <v>4576.8</v>
      </c>
      <c r="F23" s="4">
        <f>BalSheet!F33</f>
        <v>4716.2495694135132</v>
      </c>
      <c r="G23" s="4">
        <f>BalSheet!G33</f>
        <v>4998.7187330689412</v>
      </c>
      <c r="H23" s="4">
        <f>BalSheet!H33</f>
        <v>5362.3267426288503</v>
      </c>
      <c r="I23" s="4">
        <f>BalSheet!I33</f>
        <v>5809.2656896582339</v>
      </c>
      <c r="J23" s="4">
        <f>BalSheet!J33</f>
        <v>6354.8452369068946</v>
      </c>
      <c r="K23" s="4">
        <f>BalSheet!K33</f>
        <v>7018.5791907160828</v>
      </c>
      <c r="L23" s="4">
        <f>BalSheet!L33</f>
        <v>7825.2962338661055</v>
      </c>
    </row>
    <row r="24" spans="1:12" x14ac:dyDescent="0.2">
      <c r="B24" s="4" t="s">
        <v>78</v>
      </c>
      <c r="C24" s="96"/>
      <c r="D24" s="96"/>
      <c r="E24" s="97">
        <f>BalSheet!E34</f>
        <v>3244.3</v>
      </c>
      <c r="F24" s="4">
        <f>BalSheet!F34</f>
        <v>3343.1448239128326</v>
      </c>
      <c r="G24" s="4">
        <f>BalSheet!G34</f>
        <v>3543.374966209366</v>
      </c>
      <c r="H24" s="4">
        <f>BalSheet!H34</f>
        <v>3801.1209181999047</v>
      </c>
      <c r="I24" s="4">
        <f>BalSheet!I34</f>
        <v>4117.9365585461264</v>
      </c>
      <c r="J24" s="4">
        <f>BalSheet!J34</f>
        <v>4504.6742433467816</v>
      </c>
      <c r="K24" s="4">
        <f>BalSheet!K34</f>
        <v>4975.1664638015864</v>
      </c>
      <c r="L24" s="4">
        <f>BalSheet!L34</f>
        <v>5547.0131965656983</v>
      </c>
    </row>
    <row r="25" spans="1:12" x14ac:dyDescent="0.2">
      <c r="A25" s="11" t="s">
        <v>126</v>
      </c>
      <c r="B25" s="17" t="s">
        <v>24</v>
      </c>
      <c r="C25" s="18"/>
      <c r="D25" s="18"/>
      <c r="E25" s="18">
        <f>SUM(E19:E22)-SUM(E23:E24)</f>
        <v>-3517.4240670484014</v>
      </c>
      <c r="F25" s="18">
        <f>SUM(F19:F22)-SUM(F23:F24)</f>
        <v>-3624.5946069678657</v>
      </c>
      <c r="G25" s="18">
        <f t="shared" ref="G25:L25" si="16">SUM(G19:G22)-SUM(G23:G24)</f>
        <v>-3841.6815511915374</v>
      </c>
      <c r="H25" s="18">
        <f t="shared" si="16"/>
        <v>-4121.1263963177171</v>
      </c>
      <c r="I25" s="18">
        <f t="shared" si="16"/>
        <v>-4464.6138376000181</v>
      </c>
      <c r="J25" s="18">
        <f t="shared" si="16"/>
        <v>-4883.9098599000781</v>
      </c>
      <c r="K25" s="18">
        <f t="shared" si="16"/>
        <v>-5394.0114722151811</v>
      </c>
      <c r="L25" s="18">
        <f t="shared" si="16"/>
        <v>-6014.0003428029295</v>
      </c>
    </row>
    <row r="26" spans="1:12" s="11" customFormat="1" x14ac:dyDescent="0.2">
      <c r="A26" s="24"/>
      <c r="B26" s="11" t="s">
        <v>150</v>
      </c>
      <c r="F26" s="11">
        <f>E25-F25</f>
        <v>107.17053991946432</v>
      </c>
      <c r="G26" s="11">
        <f t="shared" ref="G26:L26" si="17">F25-G25</f>
        <v>217.08694422367171</v>
      </c>
      <c r="H26" s="11">
        <f t="shared" si="17"/>
        <v>279.44484512617964</v>
      </c>
      <c r="I26" s="11">
        <f t="shared" si="17"/>
        <v>343.48744128230101</v>
      </c>
      <c r="J26" s="11">
        <f t="shared" si="17"/>
        <v>419.29602230006003</v>
      </c>
      <c r="K26" s="11">
        <f t="shared" si="17"/>
        <v>510.10161231510301</v>
      </c>
      <c r="L26" s="11">
        <f t="shared" si="17"/>
        <v>619.98887058774835</v>
      </c>
    </row>
    <row r="27" spans="1:12" x14ac:dyDescent="0.2">
      <c r="B27" s="64"/>
      <c r="C27" s="64"/>
      <c r="D27" s="64"/>
      <c r="E27" s="64"/>
      <c r="F27" s="64"/>
      <c r="G27" s="64"/>
      <c r="H27" s="82"/>
      <c r="I27" s="64"/>
      <c r="J27" s="64"/>
      <c r="K27" s="64"/>
      <c r="L27" s="64"/>
    </row>
    <row r="28" spans="1:12" x14ac:dyDescent="0.2">
      <c r="H28" s="6"/>
      <c r="I28" s="4"/>
      <c r="J28" s="4"/>
      <c r="K28" s="4"/>
      <c r="L28" s="4"/>
    </row>
    <row r="29" spans="1:12" x14ac:dyDescent="0.2">
      <c r="H29" s="6"/>
      <c r="I29" s="4"/>
      <c r="J29" s="4"/>
      <c r="K29" s="4"/>
      <c r="L29" s="4"/>
    </row>
    <row r="30" spans="1:12" x14ac:dyDescent="0.2">
      <c r="H30" s="6"/>
      <c r="I30" s="4"/>
      <c r="J30" s="4"/>
      <c r="K30" s="4"/>
      <c r="L30" s="4"/>
    </row>
    <row r="31" spans="1:12" x14ac:dyDescent="0.2">
      <c r="H31" s="6"/>
      <c r="I31" s="4"/>
      <c r="J31" s="4"/>
      <c r="K31" s="4"/>
      <c r="L31" s="4"/>
    </row>
    <row r="32" spans="1:12" x14ac:dyDescent="0.2">
      <c r="H32" s="6"/>
      <c r="I32" s="4"/>
      <c r="J32" s="4"/>
      <c r="K32" s="4"/>
      <c r="L32" s="4"/>
    </row>
    <row r="33" spans="8:12" x14ac:dyDescent="0.2">
      <c r="H33" s="6"/>
      <c r="I33" s="4"/>
      <c r="J33" s="4"/>
      <c r="K33" s="4"/>
      <c r="L33" s="4"/>
    </row>
    <row r="34" spans="8:12" x14ac:dyDescent="0.2">
      <c r="H34" s="6"/>
      <c r="I34" s="4"/>
      <c r="J34" s="4"/>
      <c r="K34" s="4"/>
      <c r="L34" s="4"/>
    </row>
    <row r="35" spans="8:12" x14ac:dyDescent="0.2">
      <c r="H35" s="6"/>
      <c r="I35" s="4"/>
      <c r="J35" s="4"/>
      <c r="K35" s="4"/>
      <c r="L35" s="4"/>
    </row>
    <row r="36" spans="8:12" x14ac:dyDescent="0.2">
      <c r="H36" s="6"/>
      <c r="I36" s="4"/>
      <c r="J36" s="4"/>
      <c r="K36" s="4"/>
      <c r="L36" s="4"/>
    </row>
    <row r="37" spans="8:12" x14ac:dyDescent="0.2">
      <c r="H37" s="6"/>
      <c r="I37" s="4"/>
      <c r="J37" s="4"/>
      <c r="K37" s="4"/>
      <c r="L37" s="4"/>
    </row>
    <row r="38" spans="8:12" x14ac:dyDescent="0.2">
      <c r="H38" s="6"/>
      <c r="I38" s="4"/>
      <c r="J38" s="4"/>
      <c r="K38" s="4"/>
      <c r="L38" s="4"/>
    </row>
    <row r="39" spans="8:12" x14ac:dyDescent="0.2">
      <c r="H39" s="6"/>
      <c r="I39" s="4"/>
      <c r="J39" s="4"/>
      <c r="K39" s="4"/>
      <c r="L39" s="4"/>
    </row>
    <row r="40" spans="8:12" x14ac:dyDescent="0.2">
      <c r="H40" s="6"/>
      <c r="I40" s="4"/>
      <c r="J40" s="4"/>
      <c r="K40" s="4"/>
      <c r="L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E32" sqref="E32"/>
    </sheetView>
  </sheetViews>
  <sheetFormatPr baseColWidth="10" defaultColWidth="8.83203125" defaultRowHeight="15" x14ac:dyDescent="0.2"/>
  <cols>
    <col min="1" max="1" width="1.6640625" style="11" customWidth="1"/>
    <col min="2" max="2" width="40.6640625" style="4" customWidth="1"/>
    <col min="3" max="8" width="11.6640625" style="4" customWidth="1"/>
    <col min="9" max="12" width="11.6640625" style="6" customWidth="1"/>
    <col min="13" max="253" width="8.83203125" style="4"/>
    <col min="254" max="254" width="1.6640625" style="4" customWidth="1"/>
    <col min="255" max="255" width="40.6640625" style="4" customWidth="1"/>
    <col min="256" max="261" width="10.6640625" style="4" customWidth="1"/>
    <col min="262" max="263" width="9.5" style="4" bestFit="1" customWidth="1"/>
    <col min="264" max="509" width="8.83203125" style="4"/>
    <col min="510" max="510" width="1.6640625" style="4" customWidth="1"/>
    <col min="511" max="511" width="40.6640625" style="4" customWidth="1"/>
    <col min="512" max="517" width="10.6640625" style="4" customWidth="1"/>
    <col min="518" max="519" width="9.5" style="4" bestFit="1" customWidth="1"/>
    <col min="520" max="765" width="8.83203125" style="4"/>
    <col min="766" max="766" width="1.6640625" style="4" customWidth="1"/>
    <col min="767" max="767" width="40.6640625" style="4" customWidth="1"/>
    <col min="768" max="773" width="10.6640625" style="4" customWidth="1"/>
    <col min="774" max="775" width="9.5" style="4" bestFit="1" customWidth="1"/>
    <col min="776" max="1021" width="8.83203125" style="4"/>
    <col min="1022" max="1022" width="1.6640625" style="4" customWidth="1"/>
    <col min="1023" max="1023" width="40.6640625" style="4" customWidth="1"/>
    <col min="1024" max="1029" width="10.6640625" style="4" customWidth="1"/>
    <col min="1030" max="1031" width="9.5" style="4" bestFit="1" customWidth="1"/>
    <col min="1032" max="1277" width="8.83203125" style="4"/>
    <col min="1278" max="1278" width="1.6640625" style="4" customWidth="1"/>
    <col min="1279" max="1279" width="40.6640625" style="4" customWidth="1"/>
    <col min="1280" max="1285" width="10.6640625" style="4" customWidth="1"/>
    <col min="1286" max="1287" width="9.5" style="4" bestFit="1" customWidth="1"/>
    <col min="1288" max="1533" width="8.83203125" style="4"/>
    <col min="1534" max="1534" width="1.6640625" style="4" customWidth="1"/>
    <col min="1535" max="1535" width="40.6640625" style="4" customWidth="1"/>
    <col min="1536" max="1541" width="10.6640625" style="4" customWidth="1"/>
    <col min="1542" max="1543" width="9.5" style="4" bestFit="1" customWidth="1"/>
    <col min="1544" max="1789" width="8.83203125" style="4"/>
    <col min="1790" max="1790" width="1.6640625" style="4" customWidth="1"/>
    <col min="1791" max="1791" width="40.6640625" style="4" customWidth="1"/>
    <col min="1792" max="1797" width="10.6640625" style="4" customWidth="1"/>
    <col min="1798" max="1799" width="9.5" style="4" bestFit="1" customWidth="1"/>
    <col min="1800" max="2045" width="8.83203125" style="4"/>
    <col min="2046" max="2046" width="1.6640625" style="4" customWidth="1"/>
    <col min="2047" max="2047" width="40.6640625" style="4" customWidth="1"/>
    <col min="2048" max="2053" width="10.6640625" style="4" customWidth="1"/>
    <col min="2054" max="2055" width="9.5" style="4" bestFit="1" customWidth="1"/>
    <col min="2056" max="2301" width="8.83203125" style="4"/>
    <col min="2302" max="2302" width="1.6640625" style="4" customWidth="1"/>
    <col min="2303" max="2303" width="40.6640625" style="4" customWidth="1"/>
    <col min="2304" max="2309" width="10.6640625" style="4" customWidth="1"/>
    <col min="2310" max="2311" width="9.5" style="4" bestFit="1" customWidth="1"/>
    <col min="2312" max="2557" width="8.83203125" style="4"/>
    <col min="2558" max="2558" width="1.6640625" style="4" customWidth="1"/>
    <col min="2559" max="2559" width="40.6640625" style="4" customWidth="1"/>
    <col min="2560" max="2565" width="10.6640625" style="4" customWidth="1"/>
    <col min="2566" max="2567" width="9.5" style="4" bestFit="1" customWidth="1"/>
    <col min="2568" max="2813" width="8.83203125" style="4"/>
    <col min="2814" max="2814" width="1.6640625" style="4" customWidth="1"/>
    <col min="2815" max="2815" width="40.6640625" style="4" customWidth="1"/>
    <col min="2816" max="2821" width="10.6640625" style="4" customWidth="1"/>
    <col min="2822" max="2823" width="9.5" style="4" bestFit="1" customWidth="1"/>
    <col min="2824" max="3069" width="8.83203125" style="4"/>
    <col min="3070" max="3070" width="1.6640625" style="4" customWidth="1"/>
    <col min="3071" max="3071" width="40.6640625" style="4" customWidth="1"/>
    <col min="3072" max="3077" width="10.6640625" style="4" customWidth="1"/>
    <col min="3078" max="3079" width="9.5" style="4" bestFit="1" customWidth="1"/>
    <col min="3080" max="3325" width="8.83203125" style="4"/>
    <col min="3326" max="3326" width="1.6640625" style="4" customWidth="1"/>
    <col min="3327" max="3327" width="40.6640625" style="4" customWidth="1"/>
    <col min="3328" max="3333" width="10.6640625" style="4" customWidth="1"/>
    <col min="3334" max="3335" width="9.5" style="4" bestFit="1" customWidth="1"/>
    <col min="3336" max="3581" width="8.83203125" style="4"/>
    <col min="3582" max="3582" width="1.6640625" style="4" customWidth="1"/>
    <col min="3583" max="3583" width="40.6640625" style="4" customWidth="1"/>
    <col min="3584" max="3589" width="10.6640625" style="4" customWidth="1"/>
    <col min="3590" max="3591" width="9.5" style="4" bestFit="1" customWidth="1"/>
    <col min="3592" max="3837" width="8.83203125" style="4"/>
    <col min="3838" max="3838" width="1.6640625" style="4" customWidth="1"/>
    <col min="3839" max="3839" width="40.6640625" style="4" customWidth="1"/>
    <col min="3840" max="3845" width="10.6640625" style="4" customWidth="1"/>
    <col min="3846" max="3847" width="9.5" style="4" bestFit="1" customWidth="1"/>
    <col min="3848" max="4093" width="8.83203125" style="4"/>
    <col min="4094" max="4094" width="1.6640625" style="4" customWidth="1"/>
    <col min="4095" max="4095" width="40.6640625" style="4" customWidth="1"/>
    <col min="4096" max="4101" width="10.6640625" style="4" customWidth="1"/>
    <col min="4102" max="4103" width="9.5" style="4" bestFit="1" customWidth="1"/>
    <col min="4104" max="4349" width="8.83203125" style="4"/>
    <col min="4350" max="4350" width="1.6640625" style="4" customWidth="1"/>
    <col min="4351" max="4351" width="40.6640625" style="4" customWidth="1"/>
    <col min="4352" max="4357" width="10.6640625" style="4" customWidth="1"/>
    <col min="4358" max="4359" width="9.5" style="4" bestFit="1" customWidth="1"/>
    <col min="4360" max="4605" width="8.83203125" style="4"/>
    <col min="4606" max="4606" width="1.6640625" style="4" customWidth="1"/>
    <col min="4607" max="4607" width="40.6640625" style="4" customWidth="1"/>
    <col min="4608" max="4613" width="10.6640625" style="4" customWidth="1"/>
    <col min="4614" max="4615" width="9.5" style="4" bestFit="1" customWidth="1"/>
    <col min="4616" max="4861" width="8.83203125" style="4"/>
    <col min="4862" max="4862" width="1.6640625" style="4" customWidth="1"/>
    <col min="4863" max="4863" width="40.6640625" style="4" customWidth="1"/>
    <col min="4864" max="4869" width="10.6640625" style="4" customWidth="1"/>
    <col min="4870" max="4871" width="9.5" style="4" bestFit="1" customWidth="1"/>
    <col min="4872" max="5117" width="8.83203125" style="4"/>
    <col min="5118" max="5118" width="1.6640625" style="4" customWidth="1"/>
    <col min="5119" max="5119" width="40.6640625" style="4" customWidth="1"/>
    <col min="5120" max="5125" width="10.6640625" style="4" customWidth="1"/>
    <col min="5126" max="5127" width="9.5" style="4" bestFit="1" customWidth="1"/>
    <col min="5128" max="5373" width="8.83203125" style="4"/>
    <col min="5374" max="5374" width="1.6640625" style="4" customWidth="1"/>
    <col min="5375" max="5375" width="40.6640625" style="4" customWidth="1"/>
    <col min="5376" max="5381" width="10.6640625" style="4" customWidth="1"/>
    <col min="5382" max="5383" width="9.5" style="4" bestFit="1" customWidth="1"/>
    <col min="5384" max="5629" width="8.83203125" style="4"/>
    <col min="5630" max="5630" width="1.6640625" style="4" customWidth="1"/>
    <col min="5631" max="5631" width="40.6640625" style="4" customWidth="1"/>
    <col min="5632" max="5637" width="10.6640625" style="4" customWidth="1"/>
    <col min="5638" max="5639" width="9.5" style="4" bestFit="1" customWidth="1"/>
    <col min="5640" max="5885" width="8.83203125" style="4"/>
    <col min="5886" max="5886" width="1.6640625" style="4" customWidth="1"/>
    <col min="5887" max="5887" width="40.6640625" style="4" customWidth="1"/>
    <col min="5888" max="5893" width="10.6640625" style="4" customWidth="1"/>
    <col min="5894" max="5895" width="9.5" style="4" bestFit="1" customWidth="1"/>
    <col min="5896" max="6141" width="8.83203125" style="4"/>
    <col min="6142" max="6142" width="1.6640625" style="4" customWidth="1"/>
    <col min="6143" max="6143" width="40.6640625" style="4" customWidth="1"/>
    <col min="6144" max="6149" width="10.6640625" style="4" customWidth="1"/>
    <col min="6150" max="6151" width="9.5" style="4" bestFit="1" customWidth="1"/>
    <col min="6152" max="6397" width="8.83203125" style="4"/>
    <col min="6398" max="6398" width="1.6640625" style="4" customWidth="1"/>
    <col min="6399" max="6399" width="40.6640625" style="4" customWidth="1"/>
    <col min="6400" max="6405" width="10.6640625" style="4" customWidth="1"/>
    <col min="6406" max="6407" width="9.5" style="4" bestFit="1" customWidth="1"/>
    <col min="6408" max="6653" width="8.83203125" style="4"/>
    <col min="6654" max="6654" width="1.6640625" style="4" customWidth="1"/>
    <col min="6655" max="6655" width="40.6640625" style="4" customWidth="1"/>
    <col min="6656" max="6661" width="10.6640625" style="4" customWidth="1"/>
    <col min="6662" max="6663" width="9.5" style="4" bestFit="1" customWidth="1"/>
    <col min="6664" max="6909" width="8.83203125" style="4"/>
    <col min="6910" max="6910" width="1.6640625" style="4" customWidth="1"/>
    <col min="6911" max="6911" width="40.6640625" style="4" customWidth="1"/>
    <col min="6912" max="6917" width="10.6640625" style="4" customWidth="1"/>
    <col min="6918" max="6919" width="9.5" style="4" bestFit="1" customWidth="1"/>
    <col min="6920" max="7165" width="8.83203125" style="4"/>
    <col min="7166" max="7166" width="1.6640625" style="4" customWidth="1"/>
    <col min="7167" max="7167" width="40.6640625" style="4" customWidth="1"/>
    <col min="7168" max="7173" width="10.6640625" style="4" customWidth="1"/>
    <col min="7174" max="7175" width="9.5" style="4" bestFit="1" customWidth="1"/>
    <col min="7176" max="7421" width="8.83203125" style="4"/>
    <col min="7422" max="7422" width="1.6640625" style="4" customWidth="1"/>
    <col min="7423" max="7423" width="40.6640625" style="4" customWidth="1"/>
    <col min="7424" max="7429" width="10.6640625" style="4" customWidth="1"/>
    <col min="7430" max="7431" width="9.5" style="4" bestFit="1" customWidth="1"/>
    <col min="7432" max="7677" width="8.83203125" style="4"/>
    <col min="7678" max="7678" width="1.6640625" style="4" customWidth="1"/>
    <col min="7679" max="7679" width="40.6640625" style="4" customWidth="1"/>
    <col min="7680" max="7685" width="10.6640625" style="4" customWidth="1"/>
    <col min="7686" max="7687" width="9.5" style="4" bestFit="1" customWidth="1"/>
    <col min="7688" max="7933" width="8.83203125" style="4"/>
    <col min="7934" max="7934" width="1.6640625" style="4" customWidth="1"/>
    <col min="7935" max="7935" width="40.6640625" style="4" customWidth="1"/>
    <col min="7936" max="7941" width="10.6640625" style="4" customWidth="1"/>
    <col min="7942" max="7943" width="9.5" style="4" bestFit="1" customWidth="1"/>
    <col min="7944" max="8189" width="8.83203125" style="4"/>
    <col min="8190" max="8190" width="1.6640625" style="4" customWidth="1"/>
    <col min="8191" max="8191" width="40.6640625" style="4" customWidth="1"/>
    <col min="8192" max="8197" width="10.6640625" style="4" customWidth="1"/>
    <col min="8198" max="8199" width="9.5" style="4" bestFit="1" customWidth="1"/>
    <col min="8200" max="8445" width="8.83203125" style="4"/>
    <col min="8446" max="8446" width="1.6640625" style="4" customWidth="1"/>
    <col min="8447" max="8447" width="40.6640625" style="4" customWidth="1"/>
    <col min="8448" max="8453" width="10.6640625" style="4" customWidth="1"/>
    <col min="8454" max="8455" width="9.5" style="4" bestFit="1" customWidth="1"/>
    <col min="8456" max="8701" width="8.83203125" style="4"/>
    <col min="8702" max="8702" width="1.6640625" style="4" customWidth="1"/>
    <col min="8703" max="8703" width="40.6640625" style="4" customWidth="1"/>
    <col min="8704" max="8709" width="10.6640625" style="4" customWidth="1"/>
    <col min="8710" max="8711" width="9.5" style="4" bestFit="1" customWidth="1"/>
    <col min="8712" max="8957" width="8.83203125" style="4"/>
    <col min="8958" max="8958" width="1.6640625" style="4" customWidth="1"/>
    <col min="8959" max="8959" width="40.6640625" style="4" customWidth="1"/>
    <col min="8960" max="8965" width="10.6640625" style="4" customWidth="1"/>
    <col min="8966" max="8967" width="9.5" style="4" bestFit="1" customWidth="1"/>
    <col min="8968" max="9213" width="8.83203125" style="4"/>
    <col min="9214" max="9214" width="1.6640625" style="4" customWidth="1"/>
    <col min="9215" max="9215" width="40.6640625" style="4" customWidth="1"/>
    <col min="9216" max="9221" width="10.6640625" style="4" customWidth="1"/>
    <col min="9222" max="9223" width="9.5" style="4" bestFit="1" customWidth="1"/>
    <col min="9224" max="9469" width="8.83203125" style="4"/>
    <col min="9470" max="9470" width="1.6640625" style="4" customWidth="1"/>
    <col min="9471" max="9471" width="40.6640625" style="4" customWidth="1"/>
    <col min="9472" max="9477" width="10.6640625" style="4" customWidth="1"/>
    <col min="9478" max="9479" width="9.5" style="4" bestFit="1" customWidth="1"/>
    <col min="9480" max="9725" width="8.83203125" style="4"/>
    <col min="9726" max="9726" width="1.6640625" style="4" customWidth="1"/>
    <col min="9727" max="9727" width="40.6640625" style="4" customWidth="1"/>
    <col min="9728" max="9733" width="10.6640625" style="4" customWidth="1"/>
    <col min="9734" max="9735" width="9.5" style="4" bestFit="1" customWidth="1"/>
    <col min="9736" max="9981" width="8.83203125" style="4"/>
    <col min="9982" max="9982" width="1.6640625" style="4" customWidth="1"/>
    <col min="9983" max="9983" width="40.6640625" style="4" customWidth="1"/>
    <col min="9984" max="9989" width="10.6640625" style="4" customWidth="1"/>
    <col min="9990" max="9991" width="9.5" style="4" bestFit="1" customWidth="1"/>
    <col min="9992" max="10237" width="8.83203125" style="4"/>
    <col min="10238" max="10238" width="1.6640625" style="4" customWidth="1"/>
    <col min="10239" max="10239" width="40.6640625" style="4" customWidth="1"/>
    <col min="10240" max="10245" width="10.6640625" style="4" customWidth="1"/>
    <col min="10246" max="10247" width="9.5" style="4" bestFit="1" customWidth="1"/>
    <col min="10248" max="10493" width="8.83203125" style="4"/>
    <col min="10494" max="10494" width="1.6640625" style="4" customWidth="1"/>
    <col min="10495" max="10495" width="40.6640625" style="4" customWidth="1"/>
    <col min="10496" max="10501" width="10.6640625" style="4" customWidth="1"/>
    <col min="10502" max="10503" width="9.5" style="4" bestFit="1" customWidth="1"/>
    <col min="10504" max="10749" width="8.83203125" style="4"/>
    <col min="10750" max="10750" width="1.6640625" style="4" customWidth="1"/>
    <col min="10751" max="10751" width="40.6640625" style="4" customWidth="1"/>
    <col min="10752" max="10757" width="10.6640625" style="4" customWidth="1"/>
    <col min="10758" max="10759" width="9.5" style="4" bestFit="1" customWidth="1"/>
    <col min="10760" max="11005" width="8.83203125" style="4"/>
    <col min="11006" max="11006" width="1.6640625" style="4" customWidth="1"/>
    <col min="11007" max="11007" width="40.6640625" style="4" customWidth="1"/>
    <col min="11008" max="11013" width="10.6640625" style="4" customWidth="1"/>
    <col min="11014" max="11015" width="9.5" style="4" bestFit="1" customWidth="1"/>
    <col min="11016" max="11261" width="8.83203125" style="4"/>
    <col min="11262" max="11262" width="1.6640625" style="4" customWidth="1"/>
    <col min="11263" max="11263" width="40.6640625" style="4" customWidth="1"/>
    <col min="11264" max="11269" width="10.6640625" style="4" customWidth="1"/>
    <col min="11270" max="11271" width="9.5" style="4" bestFit="1" customWidth="1"/>
    <col min="11272" max="11517" width="8.83203125" style="4"/>
    <col min="11518" max="11518" width="1.6640625" style="4" customWidth="1"/>
    <col min="11519" max="11519" width="40.6640625" style="4" customWidth="1"/>
    <col min="11520" max="11525" width="10.6640625" style="4" customWidth="1"/>
    <col min="11526" max="11527" width="9.5" style="4" bestFit="1" customWidth="1"/>
    <col min="11528" max="11773" width="8.83203125" style="4"/>
    <col min="11774" max="11774" width="1.6640625" style="4" customWidth="1"/>
    <col min="11775" max="11775" width="40.6640625" style="4" customWidth="1"/>
    <col min="11776" max="11781" width="10.6640625" style="4" customWidth="1"/>
    <col min="11782" max="11783" width="9.5" style="4" bestFit="1" customWidth="1"/>
    <col min="11784" max="12029" width="8.83203125" style="4"/>
    <col min="12030" max="12030" width="1.6640625" style="4" customWidth="1"/>
    <col min="12031" max="12031" width="40.6640625" style="4" customWidth="1"/>
    <col min="12032" max="12037" width="10.6640625" style="4" customWidth="1"/>
    <col min="12038" max="12039" width="9.5" style="4" bestFit="1" customWidth="1"/>
    <col min="12040" max="12285" width="8.83203125" style="4"/>
    <col min="12286" max="12286" width="1.6640625" style="4" customWidth="1"/>
    <col min="12287" max="12287" width="40.6640625" style="4" customWidth="1"/>
    <col min="12288" max="12293" width="10.6640625" style="4" customWidth="1"/>
    <col min="12294" max="12295" width="9.5" style="4" bestFit="1" customWidth="1"/>
    <col min="12296" max="12541" width="8.83203125" style="4"/>
    <col min="12542" max="12542" width="1.6640625" style="4" customWidth="1"/>
    <col min="12543" max="12543" width="40.6640625" style="4" customWidth="1"/>
    <col min="12544" max="12549" width="10.6640625" style="4" customWidth="1"/>
    <col min="12550" max="12551" width="9.5" style="4" bestFit="1" customWidth="1"/>
    <col min="12552" max="12797" width="8.83203125" style="4"/>
    <col min="12798" max="12798" width="1.6640625" style="4" customWidth="1"/>
    <col min="12799" max="12799" width="40.6640625" style="4" customWidth="1"/>
    <col min="12800" max="12805" width="10.6640625" style="4" customWidth="1"/>
    <col min="12806" max="12807" width="9.5" style="4" bestFit="1" customWidth="1"/>
    <col min="12808" max="13053" width="8.83203125" style="4"/>
    <col min="13054" max="13054" width="1.6640625" style="4" customWidth="1"/>
    <col min="13055" max="13055" width="40.6640625" style="4" customWidth="1"/>
    <col min="13056" max="13061" width="10.6640625" style="4" customWidth="1"/>
    <col min="13062" max="13063" width="9.5" style="4" bestFit="1" customWidth="1"/>
    <col min="13064" max="13309" width="8.83203125" style="4"/>
    <col min="13310" max="13310" width="1.6640625" style="4" customWidth="1"/>
    <col min="13311" max="13311" width="40.6640625" style="4" customWidth="1"/>
    <col min="13312" max="13317" width="10.6640625" style="4" customWidth="1"/>
    <col min="13318" max="13319" width="9.5" style="4" bestFit="1" customWidth="1"/>
    <col min="13320" max="13565" width="8.83203125" style="4"/>
    <col min="13566" max="13566" width="1.6640625" style="4" customWidth="1"/>
    <col min="13567" max="13567" width="40.6640625" style="4" customWidth="1"/>
    <col min="13568" max="13573" width="10.6640625" style="4" customWidth="1"/>
    <col min="13574" max="13575" width="9.5" style="4" bestFit="1" customWidth="1"/>
    <col min="13576" max="13821" width="8.83203125" style="4"/>
    <col min="13822" max="13822" width="1.6640625" style="4" customWidth="1"/>
    <col min="13823" max="13823" width="40.6640625" style="4" customWidth="1"/>
    <col min="13824" max="13829" width="10.6640625" style="4" customWidth="1"/>
    <col min="13830" max="13831" width="9.5" style="4" bestFit="1" customWidth="1"/>
    <col min="13832" max="14077" width="8.83203125" style="4"/>
    <col min="14078" max="14078" width="1.6640625" style="4" customWidth="1"/>
    <col min="14079" max="14079" width="40.6640625" style="4" customWidth="1"/>
    <col min="14080" max="14085" width="10.6640625" style="4" customWidth="1"/>
    <col min="14086" max="14087" width="9.5" style="4" bestFit="1" customWidth="1"/>
    <col min="14088" max="14333" width="8.83203125" style="4"/>
    <col min="14334" max="14334" width="1.6640625" style="4" customWidth="1"/>
    <col min="14335" max="14335" width="40.6640625" style="4" customWidth="1"/>
    <col min="14336" max="14341" width="10.6640625" style="4" customWidth="1"/>
    <col min="14342" max="14343" width="9.5" style="4" bestFit="1" customWidth="1"/>
    <col min="14344" max="14589" width="8.83203125" style="4"/>
    <col min="14590" max="14590" width="1.6640625" style="4" customWidth="1"/>
    <col min="14591" max="14591" width="40.6640625" style="4" customWidth="1"/>
    <col min="14592" max="14597" width="10.6640625" style="4" customWidth="1"/>
    <col min="14598" max="14599" width="9.5" style="4" bestFit="1" customWidth="1"/>
    <col min="14600" max="14845" width="8.83203125" style="4"/>
    <col min="14846" max="14846" width="1.6640625" style="4" customWidth="1"/>
    <col min="14847" max="14847" width="40.6640625" style="4" customWidth="1"/>
    <col min="14848" max="14853" width="10.6640625" style="4" customWidth="1"/>
    <col min="14854" max="14855" width="9.5" style="4" bestFit="1" customWidth="1"/>
    <col min="14856" max="15101" width="8.83203125" style="4"/>
    <col min="15102" max="15102" width="1.6640625" style="4" customWidth="1"/>
    <col min="15103" max="15103" width="40.6640625" style="4" customWidth="1"/>
    <col min="15104" max="15109" width="10.6640625" style="4" customWidth="1"/>
    <col min="15110" max="15111" width="9.5" style="4" bestFit="1" customWidth="1"/>
    <col min="15112" max="15357" width="8.83203125" style="4"/>
    <col min="15358" max="15358" width="1.6640625" style="4" customWidth="1"/>
    <col min="15359" max="15359" width="40.6640625" style="4" customWidth="1"/>
    <col min="15360" max="15365" width="10.6640625" style="4" customWidth="1"/>
    <col min="15366" max="15367" width="9.5" style="4" bestFit="1" customWidth="1"/>
    <col min="15368" max="15613" width="8.83203125" style="4"/>
    <col min="15614" max="15614" width="1.6640625" style="4" customWidth="1"/>
    <col min="15615" max="15615" width="40.6640625" style="4" customWidth="1"/>
    <col min="15616" max="15621" width="10.6640625" style="4" customWidth="1"/>
    <col min="15622" max="15623" width="9.5" style="4" bestFit="1" customWidth="1"/>
    <col min="15624" max="15869" width="8.83203125" style="4"/>
    <col min="15870" max="15870" width="1.6640625" style="4" customWidth="1"/>
    <col min="15871" max="15871" width="40.6640625" style="4" customWidth="1"/>
    <col min="15872" max="15877" width="10.6640625" style="4" customWidth="1"/>
    <col min="15878" max="15879" width="9.5" style="4" bestFit="1" customWidth="1"/>
    <col min="15880" max="16125" width="8.83203125" style="4"/>
    <col min="16126" max="16126" width="1.6640625" style="4" customWidth="1"/>
    <col min="16127" max="16127" width="40.6640625" style="4" customWidth="1"/>
    <col min="16128" max="16133" width="10.6640625" style="4" customWidth="1"/>
    <col min="16134" max="16135" width="9.5" style="4" bestFit="1" customWidth="1"/>
    <col min="16136" max="16384" width="8.83203125" style="4"/>
  </cols>
  <sheetData>
    <row r="1" spans="1:13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3" s="2" customFormat="1" x14ac:dyDescent="0.2">
      <c r="A2" s="16" t="s">
        <v>10</v>
      </c>
      <c r="B2" s="191"/>
      <c r="C2" s="240">
        <v>2023</v>
      </c>
      <c r="D2" s="240">
        <f>C2+1</f>
        <v>2024</v>
      </c>
      <c r="E2" s="240">
        <f t="shared" ref="E2:J2" si="0">D2+1</f>
        <v>2025</v>
      </c>
      <c r="F2" s="240">
        <f t="shared" si="0"/>
        <v>2026</v>
      </c>
      <c r="G2" s="240">
        <f t="shared" si="0"/>
        <v>2027</v>
      </c>
      <c r="H2" s="240">
        <f t="shared" si="0"/>
        <v>2028</v>
      </c>
      <c r="I2" s="240">
        <f t="shared" si="0"/>
        <v>2029</v>
      </c>
      <c r="J2" s="240">
        <f t="shared" si="0"/>
        <v>2030</v>
      </c>
      <c r="K2" s="240">
        <f t="shared" ref="K2:L2" si="1">J2+1</f>
        <v>2031</v>
      </c>
      <c r="L2" s="240">
        <f t="shared" si="1"/>
        <v>2032</v>
      </c>
    </row>
    <row r="3" spans="1:13" s="2" customFormat="1" x14ac:dyDescent="0.2">
      <c r="A3" s="85"/>
      <c r="B3" s="11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13" s="2" customFormat="1" x14ac:dyDescent="0.2">
      <c r="A4" s="11"/>
      <c r="B4" s="4" t="s">
        <v>25</v>
      </c>
      <c r="C4" s="29"/>
      <c r="D4" s="54"/>
      <c r="E4" s="58"/>
      <c r="F4" s="109">
        <f>Assumptions!F23</f>
        <v>5.8479999999999997E-2</v>
      </c>
      <c r="G4" s="109">
        <f>Assumptions!G23</f>
        <v>5.8479999999999997E-2</v>
      </c>
      <c r="H4" s="109">
        <f>Assumptions!H23</f>
        <v>5.8479999999999997E-2</v>
      </c>
      <c r="I4" s="109">
        <f>Assumptions!I23</f>
        <v>5.8479999999999997E-2</v>
      </c>
      <c r="J4" s="109">
        <f>Assumptions!J23</f>
        <v>5.8479999999999997E-2</v>
      </c>
      <c r="K4" s="109">
        <f>Assumptions!K23</f>
        <v>5.8479999999999997E-2</v>
      </c>
      <c r="L4" s="109">
        <f>Assumptions!L23</f>
        <v>5.8479999999999997E-2</v>
      </c>
    </row>
    <row r="5" spans="1:13" s="2" customFormat="1" x14ac:dyDescent="0.2">
      <c r="A5" s="11"/>
      <c r="B5" s="4" t="s">
        <v>26</v>
      </c>
      <c r="C5" s="29"/>
      <c r="D5" s="55"/>
      <c r="E5" s="59"/>
      <c r="F5" s="109">
        <f>Assumptions!F24</f>
        <v>3.8100000000000002E-2</v>
      </c>
      <c r="G5" s="109">
        <f>Assumptions!G24</f>
        <v>3.8100000000000002E-2</v>
      </c>
      <c r="H5" s="109">
        <f>Assumptions!H24</f>
        <v>3.8100000000000002E-2</v>
      </c>
      <c r="I5" s="109">
        <f>Assumptions!I24</f>
        <v>3.8100000000000002E-2</v>
      </c>
      <c r="J5" s="109">
        <f>Assumptions!J24</f>
        <v>3.8100000000000002E-2</v>
      </c>
      <c r="K5" s="109">
        <f>Assumptions!K24</f>
        <v>3.8100000000000002E-2</v>
      </c>
      <c r="L5" s="109">
        <f>Assumptions!L24</f>
        <v>3.8100000000000002E-2</v>
      </c>
    </row>
    <row r="6" spans="1:13" s="2" customFormat="1" x14ac:dyDescent="0.2">
      <c r="A6" s="11"/>
      <c r="B6" s="4" t="s">
        <v>27</v>
      </c>
      <c r="C6" s="29"/>
      <c r="D6" s="54"/>
      <c r="E6" s="58"/>
      <c r="F6" s="109">
        <f>Assumptions!F25</f>
        <v>3.7368389020753456E-2</v>
      </c>
      <c r="G6" s="109">
        <f>Assumptions!G25</f>
        <v>3.7368389020753456E-2</v>
      </c>
      <c r="H6" s="109">
        <f>Assumptions!H25</f>
        <v>3.7368389020753456E-2</v>
      </c>
      <c r="I6" s="109">
        <f>Assumptions!I25</f>
        <v>3.7368389020753456E-2</v>
      </c>
      <c r="J6" s="109">
        <f>Assumptions!J25</f>
        <v>3.7368389020753456E-2</v>
      </c>
      <c r="K6" s="109">
        <f>Assumptions!K25</f>
        <v>3.7368389020753456E-2</v>
      </c>
      <c r="L6" s="109">
        <f>Assumptions!L25</f>
        <v>3.7368389020753456E-2</v>
      </c>
    </row>
    <row r="7" spans="1:13" s="2" customFormat="1" x14ac:dyDescent="0.2">
      <c r="A7" s="11"/>
      <c r="B7" s="4"/>
      <c r="C7" s="29"/>
      <c r="D7" s="29"/>
      <c r="E7" s="29"/>
      <c r="F7" s="107"/>
      <c r="G7" s="107"/>
      <c r="H7" s="107"/>
      <c r="I7" s="108"/>
      <c r="J7" s="108"/>
      <c r="K7" s="108"/>
      <c r="L7" s="108"/>
    </row>
    <row r="8" spans="1:13" s="2" customFormat="1" x14ac:dyDescent="0.2">
      <c r="A8" s="11"/>
      <c r="B8" s="4" t="s">
        <v>28</v>
      </c>
      <c r="C8" s="29"/>
      <c r="D8" s="56"/>
      <c r="E8" s="60"/>
      <c r="F8" s="110">
        <f>Assumptions!F27</f>
        <v>0</v>
      </c>
      <c r="G8" s="110">
        <f>Assumptions!G27</f>
        <v>0</v>
      </c>
      <c r="H8" s="110">
        <f>Assumptions!H27</f>
        <v>0</v>
      </c>
      <c r="I8" s="110">
        <f>Assumptions!I27</f>
        <v>0</v>
      </c>
      <c r="J8" s="110">
        <f>Assumptions!J27</f>
        <v>0</v>
      </c>
      <c r="K8" s="110">
        <f>Assumptions!K27</f>
        <v>0</v>
      </c>
      <c r="L8" s="110">
        <f>Assumptions!L27</f>
        <v>0</v>
      </c>
    </row>
    <row r="9" spans="1:13" s="2" customFormat="1" x14ac:dyDescent="0.2">
      <c r="A9" s="11"/>
      <c r="B9" s="4" t="s">
        <v>29</v>
      </c>
      <c r="C9" s="29"/>
      <c r="D9" s="56"/>
      <c r="E9" s="60"/>
      <c r="F9" s="110">
        <f>Assumptions!F28</f>
        <v>0</v>
      </c>
      <c r="G9" s="110">
        <f>Assumptions!G28</f>
        <v>0</v>
      </c>
      <c r="H9" s="110">
        <f>Assumptions!H28</f>
        <v>0</v>
      </c>
      <c r="I9" s="110">
        <f>Assumptions!I28</f>
        <v>0</v>
      </c>
      <c r="J9" s="110">
        <f>Assumptions!J28</f>
        <v>0</v>
      </c>
      <c r="K9" s="110">
        <f>Assumptions!K28</f>
        <v>0</v>
      </c>
      <c r="L9" s="110">
        <f>Assumptions!L28</f>
        <v>0</v>
      </c>
    </row>
    <row r="10" spans="1:13" s="2" customFormat="1" ht="19" x14ac:dyDescent="0.25">
      <c r="A10" s="32"/>
      <c r="B10" s="3"/>
      <c r="C10" s="52"/>
      <c r="D10" s="52"/>
      <c r="E10" s="52"/>
      <c r="F10" s="106"/>
      <c r="G10" s="106"/>
      <c r="H10" s="106"/>
      <c r="I10" s="106"/>
      <c r="J10" s="106"/>
      <c r="K10" s="106"/>
      <c r="L10" s="106"/>
    </row>
    <row r="11" spans="1:13" x14ac:dyDescent="0.2">
      <c r="A11" s="20" t="s">
        <v>30</v>
      </c>
      <c r="B11" s="53"/>
      <c r="C11" s="231">
        <f>C2</f>
        <v>2023</v>
      </c>
      <c r="D11" s="231">
        <f t="shared" ref="D11:J11" si="2">D2</f>
        <v>2024</v>
      </c>
      <c r="E11" s="231">
        <f t="shared" si="2"/>
        <v>2025</v>
      </c>
      <c r="F11" s="231">
        <f t="shared" si="2"/>
        <v>2026</v>
      </c>
      <c r="G11" s="231">
        <f t="shared" si="2"/>
        <v>2027</v>
      </c>
      <c r="H11" s="231">
        <f t="shared" si="2"/>
        <v>2028</v>
      </c>
      <c r="I11" s="231">
        <f t="shared" si="2"/>
        <v>2029</v>
      </c>
      <c r="J11" s="231">
        <f t="shared" si="2"/>
        <v>2030</v>
      </c>
      <c r="K11" s="231">
        <f t="shared" ref="K11:L11" si="3">K2</f>
        <v>2031</v>
      </c>
      <c r="L11" s="231">
        <f t="shared" si="3"/>
        <v>2032</v>
      </c>
      <c r="M11" s="46"/>
    </row>
    <row r="12" spans="1:13" x14ac:dyDescent="0.2">
      <c r="B12" s="4" t="s">
        <v>31</v>
      </c>
      <c r="E12" s="27">
        <f>BalSheet!E32</f>
        <v>1248.9000000000001</v>
      </c>
      <c r="F12" s="4">
        <f>BalSheet!F32</f>
        <v>0</v>
      </c>
      <c r="G12" s="4">
        <f>BalSheet!G32</f>
        <v>0</v>
      </c>
      <c r="H12" s="4">
        <f>BalSheet!H32</f>
        <v>0</v>
      </c>
      <c r="I12" s="4">
        <f>BalSheet!I32</f>
        <v>0</v>
      </c>
      <c r="J12" s="4">
        <f>BalSheet!J32</f>
        <v>0</v>
      </c>
      <c r="K12" s="4">
        <f>BalSheet!K32</f>
        <v>0</v>
      </c>
      <c r="L12" s="4">
        <f>BalSheet!L32</f>
        <v>0</v>
      </c>
      <c r="M12" s="46"/>
    </row>
    <row r="13" spans="1:13" s="46" customFormat="1" x14ac:dyDescent="0.2">
      <c r="A13" s="272"/>
      <c r="B13" s="46" t="s">
        <v>32</v>
      </c>
      <c r="E13" s="273">
        <f>F4</f>
        <v>5.8479999999999997E-2</v>
      </c>
      <c r="F13" s="46">
        <f>F4</f>
        <v>5.8479999999999997E-2</v>
      </c>
      <c r="G13" s="46">
        <f t="shared" ref="G13:L13" si="4">G4</f>
        <v>5.8479999999999997E-2</v>
      </c>
      <c r="H13" s="46">
        <f t="shared" si="4"/>
        <v>5.8479999999999997E-2</v>
      </c>
      <c r="I13" s="46">
        <f t="shared" si="4"/>
        <v>5.8479999999999997E-2</v>
      </c>
      <c r="J13" s="46">
        <f t="shared" si="4"/>
        <v>5.8479999999999997E-2</v>
      </c>
      <c r="K13" s="46">
        <f t="shared" si="4"/>
        <v>5.8479999999999997E-2</v>
      </c>
      <c r="L13" s="46">
        <f t="shared" si="4"/>
        <v>5.8479999999999997E-2</v>
      </c>
    </row>
    <row r="14" spans="1:13" x14ac:dyDescent="0.2">
      <c r="B14" s="4" t="s">
        <v>33</v>
      </c>
      <c r="E14" s="27"/>
      <c r="F14" s="4">
        <f>F12*F13</f>
        <v>0</v>
      </c>
      <c r="G14" s="4">
        <f t="shared" ref="G14:L14" si="5">G12*G13</f>
        <v>0</v>
      </c>
      <c r="H14" s="4">
        <f t="shared" si="5"/>
        <v>0</v>
      </c>
      <c r="I14" s="4">
        <f t="shared" si="5"/>
        <v>0</v>
      </c>
      <c r="J14" s="4">
        <f t="shared" si="5"/>
        <v>0</v>
      </c>
      <c r="K14" s="4">
        <f t="shared" si="5"/>
        <v>0</v>
      </c>
      <c r="L14" s="4">
        <f t="shared" si="5"/>
        <v>0</v>
      </c>
      <c r="M14" s="46"/>
    </row>
    <row r="15" spans="1:13" x14ac:dyDescent="0.2">
      <c r="E15" s="27"/>
      <c r="I15" s="4"/>
      <c r="J15" s="4"/>
      <c r="K15" s="4"/>
      <c r="L15" s="4"/>
      <c r="M15" s="46"/>
    </row>
    <row r="16" spans="1:13" x14ac:dyDescent="0.2">
      <c r="A16" s="239" t="s">
        <v>34</v>
      </c>
      <c r="B16" s="19"/>
      <c r="C16" s="231">
        <f t="shared" ref="C16:F16" si="6">C11</f>
        <v>2023</v>
      </c>
      <c r="D16" s="231">
        <f t="shared" si="6"/>
        <v>2024</v>
      </c>
      <c r="E16" s="231">
        <f t="shared" si="6"/>
        <v>2025</v>
      </c>
      <c r="F16" s="231">
        <f t="shared" si="6"/>
        <v>2026</v>
      </c>
      <c r="G16" s="231">
        <f t="shared" ref="G16:L16" si="7">G11</f>
        <v>2027</v>
      </c>
      <c r="H16" s="231">
        <f t="shared" si="7"/>
        <v>2028</v>
      </c>
      <c r="I16" s="231">
        <f t="shared" si="7"/>
        <v>2029</v>
      </c>
      <c r="J16" s="231">
        <f t="shared" si="7"/>
        <v>2030</v>
      </c>
      <c r="K16" s="231">
        <f t="shared" si="7"/>
        <v>2031</v>
      </c>
      <c r="L16" s="231">
        <f t="shared" si="7"/>
        <v>2032</v>
      </c>
      <c r="M16" s="46"/>
    </row>
    <row r="17" spans="1:13" x14ac:dyDescent="0.2">
      <c r="B17" s="4" t="s">
        <v>19</v>
      </c>
      <c r="E17" s="27"/>
      <c r="F17" s="4">
        <f>E20</f>
        <v>14319.5</v>
      </c>
      <c r="G17" s="4">
        <f t="shared" ref="G17:L17" si="8">F20</f>
        <v>14319.5</v>
      </c>
      <c r="H17" s="4">
        <f t="shared" si="8"/>
        <v>14319.5</v>
      </c>
      <c r="I17" s="4">
        <f t="shared" si="8"/>
        <v>14319.5</v>
      </c>
      <c r="J17" s="4">
        <f t="shared" si="8"/>
        <v>14319.5</v>
      </c>
      <c r="K17" s="4">
        <f t="shared" si="8"/>
        <v>14319.5</v>
      </c>
      <c r="L17" s="4">
        <f t="shared" si="8"/>
        <v>14319.5</v>
      </c>
      <c r="M17" s="46"/>
    </row>
    <row r="18" spans="1:13" x14ac:dyDescent="0.2">
      <c r="B18" s="4" t="s">
        <v>35</v>
      </c>
      <c r="E18" s="27"/>
      <c r="F18" s="4">
        <f>SUM(F8)</f>
        <v>0</v>
      </c>
      <c r="G18" s="4">
        <f t="shared" ref="G18:L18" si="9">SUM(G8)</f>
        <v>0</v>
      </c>
      <c r="H18" s="4">
        <f t="shared" si="9"/>
        <v>0</v>
      </c>
      <c r="I18" s="4">
        <f t="shared" si="9"/>
        <v>0</v>
      </c>
      <c r="J18" s="4">
        <f t="shared" si="9"/>
        <v>0</v>
      </c>
      <c r="K18" s="4">
        <f t="shared" si="9"/>
        <v>0</v>
      </c>
      <c r="L18" s="4">
        <f t="shared" si="9"/>
        <v>0</v>
      </c>
      <c r="M18" s="46"/>
    </row>
    <row r="19" spans="1:13" x14ac:dyDescent="0.2">
      <c r="B19" s="4" t="s">
        <v>36</v>
      </c>
      <c r="E19" s="27"/>
      <c r="F19" s="4">
        <f>SUM(F9)</f>
        <v>0</v>
      </c>
      <c r="G19" s="4">
        <f t="shared" ref="G19:L19" si="10">SUM(G9)</f>
        <v>0</v>
      </c>
      <c r="H19" s="4">
        <f t="shared" si="10"/>
        <v>0</v>
      </c>
      <c r="I19" s="4">
        <f t="shared" si="10"/>
        <v>0</v>
      </c>
      <c r="J19" s="4">
        <f t="shared" si="10"/>
        <v>0</v>
      </c>
      <c r="K19" s="4">
        <f t="shared" si="10"/>
        <v>0</v>
      </c>
      <c r="L19" s="4">
        <f t="shared" si="10"/>
        <v>0</v>
      </c>
    </row>
    <row r="20" spans="1:13" x14ac:dyDescent="0.2">
      <c r="B20" s="4" t="s">
        <v>23</v>
      </c>
      <c r="C20" s="10"/>
      <c r="E20" s="27">
        <f>BalSheet!E37</f>
        <v>14319.5</v>
      </c>
      <c r="F20" s="4">
        <f>SUM(F17:F19)</f>
        <v>14319.5</v>
      </c>
      <c r="G20" s="4">
        <f t="shared" ref="G20:L20" si="11">SUM(G17:G19)</f>
        <v>14319.5</v>
      </c>
      <c r="H20" s="4">
        <f t="shared" si="11"/>
        <v>14319.5</v>
      </c>
      <c r="I20" s="4">
        <f t="shared" si="11"/>
        <v>14319.5</v>
      </c>
      <c r="J20" s="4">
        <f t="shared" si="11"/>
        <v>14319.5</v>
      </c>
      <c r="K20" s="4">
        <f t="shared" si="11"/>
        <v>14319.5</v>
      </c>
      <c r="L20" s="4">
        <f t="shared" si="11"/>
        <v>14319.5</v>
      </c>
    </row>
    <row r="21" spans="1:13" x14ac:dyDescent="0.2">
      <c r="B21" s="4" t="s">
        <v>32</v>
      </c>
      <c r="D21" s="47"/>
      <c r="E21" s="27"/>
      <c r="F21" s="8">
        <f>F5</f>
        <v>3.8100000000000002E-2</v>
      </c>
      <c r="G21" s="8">
        <f t="shared" ref="G21:L21" si="12">G5</f>
        <v>3.8100000000000002E-2</v>
      </c>
      <c r="H21" s="8">
        <f t="shared" si="12"/>
        <v>3.8100000000000002E-2</v>
      </c>
      <c r="I21" s="8">
        <f t="shared" si="12"/>
        <v>3.8100000000000002E-2</v>
      </c>
      <c r="J21" s="8">
        <f t="shared" si="12"/>
        <v>3.8100000000000002E-2</v>
      </c>
      <c r="K21" s="8">
        <f t="shared" si="12"/>
        <v>3.8100000000000002E-2</v>
      </c>
      <c r="L21" s="8">
        <f t="shared" si="12"/>
        <v>3.8100000000000002E-2</v>
      </c>
    </row>
    <row r="22" spans="1:13" x14ac:dyDescent="0.2">
      <c r="B22" s="4" t="s">
        <v>33</v>
      </c>
      <c r="E22" s="27"/>
      <c r="F22" s="4">
        <f>F20*F21</f>
        <v>545.57294999999999</v>
      </c>
      <c r="G22" s="4">
        <f t="shared" ref="G22:L22" si="13">G20*G21</f>
        <v>545.57294999999999</v>
      </c>
      <c r="H22" s="4">
        <f t="shared" si="13"/>
        <v>545.57294999999999</v>
      </c>
      <c r="I22" s="4">
        <f t="shared" si="13"/>
        <v>545.57294999999999</v>
      </c>
      <c r="J22" s="4">
        <f t="shared" si="13"/>
        <v>545.57294999999999</v>
      </c>
      <c r="K22" s="4">
        <f t="shared" si="13"/>
        <v>545.57294999999999</v>
      </c>
      <c r="L22" s="4">
        <f t="shared" si="13"/>
        <v>545.57294999999999</v>
      </c>
    </row>
    <row r="23" spans="1:13" x14ac:dyDescent="0.2">
      <c r="E23" s="27"/>
      <c r="I23" s="4"/>
      <c r="J23" s="4"/>
      <c r="K23" s="4"/>
      <c r="L23" s="4"/>
    </row>
    <row r="24" spans="1:13" x14ac:dyDescent="0.2">
      <c r="A24" s="20" t="s">
        <v>37</v>
      </c>
      <c r="B24" s="41"/>
      <c r="C24" s="231">
        <f>C16</f>
        <v>2023</v>
      </c>
      <c r="D24" s="231">
        <f t="shared" ref="D24:F24" si="14">D16</f>
        <v>2024</v>
      </c>
      <c r="E24" s="231">
        <f t="shared" si="14"/>
        <v>2025</v>
      </c>
      <c r="F24" s="231">
        <f t="shared" si="14"/>
        <v>2026</v>
      </c>
      <c r="G24" s="231">
        <f t="shared" ref="G24:L24" si="15">G16</f>
        <v>2027</v>
      </c>
      <c r="H24" s="231">
        <f t="shared" si="15"/>
        <v>2028</v>
      </c>
      <c r="I24" s="231">
        <f t="shared" si="15"/>
        <v>2029</v>
      </c>
      <c r="J24" s="231">
        <f t="shared" si="15"/>
        <v>2030</v>
      </c>
      <c r="K24" s="231">
        <f t="shared" si="15"/>
        <v>2031</v>
      </c>
      <c r="L24" s="231">
        <f t="shared" si="15"/>
        <v>2032</v>
      </c>
    </row>
    <row r="25" spans="1:13" x14ac:dyDescent="0.2">
      <c r="A25" s="7"/>
      <c r="B25" s="4" t="s">
        <v>30</v>
      </c>
      <c r="E25" s="27"/>
      <c r="F25" s="4">
        <f>F12</f>
        <v>0</v>
      </c>
      <c r="G25" s="4">
        <f t="shared" ref="G25:L25" si="16">G12</f>
        <v>0</v>
      </c>
      <c r="H25" s="4">
        <f t="shared" si="16"/>
        <v>0</v>
      </c>
      <c r="I25" s="4">
        <f t="shared" si="16"/>
        <v>0</v>
      </c>
      <c r="J25" s="4">
        <f t="shared" si="16"/>
        <v>0</v>
      </c>
      <c r="K25" s="4">
        <f t="shared" si="16"/>
        <v>0</v>
      </c>
      <c r="L25" s="4">
        <f t="shared" si="16"/>
        <v>0</v>
      </c>
    </row>
    <row r="26" spans="1:13" x14ac:dyDescent="0.2">
      <c r="A26" s="7"/>
      <c r="B26" s="4" t="s">
        <v>38</v>
      </c>
      <c r="E26" s="27"/>
      <c r="F26" s="4">
        <f>F20</f>
        <v>14319.5</v>
      </c>
      <c r="G26" s="4">
        <f t="shared" ref="G26:L26" si="17">G20</f>
        <v>14319.5</v>
      </c>
      <c r="H26" s="4">
        <f t="shared" si="17"/>
        <v>14319.5</v>
      </c>
      <c r="I26" s="4">
        <f t="shared" si="17"/>
        <v>14319.5</v>
      </c>
      <c r="J26" s="4">
        <f t="shared" si="17"/>
        <v>14319.5</v>
      </c>
      <c r="K26" s="4">
        <f t="shared" si="17"/>
        <v>14319.5</v>
      </c>
      <c r="L26" s="4">
        <f t="shared" si="17"/>
        <v>14319.5</v>
      </c>
    </row>
    <row r="27" spans="1:13" x14ac:dyDescent="0.2">
      <c r="A27" s="7"/>
      <c r="B27" s="11" t="s">
        <v>39</v>
      </c>
      <c r="D27" s="11"/>
      <c r="E27" s="24"/>
      <c r="F27" s="11">
        <f>SUM(F25:F26)</f>
        <v>14319.5</v>
      </c>
      <c r="G27" s="11">
        <f t="shared" ref="G27:L27" si="18">SUM(G25:G26)</f>
        <v>14319.5</v>
      </c>
      <c r="H27" s="11">
        <f t="shared" si="18"/>
        <v>14319.5</v>
      </c>
      <c r="I27" s="11">
        <f t="shared" si="18"/>
        <v>14319.5</v>
      </c>
      <c r="J27" s="11">
        <f t="shared" si="18"/>
        <v>14319.5</v>
      </c>
      <c r="K27" s="11">
        <f t="shared" si="18"/>
        <v>14319.5</v>
      </c>
      <c r="L27" s="11">
        <f t="shared" si="18"/>
        <v>14319.5</v>
      </c>
    </row>
    <row r="28" spans="1:13" x14ac:dyDescent="0.2">
      <c r="A28" s="7"/>
      <c r="B28" s="4" t="s">
        <v>40</v>
      </c>
      <c r="E28" s="27"/>
      <c r="F28" s="4">
        <f>F22</f>
        <v>545.57294999999999</v>
      </c>
      <c r="G28" s="4">
        <f t="shared" ref="G28:L28" si="19">G22</f>
        <v>545.57294999999999</v>
      </c>
      <c r="H28" s="4">
        <f t="shared" si="19"/>
        <v>545.57294999999999</v>
      </c>
      <c r="I28" s="4">
        <f t="shared" si="19"/>
        <v>545.57294999999999</v>
      </c>
      <c r="J28" s="4">
        <f t="shared" si="19"/>
        <v>545.57294999999999</v>
      </c>
      <c r="K28" s="4">
        <f t="shared" si="19"/>
        <v>545.57294999999999</v>
      </c>
      <c r="L28" s="4">
        <f t="shared" si="19"/>
        <v>545.57294999999999</v>
      </c>
    </row>
    <row r="29" spans="1:13" x14ac:dyDescent="0.2">
      <c r="A29" s="7"/>
      <c r="E29" s="27"/>
      <c r="I29" s="4"/>
      <c r="J29" s="4"/>
      <c r="K29" s="4"/>
      <c r="L29" s="4"/>
    </row>
    <row r="30" spans="1:13" x14ac:dyDescent="0.2">
      <c r="A30" s="20" t="s">
        <v>41</v>
      </c>
      <c r="B30" s="41"/>
      <c r="C30" s="231">
        <f>C11</f>
        <v>2023</v>
      </c>
      <c r="D30" s="231">
        <f t="shared" ref="D30:F30" si="20">D11</f>
        <v>2024</v>
      </c>
      <c r="E30" s="231">
        <f t="shared" si="20"/>
        <v>2025</v>
      </c>
      <c r="F30" s="231">
        <f t="shared" si="20"/>
        <v>2026</v>
      </c>
      <c r="G30" s="231">
        <f t="shared" ref="G30:L30" si="21">G11</f>
        <v>2027</v>
      </c>
      <c r="H30" s="231">
        <f t="shared" si="21"/>
        <v>2028</v>
      </c>
      <c r="I30" s="231">
        <f t="shared" si="21"/>
        <v>2029</v>
      </c>
      <c r="J30" s="231">
        <f t="shared" si="21"/>
        <v>2030</v>
      </c>
      <c r="K30" s="231">
        <f t="shared" si="21"/>
        <v>2031</v>
      </c>
      <c r="L30" s="231">
        <f t="shared" si="21"/>
        <v>2032</v>
      </c>
    </row>
    <row r="31" spans="1:13" x14ac:dyDescent="0.2">
      <c r="A31" s="7"/>
      <c r="B31" s="4" t="s">
        <v>169</v>
      </c>
      <c r="E31" s="27"/>
      <c r="F31" s="4">
        <f>BalSheet!F18</f>
        <v>788.01462717851518</v>
      </c>
      <c r="G31" s="4">
        <f>BalSheet!G18</f>
        <v>702.09194791695791</v>
      </c>
      <c r="H31" s="4">
        <f>BalSheet!H18</f>
        <v>765.7560620786544</v>
      </c>
      <c r="I31" s="4">
        <f>BalSheet!I18</f>
        <v>1409.6293357261848</v>
      </c>
      <c r="J31" s="4">
        <f>BalSheet!J18</f>
        <v>2817.713212918814</v>
      </c>
      <c r="K31" s="4">
        <f>BalSheet!K18</f>
        <v>5174.8206536874386</v>
      </c>
      <c r="L31" s="4">
        <f>BalSheet!L18</f>
        <v>8546.4878003227059</v>
      </c>
    </row>
    <row r="32" spans="1:13" x14ac:dyDescent="0.2">
      <c r="B32" s="4" t="s">
        <v>32</v>
      </c>
      <c r="D32" s="47"/>
      <c r="E32" s="23"/>
      <c r="F32" s="5">
        <f>F6</f>
        <v>3.7368389020753456E-2</v>
      </c>
      <c r="G32" s="5">
        <f t="shared" ref="G32:L32" si="22">G6</f>
        <v>3.7368389020753456E-2</v>
      </c>
      <c r="H32" s="5">
        <f t="shared" si="22"/>
        <v>3.7368389020753456E-2</v>
      </c>
      <c r="I32" s="5">
        <f t="shared" si="22"/>
        <v>3.7368389020753456E-2</v>
      </c>
      <c r="J32" s="5">
        <f t="shared" si="22"/>
        <v>3.7368389020753456E-2</v>
      </c>
      <c r="K32" s="5">
        <f t="shared" si="22"/>
        <v>3.7368389020753456E-2</v>
      </c>
      <c r="L32" s="5">
        <f t="shared" si="22"/>
        <v>3.7368389020753456E-2</v>
      </c>
    </row>
    <row r="33" spans="2:12" x14ac:dyDescent="0.2">
      <c r="B33" s="4" t="s">
        <v>41</v>
      </c>
      <c r="E33" s="27"/>
      <c r="F33" s="4">
        <f>F31*F32</f>
        <v>29.446837142450754</v>
      </c>
      <c r="G33" s="4">
        <f t="shared" ref="G33:L33" si="23">G31*G32</f>
        <v>26.236045038099459</v>
      </c>
      <c r="H33" s="4">
        <f t="shared" si="23"/>
        <v>28.615070422755391</v>
      </c>
      <c r="I33" s="4">
        <f t="shared" si="23"/>
        <v>52.675577392482353</v>
      </c>
      <c r="J33" s="4">
        <f t="shared" si="23"/>
        <v>105.29340348926735</v>
      </c>
      <c r="K33" s="4">
        <f t="shared" si="23"/>
        <v>193.37471129962191</v>
      </c>
      <c r="L33" s="4">
        <f t="shared" si="23"/>
        <v>319.36848088358238</v>
      </c>
    </row>
    <row r="34" spans="2:12" x14ac:dyDescent="0.2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C19" sqref="C19"/>
    </sheetView>
  </sheetViews>
  <sheetFormatPr baseColWidth="10" defaultColWidth="8.83203125" defaultRowHeight="15" x14ac:dyDescent="0.2"/>
  <cols>
    <col min="1" max="1" width="1.6640625" style="11" customWidth="1"/>
    <col min="2" max="2" width="40.6640625" style="4" customWidth="1"/>
    <col min="3" max="7" width="11.6640625" style="4" customWidth="1"/>
    <col min="8" max="8" width="11.6640625" style="6" customWidth="1"/>
    <col min="9" max="12" width="11.6640625" style="4" customWidth="1"/>
    <col min="13" max="253" width="8.83203125" style="4"/>
    <col min="254" max="254" width="1.6640625" style="4" customWidth="1"/>
    <col min="255" max="255" width="40.6640625" style="4" customWidth="1"/>
    <col min="256" max="260" width="10.6640625" style="4" customWidth="1"/>
    <col min="261" max="261" width="11.5" style="4" customWidth="1"/>
    <col min="262" max="263" width="12" style="4" customWidth="1"/>
    <col min="264" max="265" width="8.83203125" style="4"/>
    <col min="266" max="266" width="10.6640625" style="4" bestFit="1" customWidth="1"/>
    <col min="267" max="509" width="8.83203125" style="4"/>
    <col min="510" max="510" width="1.6640625" style="4" customWidth="1"/>
    <col min="511" max="511" width="40.6640625" style="4" customWidth="1"/>
    <col min="512" max="516" width="10.6640625" style="4" customWidth="1"/>
    <col min="517" max="517" width="11.5" style="4" customWidth="1"/>
    <col min="518" max="519" width="12" style="4" customWidth="1"/>
    <col min="520" max="521" width="8.83203125" style="4"/>
    <col min="522" max="522" width="10.6640625" style="4" bestFit="1" customWidth="1"/>
    <col min="523" max="765" width="8.83203125" style="4"/>
    <col min="766" max="766" width="1.6640625" style="4" customWidth="1"/>
    <col min="767" max="767" width="40.6640625" style="4" customWidth="1"/>
    <col min="768" max="772" width="10.6640625" style="4" customWidth="1"/>
    <col min="773" max="773" width="11.5" style="4" customWidth="1"/>
    <col min="774" max="775" width="12" style="4" customWidth="1"/>
    <col min="776" max="777" width="8.83203125" style="4"/>
    <col min="778" max="778" width="10.6640625" style="4" bestFit="1" customWidth="1"/>
    <col min="779" max="1021" width="8.83203125" style="4"/>
    <col min="1022" max="1022" width="1.6640625" style="4" customWidth="1"/>
    <col min="1023" max="1023" width="40.6640625" style="4" customWidth="1"/>
    <col min="1024" max="1028" width="10.6640625" style="4" customWidth="1"/>
    <col min="1029" max="1029" width="11.5" style="4" customWidth="1"/>
    <col min="1030" max="1031" width="12" style="4" customWidth="1"/>
    <col min="1032" max="1033" width="8.83203125" style="4"/>
    <col min="1034" max="1034" width="10.6640625" style="4" bestFit="1" customWidth="1"/>
    <col min="1035" max="1277" width="8.83203125" style="4"/>
    <col min="1278" max="1278" width="1.6640625" style="4" customWidth="1"/>
    <col min="1279" max="1279" width="40.6640625" style="4" customWidth="1"/>
    <col min="1280" max="1284" width="10.6640625" style="4" customWidth="1"/>
    <col min="1285" max="1285" width="11.5" style="4" customWidth="1"/>
    <col min="1286" max="1287" width="12" style="4" customWidth="1"/>
    <col min="1288" max="1289" width="8.83203125" style="4"/>
    <col min="1290" max="1290" width="10.6640625" style="4" bestFit="1" customWidth="1"/>
    <col min="1291" max="1533" width="8.83203125" style="4"/>
    <col min="1534" max="1534" width="1.6640625" style="4" customWidth="1"/>
    <col min="1535" max="1535" width="40.6640625" style="4" customWidth="1"/>
    <col min="1536" max="1540" width="10.6640625" style="4" customWidth="1"/>
    <col min="1541" max="1541" width="11.5" style="4" customWidth="1"/>
    <col min="1542" max="1543" width="12" style="4" customWidth="1"/>
    <col min="1544" max="1545" width="8.83203125" style="4"/>
    <col min="1546" max="1546" width="10.6640625" style="4" bestFit="1" customWidth="1"/>
    <col min="1547" max="1789" width="8.83203125" style="4"/>
    <col min="1790" max="1790" width="1.6640625" style="4" customWidth="1"/>
    <col min="1791" max="1791" width="40.6640625" style="4" customWidth="1"/>
    <col min="1792" max="1796" width="10.6640625" style="4" customWidth="1"/>
    <col min="1797" max="1797" width="11.5" style="4" customWidth="1"/>
    <col min="1798" max="1799" width="12" style="4" customWidth="1"/>
    <col min="1800" max="1801" width="8.83203125" style="4"/>
    <col min="1802" max="1802" width="10.6640625" style="4" bestFit="1" customWidth="1"/>
    <col min="1803" max="2045" width="8.83203125" style="4"/>
    <col min="2046" max="2046" width="1.6640625" style="4" customWidth="1"/>
    <col min="2047" max="2047" width="40.6640625" style="4" customWidth="1"/>
    <col min="2048" max="2052" width="10.6640625" style="4" customWidth="1"/>
    <col min="2053" max="2053" width="11.5" style="4" customWidth="1"/>
    <col min="2054" max="2055" width="12" style="4" customWidth="1"/>
    <col min="2056" max="2057" width="8.83203125" style="4"/>
    <col min="2058" max="2058" width="10.6640625" style="4" bestFit="1" customWidth="1"/>
    <col min="2059" max="2301" width="8.83203125" style="4"/>
    <col min="2302" max="2302" width="1.6640625" style="4" customWidth="1"/>
    <col min="2303" max="2303" width="40.6640625" style="4" customWidth="1"/>
    <col min="2304" max="2308" width="10.6640625" style="4" customWidth="1"/>
    <col min="2309" max="2309" width="11.5" style="4" customWidth="1"/>
    <col min="2310" max="2311" width="12" style="4" customWidth="1"/>
    <col min="2312" max="2313" width="8.83203125" style="4"/>
    <col min="2314" max="2314" width="10.6640625" style="4" bestFit="1" customWidth="1"/>
    <col min="2315" max="2557" width="8.83203125" style="4"/>
    <col min="2558" max="2558" width="1.6640625" style="4" customWidth="1"/>
    <col min="2559" max="2559" width="40.6640625" style="4" customWidth="1"/>
    <col min="2560" max="2564" width="10.6640625" style="4" customWidth="1"/>
    <col min="2565" max="2565" width="11.5" style="4" customWidth="1"/>
    <col min="2566" max="2567" width="12" style="4" customWidth="1"/>
    <col min="2568" max="2569" width="8.83203125" style="4"/>
    <col min="2570" max="2570" width="10.6640625" style="4" bestFit="1" customWidth="1"/>
    <col min="2571" max="2813" width="8.83203125" style="4"/>
    <col min="2814" max="2814" width="1.6640625" style="4" customWidth="1"/>
    <col min="2815" max="2815" width="40.6640625" style="4" customWidth="1"/>
    <col min="2816" max="2820" width="10.6640625" style="4" customWidth="1"/>
    <col min="2821" max="2821" width="11.5" style="4" customWidth="1"/>
    <col min="2822" max="2823" width="12" style="4" customWidth="1"/>
    <col min="2824" max="2825" width="8.83203125" style="4"/>
    <col min="2826" max="2826" width="10.6640625" style="4" bestFit="1" customWidth="1"/>
    <col min="2827" max="3069" width="8.83203125" style="4"/>
    <col min="3070" max="3070" width="1.6640625" style="4" customWidth="1"/>
    <col min="3071" max="3071" width="40.6640625" style="4" customWidth="1"/>
    <col min="3072" max="3076" width="10.6640625" style="4" customWidth="1"/>
    <col min="3077" max="3077" width="11.5" style="4" customWidth="1"/>
    <col min="3078" max="3079" width="12" style="4" customWidth="1"/>
    <col min="3080" max="3081" width="8.83203125" style="4"/>
    <col min="3082" max="3082" width="10.6640625" style="4" bestFit="1" customWidth="1"/>
    <col min="3083" max="3325" width="8.83203125" style="4"/>
    <col min="3326" max="3326" width="1.6640625" style="4" customWidth="1"/>
    <col min="3327" max="3327" width="40.6640625" style="4" customWidth="1"/>
    <col min="3328" max="3332" width="10.6640625" style="4" customWidth="1"/>
    <col min="3333" max="3333" width="11.5" style="4" customWidth="1"/>
    <col min="3334" max="3335" width="12" style="4" customWidth="1"/>
    <col min="3336" max="3337" width="8.83203125" style="4"/>
    <col min="3338" max="3338" width="10.6640625" style="4" bestFit="1" customWidth="1"/>
    <col min="3339" max="3581" width="8.83203125" style="4"/>
    <col min="3582" max="3582" width="1.6640625" style="4" customWidth="1"/>
    <col min="3583" max="3583" width="40.6640625" style="4" customWidth="1"/>
    <col min="3584" max="3588" width="10.6640625" style="4" customWidth="1"/>
    <col min="3589" max="3589" width="11.5" style="4" customWidth="1"/>
    <col min="3590" max="3591" width="12" style="4" customWidth="1"/>
    <col min="3592" max="3593" width="8.83203125" style="4"/>
    <col min="3594" max="3594" width="10.6640625" style="4" bestFit="1" customWidth="1"/>
    <col min="3595" max="3837" width="8.83203125" style="4"/>
    <col min="3838" max="3838" width="1.6640625" style="4" customWidth="1"/>
    <col min="3839" max="3839" width="40.6640625" style="4" customWidth="1"/>
    <col min="3840" max="3844" width="10.6640625" style="4" customWidth="1"/>
    <col min="3845" max="3845" width="11.5" style="4" customWidth="1"/>
    <col min="3846" max="3847" width="12" style="4" customWidth="1"/>
    <col min="3848" max="3849" width="8.83203125" style="4"/>
    <col min="3850" max="3850" width="10.6640625" style="4" bestFit="1" customWidth="1"/>
    <col min="3851" max="4093" width="8.83203125" style="4"/>
    <col min="4094" max="4094" width="1.6640625" style="4" customWidth="1"/>
    <col min="4095" max="4095" width="40.6640625" style="4" customWidth="1"/>
    <col min="4096" max="4100" width="10.6640625" style="4" customWidth="1"/>
    <col min="4101" max="4101" width="11.5" style="4" customWidth="1"/>
    <col min="4102" max="4103" width="12" style="4" customWidth="1"/>
    <col min="4104" max="4105" width="8.83203125" style="4"/>
    <col min="4106" max="4106" width="10.6640625" style="4" bestFit="1" customWidth="1"/>
    <col min="4107" max="4349" width="8.83203125" style="4"/>
    <col min="4350" max="4350" width="1.6640625" style="4" customWidth="1"/>
    <col min="4351" max="4351" width="40.6640625" style="4" customWidth="1"/>
    <col min="4352" max="4356" width="10.6640625" style="4" customWidth="1"/>
    <col min="4357" max="4357" width="11.5" style="4" customWidth="1"/>
    <col min="4358" max="4359" width="12" style="4" customWidth="1"/>
    <col min="4360" max="4361" width="8.83203125" style="4"/>
    <col min="4362" max="4362" width="10.6640625" style="4" bestFit="1" customWidth="1"/>
    <col min="4363" max="4605" width="8.83203125" style="4"/>
    <col min="4606" max="4606" width="1.6640625" style="4" customWidth="1"/>
    <col min="4607" max="4607" width="40.6640625" style="4" customWidth="1"/>
    <col min="4608" max="4612" width="10.6640625" style="4" customWidth="1"/>
    <col min="4613" max="4613" width="11.5" style="4" customWidth="1"/>
    <col min="4614" max="4615" width="12" style="4" customWidth="1"/>
    <col min="4616" max="4617" width="8.83203125" style="4"/>
    <col min="4618" max="4618" width="10.6640625" style="4" bestFit="1" customWidth="1"/>
    <col min="4619" max="4861" width="8.83203125" style="4"/>
    <col min="4862" max="4862" width="1.6640625" style="4" customWidth="1"/>
    <col min="4863" max="4863" width="40.6640625" style="4" customWidth="1"/>
    <col min="4864" max="4868" width="10.6640625" style="4" customWidth="1"/>
    <col min="4869" max="4869" width="11.5" style="4" customWidth="1"/>
    <col min="4870" max="4871" width="12" style="4" customWidth="1"/>
    <col min="4872" max="4873" width="8.83203125" style="4"/>
    <col min="4874" max="4874" width="10.6640625" style="4" bestFit="1" customWidth="1"/>
    <col min="4875" max="5117" width="8.83203125" style="4"/>
    <col min="5118" max="5118" width="1.6640625" style="4" customWidth="1"/>
    <col min="5119" max="5119" width="40.6640625" style="4" customWidth="1"/>
    <col min="5120" max="5124" width="10.6640625" style="4" customWidth="1"/>
    <col min="5125" max="5125" width="11.5" style="4" customWidth="1"/>
    <col min="5126" max="5127" width="12" style="4" customWidth="1"/>
    <col min="5128" max="5129" width="8.83203125" style="4"/>
    <col min="5130" max="5130" width="10.6640625" style="4" bestFit="1" customWidth="1"/>
    <col min="5131" max="5373" width="8.83203125" style="4"/>
    <col min="5374" max="5374" width="1.6640625" style="4" customWidth="1"/>
    <col min="5375" max="5375" width="40.6640625" style="4" customWidth="1"/>
    <col min="5376" max="5380" width="10.6640625" style="4" customWidth="1"/>
    <col min="5381" max="5381" width="11.5" style="4" customWidth="1"/>
    <col min="5382" max="5383" width="12" style="4" customWidth="1"/>
    <col min="5384" max="5385" width="8.83203125" style="4"/>
    <col min="5386" max="5386" width="10.6640625" style="4" bestFit="1" customWidth="1"/>
    <col min="5387" max="5629" width="8.83203125" style="4"/>
    <col min="5630" max="5630" width="1.6640625" style="4" customWidth="1"/>
    <col min="5631" max="5631" width="40.6640625" style="4" customWidth="1"/>
    <col min="5632" max="5636" width="10.6640625" style="4" customWidth="1"/>
    <col min="5637" max="5637" width="11.5" style="4" customWidth="1"/>
    <col min="5638" max="5639" width="12" style="4" customWidth="1"/>
    <col min="5640" max="5641" width="8.83203125" style="4"/>
    <col min="5642" max="5642" width="10.6640625" style="4" bestFit="1" customWidth="1"/>
    <col min="5643" max="5885" width="8.83203125" style="4"/>
    <col min="5886" max="5886" width="1.6640625" style="4" customWidth="1"/>
    <col min="5887" max="5887" width="40.6640625" style="4" customWidth="1"/>
    <col min="5888" max="5892" width="10.6640625" style="4" customWidth="1"/>
    <col min="5893" max="5893" width="11.5" style="4" customWidth="1"/>
    <col min="5894" max="5895" width="12" style="4" customWidth="1"/>
    <col min="5896" max="5897" width="8.83203125" style="4"/>
    <col min="5898" max="5898" width="10.6640625" style="4" bestFit="1" customWidth="1"/>
    <col min="5899" max="6141" width="8.83203125" style="4"/>
    <col min="6142" max="6142" width="1.6640625" style="4" customWidth="1"/>
    <col min="6143" max="6143" width="40.6640625" style="4" customWidth="1"/>
    <col min="6144" max="6148" width="10.6640625" style="4" customWidth="1"/>
    <col min="6149" max="6149" width="11.5" style="4" customWidth="1"/>
    <col min="6150" max="6151" width="12" style="4" customWidth="1"/>
    <col min="6152" max="6153" width="8.83203125" style="4"/>
    <col min="6154" max="6154" width="10.6640625" style="4" bestFit="1" customWidth="1"/>
    <col min="6155" max="6397" width="8.83203125" style="4"/>
    <col min="6398" max="6398" width="1.6640625" style="4" customWidth="1"/>
    <col min="6399" max="6399" width="40.6640625" style="4" customWidth="1"/>
    <col min="6400" max="6404" width="10.6640625" style="4" customWidth="1"/>
    <col min="6405" max="6405" width="11.5" style="4" customWidth="1"/>
    <col min="6406" max="6407" width="12" style="4" customWidth="1"/>
    <col min="6408" max="6409" width="8.83203125" style="4"/>
    <col min="6410" max="6410" width="10.6640625" style="4" bestFit="1" customWidth="1"/>
    <col min="6411" max="6653" width="8.83203125" style="4"/>
    <col min="6654" max="6654" width="1.6640625" style="4" customWidth="1"/>
    <col min="6655" max="6655" width="40.6640625" style="4" customWidth="1"/>
    <col min="6656" max="6660" width="10.6640625" style="4" customWidth="1"/>
    <col min="6661" max="6661" width="11.5" style="4" customWidth="1"/>
    <col min="6662" max="6663" width="12" style="4" customWidth="1"/>
    <col min="6664" max="6665" width="8.83203125" style="4"/>
    <col min="6666" max="6666" width="10.6640625" style="4" bestFit="1" customWidth="1"/>
    <col min="6667" max="6909" width="8.83203125" style="4"/>
    <col min="6910" max="6910" width="1.6640625" style="4" customWidth="1"/>
    <col min="6911" max="6911" width="40.6640625" style="4" customWidth="1"/>
    <col min="6912" max="6916" width="10.6640625" style="4" customWidth="1"/>
    <col min="6917" max="6917" width="11.5" style="4" customWidth="1"/>
    <col min="6918" max="6919" width="12" style="4" customWidth="1"/>
    <col min="6920" max="6921" width="8.83203125" style="4"/>
    <col min="6922" max="6922" width="10.6640625" style="4" bestFit="1" customWidth="1"/>
    <col min="6923" max="7165" width="8.83203125" style="4"/>
    <col min="7166" max="7166" width="1.6640625" style="4" customWidth="1"/>
    <col min="7167" max="7167" width="40.6640625" style="4" customWidth="1"/>
    <col min="7168" max="7172" width="10.6640625" style="4" customWidth="1"/>
    <col min="7173" max="7173" width="11.5" style="4" customWidth="1"/>
    <col min="7174" max="7175" width="12" style="4" customWidth="1"/>
    <col min="7176" max="7177" width="8.83203125" style="4"/>
    <col min="7178" max="7178" width="10.6640625" style="4" bestFit="1" customWidth="1"/>
    <col min="7179" max="7421" width="8.83203125" style="4"/>
    <col min="7422" max="7422" width="1.6640625" style="4" customWidth="1"/>
    <col min="7423" max="7423" width="40.6640625" style="4" customWidth="1"/>
    <col min="7424" max="7428" width="10.6640625" style="4" customWidth="1"/>
    <col min="7429" max="7429" width="11.5" style="4" customWidth="1"/>
    <col min="7430" max="7431" width="12" style="4" customWidth="1"/>
    <col min="7432" max="7433" width="8.83203125" style="4"/>
    <col min="7434" max="7434" width="10.6640625" style="4" bestFit="1" customWidth="1"/>
    <col min="7435" max="7677" width="8.83203125" style="4"/>
    <col min="7678" max="7678" width="1.6640625" style="4" customWidth="1"/>
    <col min="7679" max="7679" width="40.6640625" style="4" customWidth="1"/>
    <col min="7680" max="7684" width="10.6640625" style="4" customWidth="1"/>
    <col min="7685" max="7685" width="11.5" style="4" customWidth="1"/>
    <col min="7686" max="7687" width="12" style="4" customWidth="1"/>
    <col min="7688" max="7689" width="8.83203125" style="4"/>
    <col min="7690" max="7690" width="10.6640625" style="4" bestFit="1" customWidth="1"/>
    <col min="7691" max="7933" width="8.83203125" style="4"/>
    <col min="7934" max="7934" width="1.6640625" style="4" customWidth="1"/>
    <col min="7935" max="7935" width="40.6640625" style="4" customWidth="1"/>
    <col min="7936" max="7940" width="10.6640625" style="4" customWidth="1"/>
    <col min="7941" max="7941" width="11.5" style="4" customWidth="1"/>
    <col min="7942" max="7943" width="12" style="4" customWidth="1"/>
    <col min="7944" max="7945" width="8.83203125" style="4"/>
    <col min="7946" max="7946" width="10.6640625" style="4" bestFit="1" customWidth="1"/>
    <col min="7947" max="8189" width="8.83203125" style="4"/>
    <col min="8190" max="8190" width="1.6640625" style="4" customWidth="1"/>
    <col min="8191" max="8191" width="40.6640625" style="4" customWidth="1"/>
    <col min="8192" max="8196" width="10.6640625" style="4" customWidth="1"/>
    <col min="8197" max="8197" width="11.5" style="4" customWidth="1"/>
    <col min="8198" max="8199" width="12" style="4" customWidth="1"/>
    <col min="8200" max="8201" width="8.83203125" style="4"/>
    <col min="8202" max="8202" width="10.6640625" style="4" bestFit="1" customWidth="1"/>
    <col min="8203" max="8445" width="8.83203125" style="4"/>
    <col min="8446" max="8446" width="1.6640625" style="4" customWidth="1"/>
    <col min="8447" max="8447" width="40.6640625" style="4" customWidth="1"/>
    <col min="8448" max="8452" width="10.6640625" style="4" customWidth="1"/>
    <col min="8453" max="8453" width="11.5" style="4" customWidth="1"/>
    <col min="8454" max="8455" width="12" style="4" customWidth="1"/>
    <col min="8456" max="8457" width="8.83203125" style="4"/>
    <col min="8458" max="8458" width="10.6640625" style="4" bestFit="1" customWidth="1"/>
    <col min="8459" max="8701" width="8.83203125" style="4"/>
    <col min="8702" max="8702" width="1.6640625" style="4" customWidth="1"/>
    <col min="8703" max="8703" width="40.6640625" style="4" customWidth="1"/>
    <col min="8704" max="8708" width="10.6640625" style="4" customWidth="1"/>
    <col min="8709" max="8709" width="11.5" style="4" customWidth="1"/>
    <col min="8710" max="8711" width="12" style="4" customWidth="1"/>
    <col min="8712" max="8713" width="8.83203125" style="4"/>
    <col min="8714" max="8714" width="10.6640625" style="4" bestFit="1" customWidth="1"/>
    <col min="8715" max="8957" width="8.83203125" style="4"/>
    <col min="8958" max="8958" width="1.6640625" style="4" customWidth="1"/>
    <col min="8959" max="8959" width="40.6640625" style="4" customWidth="1"/>
    <col min="8960" max="8964" width="10.6640625" style="4" customWidth="1"/>
    <col min="8965" max="8965" width="11.5" style="4" customWidth="1"/>
    <col min="8966" max="8967" width="12" style="4" customWidth="1"/>
    <col min="8968" max="8969" width="8.83203125" style="4"/>
    <col min="8970" max="8970" width="10.6640625" style="4" bestFit="1" customWidth="1"/>
    <col min="8971" max="9213" width="8.83203125" style="4"/>
    <col min="9214" max="9214" width="1.6640625" style="4" customWidth="1"/>
    <col min="9215" max="9215" width="40.6640625" style="4" customWidth="1"/>
    <col min="9216" max="9220" width="10.6640625" style="4" customWidth="1"/>
    <col min="9221" max="9221" width="11.5" style="4" customWidth="1"/>
    <col min="9222" max="9223" width="12" style="4" customWidth="1"/>
    <col min="9224" max="9225" width="8.83203125" style="4"/>
    <col min="9226" max="9226" width="10.6640625" style="4" bestFit="1" customWidth="1"/>
    <col min="9227" max="9469" width="8.83203125" style="4"/>
    <col min="9470" max="9470" width="1.6640625" style="4" customWidth="1"/>
    <col min="9471" max="9471" width="40.6640625" style="4" customWidth="1"/>
    <col min="9472" max="9476" width="10.6640625" style="4" customWidth="1"/>
    <col min="9477" max="9477" width="11.5" style="4" customWidth="1"/>
    <col min="9478" max="9479" width="12" style="4" customWidth="1"/>
    <col min="9480" max="9481" width="8.83203125" style="4"/>
    <col min="9482" max="9482" width="10.6640625" style="4" bestFit="1" customWidth="1"/>
    <col min="9483" max="9725" width="8.83203125" style="4"/>
    <col min="9726" max="9726" width="1.6640625" style="4" customWidth="1"/>
    <col min="9727" max="9727" width="40.6640625" style="4" customWidth="1"/>
    <col min="9728" max="9732" width="10.6640625" style="4" customWidth="1"/>
    <col min="9733" max="9733" width="11.5" style="4" customWidth="1"/>
    <col min="9734" max="9735" width="12" style="4" customWidth="1"/>
    <col min="9736" max="9737" width="8.83203125" style="4"/>
    <col min="9738" max="9738" width="10.6640625" style="4" bestFit="1" customWidth="1"/>
    <col min="9739" max="9981" width="8.83203125" style="4"/>
    <col min="9982" max="9982" width="1.6640625" style="4" customWidth="1"/>
    <col min="9983" max="9983" width="40.6640625" style="4" customWidth="1"/>
    <col min="9984" max="9988" width="10.6640625" style="4" customWidth="1"/>
    <col min="9989" max="9989" width="11.5" style="4" customWidth="1"/>
    <col min="9990" max="9991" width="12" style="4" customWidth="1"/>
    <col min="9992" max="9993" width="8.83203125" style="4"/>
    <col min="9994" max="9994" width="10.6640625" style="4" bestFit="1" customWidth="1"/>
    <col min="9995" max="10237" width="8.83203125" style="4"/>
    <col min="10238" max="10238" width="1.6640625" style="4" customWidth="1"/>
    <col min="10239" max="10239" width="40.6640625" style="4" customWidth="1"/>
    <col min="10240" max="10244" width="10.6640625" style="4" customWidth="1"/>
    <col min="10245" max="10245" width="11.5" style="4" customWidth="1"/>
    <col min="10246" max="10247" width="12" style="4" customWidth="1"/>
    <col min="10248" max="10249" width="8.83203125" style="4"/>
    <col min="10250" max="10250" width="10.6640625" style="4" bestFit="1" customWidth="1"/>
    <col min="10251" max="10493" width="8.83203125" style="4"/>
    <col min="10494" max="10494" width="1.6640625" style="4" customWidth="1"/>
    <col min="10495" max="10495" width="40.6640625" style="4" customWidth="1"/>
    <col min="10496" max="10500" width="10.6640625" style="4" customWidth="1"/>
    <col min="10501" max="10501" width="11.5" style="4" customWidth="1"/>
    <col min="10502" max="10503" width="12" style="4" customWidth="1"/>
    <col min="10504" max="10505" width="8.83203125" style="4"/>
    <col min="10506" max="10506" width="10.6640625" style="4" bestFit="1" customWidth="1"/>
    <col min="10507" max="10749" width="8.83203125" style="4"/>
    <col min="10750" max="10750" width="1.6640625" style="4" customWidth="1"/>
    <col min="10751" max="10751" width="40.6640625" style="4" customWidth="1"/>
    <col min="10752" max="10756" width="10.6640625" style="4" customWidth="1"/>
    <col min="10757" max="10757" width="11.5" style="4" customWidth="1"/>
    <col min="10758" max="10759" width="12" style="4" customWidth="1"/>
    <col min="10760" max="10761" width="8.83203125" style="4"/>
    <col min="10762" max="10762" width="10.6640625" style="4" bestFit="1" customWidth="1"/>
    <col min="10763" max="11005" width="8.83203125" style="4"/>
    <col min="11006" max="11006" width="1.6640625" style="4" customWidth="1"/>
    <col min="11007" max="11007" width="40.6640625" style="4" customWidth="1"/>
    <col min="11008" max="11012" width="10.6640625" style="4" customWidth="1"/>
    <col min="11013" max="11013" width="11.5" style="4" customWidth="1"/>
    <col min="11014" max="11015" width="12" style="4" customWidth="1"/>
    <col min="11016" max="11017" width="8.83203125" style="4"/>
    <col min="11018" max="11018" width="10.6640625" style="4" bestFit="1" customWidth="1"/>
    <col min="11019" max="11261" width="8.83203125" style="4"/>
    <col min="11262" max="11262" width="1.6640625" style="4" customWidth="1"/>
    <col min="11263" max="11263" width="40.6640625" style="4" customWidth="1"/>
    <col min="11264" max="11268" width="10.6640625" style="4" customWidth="1"/>
    <col min="11269" max="11269" width="11.5" style="4" customWidth="1"/>
    <col min="11270" max="11271" width="12" style="4" customWidth="1"/>
    <col min="11272" max="11273" width="8.83203125" style="4"/>
    <col min="11274" max="11274" width="10.6640625" style="4" bestFit="1" customWidth="1"/>
    <col min="11275" max="11517" width="8.83203125" style="4"/>
    <col min="11518" max="11518" width="1.6640625" style="4" customWidth="1"/>
    <col min="11519" max="11519" width="40.6640625" style="4" customWidth="1"/>
    <col min="11520" max="11524" width="10.6640625" style="4" customWidth="1"/>
    <col min="11525" max="11525" width="11.5" style="4" customWidth="1"/>
    <col min="11526" max="11527" width="12" style="4" customWidth="1"/>
    <col min="11528" max="11529" width="8.83203125" style="4"/>
    <col min="11530" max="11530" width="10.6640625" style="4" bestFit="1" customWidth="1"/>
    <col min="11531" max="11773" width="8.83203125" style="4"/>
    <col min="11774" max="11774" width="1.6640625" style="4" customWidth="1"/>
    <col min="11775" max="11775" width="40.6640625" style="4" customWidth="1"/>
    <col min="11776" max="11780" width="10.6640625" style="4" customWidth="1"/>
    <col min="11781" max="11781" width="11.5" style="4" customWidth="1"/>
    <col min="11782" max="11783" width="12" style="4" customWidth="1"/>
    <col min="11784" max="11785" width="8.83203125" style="4"/>
    <col min="11786" max="11786" width="10.6640625" style="4" bestFit="1" customWidth="1"/>
    <col min="11787" max="12029" width="8.83203125" style="4"/>
    <col min="12030" max="12030" width="1.6640625" style="4" customWidth="1"/>
    <col min="12031" max="12031" width="40.6640625" style="4" customWidth="1"/>
    <col min="12032" max="12036" width="10.6640625" style="4" customWidth="1"/>
    <col min="12037" max="12037" width="11.5" style="4" customWidth="1"/>
    <col min="12038" max="12039" width="12" style="4" customWidth="1"/>
    <col min="12040" max="12041" width="8.83203125" style="4"/>
    <col min="12042" max="12042" width="10.6640625" style="4" bestFit="1" customWidth="1"/>
    <col min="12043" max="12285" width="8.83203125" style="4"/>
    <col min="12286" max="12286" width="1.6640625" style="4" customWidth="1"/>
    <col min="12287" max="12287" width="40.6640625" style="4" customWidth="1"/>
    <col min="12288" max="12292" width="10.6640625" style="4" customWidth="1"/>
    <col min="12293" max="12293" width="11.5" style="4" customWidth="1"/>
    <col min="12294" max="12295" width="12" style="4" customWidth="1"/>
    <col min="12296" max="12297" width="8.83203125" style="4"/>
    <col min="12298" max="12298" width="10.6640625" style="4" bestFit="1" customWidth="1"/>
    <col min="12299" max="12541" width="8.83203125" style="4"/>
    <col min="12542" max="12542" width="1.6640625" style="4" customWidth="1"/>
    <col min="12543" max="12543" width="40.6640625" style="4" customWidth="1"/>
    <col min="12544" max="12548" width="10.6640625" style="4" customWidth="1"/>
    <col min="12549" max="12549" width="11.5" style="4" customWidth="1"/>
    <col min="12550" max="12551" width="12" style="4" customWidth="1"/>
    <col min="12552" max="12553" width="8.83203125" style="4"/>
    <col min="12554" max="12554" width="10.6640625" style="4" bestFit="1" customWidth="1"/>
    <col min="12555" max="12797" width="8.83203125" style="4"/>
    <col min="12798" max="12798" width="1.6640625" style="4" customWidth="1"/>
    <col min="12799" max="12799" width="40.6640625" style="4" customWidth="1"/>
    <col min="12800" max="12804" width="10.6640625" style="4" customWidth="1"/>
    <col min="12805" max="12805" width="11.5" style="4" customWidth="1"/>
    <col min="12806" max="12807" width="12" style="4" customWidth="1"/>
    <col min="12808" max="12809" width="8.83203125" style="4"/>
    <col min="12810" max="12810" width="10.6640625" style="4" bestFit="1" customWidth="1"/>
    <col min="12811" max="13053" width="8.83203125" style="4"/>
    <col min="13054" max="13054" width="1.6640625" style="4" customWidth="1"/>
    <col min="13055" max="13055" width="40.6640625" style="4" customWidth="1"/>
    <col min="13056" max="13060" width="10.6640625" style="4" customWidth="1"/>
    <col min="13061" max="13061" width="11.5" style="4" customWidth="1"/>
    <col min="13062" max="13063" width="12" style="4" customWidth="1"/>
    <col min="13064" max="13065" width="8.83203125" style="4"/>
    <col min="13066" max="13066" width="10.6640625" style="4" bestFit="1" customWidth="1"/>
    <col min="13067" max="13309" width="8.83203125" style="4"/>
    <col min="13310" max="13310" width="1.6640625" style="4" customWidth="1"/>
    <col min="13311" max="13311" width="40.6640625" style="4" customWidth="1"/>
    <col min="13312" max="13316" width="10.6640625" style="4" customWidth="1"/>
    <col min="13317" max="13317" width="11.5" style="4" customWidth="1"/>
    <col min="13318" max="13319" width="12" style="4" customWidth="1"/>
    <col min="13320" max="13321" width="8.83203125" style="4"/>
    <col min="13322" max="13322" width="10.6640625" style="4" bestFit="1" customWidth="1"/>
    <col min="13323" max="13565" width="8.83203125" style="4"/>
    <col min="13566" max="13566" width="1.6640625" style="4" customWidth="1"/>
    <col min="13567" max="13567" width="40.6640625" style="4" customWidth="1"/>
    <col min="13568" max="13572" width="10.6640625" style="4" customWidth="1"/>
    <col min="13573" max="13573" width="11.5" style="4" customWidth="1"/>
    <col min="13574" max="13575" width="12" style="4" customWidth="1"/>
    <col min="13576" max="13577" width="8.83203125" style="4"/>
    <col min="13578" max="13578" width="10.6640625" style="4" bestFit="1" customWidth="1"/>
    <col min="13579" max="13821" width="8.83203125" style="4"/>
    <col min="13822" max="13822" width="1.6640625" style="4" customWidth="1"/>
    <col min="13823" max="13823" width="40.6640625" style="4" customWidth="1"/>
    <col min="13824" max="13828" width="10.6640625" style="4" customWidth="1"/>
    <col min="13829" max="13829" width="11.5" style="4" customWidth="1"/>
    <col min="13830" max="13831" width="12" style="4" customWidth="1"/>
    <col min="13832" max="13833" width="8.83203125" style="4"/>
    <col min="13834" max="13834" width="10.6640625" style="4" bestFit="1" customWidth="1"/>
    <col min="13835" max="14077" width="8.83203125" style="4"/>
    <col min="14078" max="14078" width="1.6640625" style="4" customWidth="1"/>
    <col min="14079" max="14079" width="40.6640625" style="4" customWidth="1"/>
    <col min="14080" max="14084" width="10.6640625" style="4" customWidth="1"/>
    <col min="14085" max="14085" width="11.5" style="4" customWidth="1"/>
    <col min="14086" max="14087" width="12" style="4" customWidth="1"/>
    <col min="14088" max="14089" width="8.83203125" style="4"/>
    <col min="14090" max="14090" width="10.6640625" style="4" bestFit="1" customWidth="1"/>
    <col min="14091" max="14333" width="8.83203125" style="4"/>
    <col min="14334" max="14334" width="1.6640625" style="4" customWidth="1"/>
    <col min="14335" max="14335" width="40.6640625" style="4" customWidth="1"/>
    <col min="14336" max="14340" width="10.6640625" style="4" customWidth="1"/>
    <col min="14341" max="14341" width="11.5" style="4" customWidth="1"/>
    <col min="14342" max="14343" width="12" style="4" customWidth="1"/>
    <col min="14344" max="14345" width="8.83203125" style="4"/>
    <col min="14346" max="14346" width="10.6640625" style="4" bestFit="1" customWidth="1"/>
    <col min="14347" max="14589" width="8.83203125" style="4"/>
    <col min="14590" max="14590" width="1.6640625" style="4" customWidth="1"/>
    <col min="14591" max="14591" width="40.6640625" style="4" customWidth="1"/>
    <col min="14592" max="14596" width="10.6640625" style="4" customWidth="1"/>
    <col min="14597" max="14597" width="11.5" style="4" customWidth="1"/>
    <col min="14598" max="14599" width="12" style="4" customWidth="1"/>
    <col min="14600" max="14601" width="8.83203125" style="4"/>
    <col min="14602" max="14602" width="10.6640625" style="4" bestFit="1" customWidth="1"/>
    <col min="14603" max="14845" width="8.83203125" style="4"/>
    <col min="14846" max="14846" width="1.6640625" style="4" customWidth="1"/>
    <col min="14847" max="14847" width="40.6640625" style="4" customWidth="1"/>
    <col min="14848" max="14852" width="10.6640625" style="4" customWidth="1"/>
    <col min="14853" max="14853" width="11.5" style="4" customWidth="1"/>
    <col min="14854" max="14855" width="12" style="4" customWidth="1"/>
    <col min="14856" max="14857" width="8.83203125" style="4"/>
    <col min="14858" max="14858" width="10.6640625" style="4" bestFit="1" customWidth="1"/>
    <col min="14859" max="15101" width="8.83203125" style="4"/>
    <col min="15102" max="15102" width="1.6640625" style="4" customWidth="1"/>
    <col min="15103" max="15103" width="40.6640625" style="4" customWidth="1"/>
    <col min="15104" max="15108" width="10.6640625" style="4" customWidth="1"/>
    <col min="15109" max="15109" width="11.5" style="4" customWidth="1"/>
    <col min="15110" max="15111" width="12" style="4" customWidth="1"/>
    <col min="15112" max="15113" width="8.83203125" style="4"/>
    <col min="15114" max="15114" width="10.6640625" style="4" bestFit="1" customWidth="1"/>
    <col min="15115" max="15357" width="8.83203125" style="4"/>
    <col min="15358" max="15358" width="1.6640625" style="4" customWidth="1"/>
    <col min="15359" max="15359" width="40.6640625" style="4" customWidth="1"/>
    <col min="15360" max="15364" width="10.6640625" style="4" customWidth="1"/>
    <col min="15365" max="15365" width="11.5" style="4" customWidth="1"/>
    <col min="15366" max="15367" width="12" style="4" customWidth="1"/>
    <col min="15368" max="15369" width="8.83203125" style="4"/>
    <col min="15370" max="15370" width="10.6640625" style="4" bestFit="1" customWidth="1"/>
    <col min="15371" max="15613" width="8.83203125" style="4"/>
    <col min="15614" max="15614" width="1.6640625" style="4" customWidth="1"/>
    <col min="15615" max="15615" width="40.6640625" style="4" customWidth="1"/>
    <col min="15616" max="15620" width="10.6640625" style="4" customWidth="1"/>
    <col min="15621" max="15621" width="11.5" style="4" customWidth="1"/>
    <col min="15622" max="15623" width="12" style="4" customWidth="1"/>
    <col min="15624" max="15625" width="8.83203125" style="4"/>
    <col min="15626" max="15626" width="10.6640625" style="4" bestFit="1" customWidth="1"/>
    <col min="15627" max="15869" width="8.83203125" style="4"/>
    <col min="15870" max="15870" width="1.6640625" style="4" customWidth="1"/>
    <col min="15871" max="15871" width="40.6640625" style="4" customWidth="1"/>
    <col min="15872" max="15876" width="10.6640625" style="4" customWidth="1"/>
    <col min="15877" max="15877" width="11.5" style="4" customWidth="1"/>
    <col min="15878" max="15879" width="12" style="4" customWidth="1"/>
    <col min="15880" max="15881" width="8.83203125" style="4"/>
    <col min="15882" max="15882" width="10.6640625" style="4" bestFit="1" customWidth="1"/>
    <col min="15883" max="16125" width="8.83203125" style="4"/>
    <col min="16126" max="16126" width="1.6640625" style="4" customWidth="1"/>
    <col min="16127" max="16127" width="40.6640625" style="4" customWidth="1"/>
    <col min="16128" max="16132" width="10.6640625" style="4" customWidth="1"/>
    <col min="16133" max="16133" width="11.5" style="4" customWidth="1"/>
    <col min="16134" max="16135" width="12" style="4" customWidth="1"/>
    <col min="16136" max="16137" width="8.83203125" style="4"/>
    <col min="16138" max="16138" width="10.6640625" style="4" bestFit="1" customWidth="1"/>
    <col min="16139" max="16384" width="8.83203125" style="4"/>
  </cols>
  <sheetData>
    <row r="1" spans="1:12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x14ac:dyDescent="0.2">
      <c r="A2" s="16" t="s">
        <v>10</v>
      </c>
      <c r="B2" s="15"/>
      <c r="C2" s="241">
        <v>2023</v>
      </c>
      <c r="D2" s="241">
        <f>C2+1</f>
        <v>2024</v>
      </c>
      <c r="E2" s="241">
        <f t="shared" ref="E2:J2" si="0">D2+1</f>
        <v>2025</v>
      </c>
      <c r="F2" s="241">
        <f t="shared" si="0"/>
        <v>2026</v>
      </c>
      <c r="G2" s="241">
        <f t="shared" si="0"/>
        <v>2027</v>
      </c>
      <c r="H2" s="241">
        <f t="shared" si="0"/>
        <v>2028</v>
      </c>
      <c r="I2" s="241">
        <f t="shared" si="0"/>
        <v>2029</v>
      </c>
      <c r="J2" s="241">
        <f t="shared" si="0"/>
        <v>2030</v>
      </c>
      <c r="K2" s="241">
        <f t="shared" ref="K2" si="1">J2+1</f>
        <v>2031</v>
      </c>
      <c r="L2" s="241">
        <f t="shared" ref="L2" si="2">K2+1</f>
        <v>2032</v>
      </c>
    </row>
    <row r="3" spans="1:12" x14ac:dyDescent="0.2">
      <c r="A3" s="85"/>
      <c r="C3" s="98"/>
      <c r="D3" s="98"/>
      <c r="E3" s="98"/>
    </row>
    <row r="4" spans="1:12" x14ac:dyDescent="0.2">
      <c r="B4" s="29" t="s">
        <v>43</v>
      </c>
      <c r="C4" s="30"/>
      <c r="D4" s="30"/>
      <c r="E4" s="31"/>
      <c r="F4" s="173">
        <f>Assumptions!F10</f>
        <v>3.0467226801723868E-2</v>
      </c>
      <c r="G4" s="173">
        <f>Assumptions!G10</f>
        <v>5.9892751538709321E-2</v>
      </c>
      <c r="H4" s="173">
        <f>Assumptions!H10</f>
        <v>7.2740241845268283E-2</v>
      </c>
      <c r="I4" s="173">
        <f>Assumptions!I10</f>
        <v>8.3347951081823579E-2</v>
      </c>
      <c r="J4" s="173">
        <f>Assumptions!J10</f>
        <v>9.3915406248316735E-2</v>
      </c>
      <c r="K4" s="173">
        <f>Assumptions!K10</f>
        <v>0.10444533722936855</v>
      </c>
      <c r="L4" s="173">
        <f>Assumptions!L10</f>
        <v>0.11494022098049683</v>
      </c>
    </row>
    <row r="5" spans="1:12" x14ac:dyDescent="0.2">
      <c r="B5" s="29" t="s">
        <v>44</v>
      </c>
      <c r="C5" s="30"/>
      <c r="D5" s="30"/>
      <c r="E5" s="30"/>
      <c r="F5" s="173">
        <f>Assumptions!F11</f>
        <v>0.31403624537558605</v>
      </c>
      <c r="G5" s="173">
        <f>Assumptions!G11</f>
        <v>0.31403624537558605</v>
      </c>
      <c r="H5" s="173">
        <f>Assumptions!H11</f>
        <v>0.31403624537558605</v>
      </c>
      <c r="I5" s="173">
        <f>Assumptions!I11</f>
        <v>0.31403624537558605</v>
      </c>
      <c r="J5" s="173">
        <f>Assumptions!J11</f>
        <v>0.31403624537558605</v>
      </c>
      <c r="K5" s="173">
        <f>Assumptions!K11</f>
        <v>0.31403624537558605</v>
      </c>
      <c r="L5" s="173">
        <f>Assumptions!L11</f>
        <v>0.31403624537558605</v>
      </c>
    </row>
    <row r="6" spans="1:12" x14ac:dyDescent="0.2">
      <c r="B6" s="29" t="s">
        <v>45</v>
      </c>
      <c r="C6" s="30"/>
      <c r="D6" s="30"/>
      <c r="E6" s="30"/>
      <c r="F6" s="173">
        <f>Assumptions!F12</f>
        <v>0.59114733205078496</v>
      </c>
      <c r="G6" s="173">
        <f>Assumptions!G12</f>
        <v>0.58961719471437513</v>
      </c>
      <c r="H6" s="173">
        <f>Assumptions!H12</f>
        <v>0.58961719471437513</v>
      </c>
      <c r="I6" s="173">
        <f>Assumptions!I12</f>
        <v>0.57811719471437506</v>
      </c>
      <c r="J6" s="173">
        <f>Assumptions!J12</f>
        <v>0.56661719471437499</v>
      </c>
      <c r="K6" s="173">
        <f>Assumptions!K12</f>
        <v>0.55511719471437504</v>
      </c>
      <c r="L6" s="173">
        <f>Assumptions!L12</f>
        <v>0.54711719471437503</v>
      </c>
    </row>
    <row r="7" spans="1:12" x14ac:dyDescent="0.2">
      <c r="A7" s="85"/>
      <c r="B7" s="4" t="s">
        <v>46</v>
      </c>
      <c r="C7" s="29"/>
      <c r="D7" s="29"/>
      <c r="E7" s="29"/>
      <c r="F7" s="174">
        <f>Assumptions!F13</f>
        <v>0</v>
      </c>
      <c r="G7" s="174">
        <f>Assumptions!G13</f>
        <v>0</v>
      </c>
      <c r="H7" s="174">
        <f>Assumptions!H13</f>
        <v>0</v>
      </c>
      <c r="I7" s="174">
        <f>Assumptions!I13</f>
        <v>0</v>
      </c>
      <c r="J7" s="174">
        <f>Assumptions!J13</f>
        <v>0</v>
      </c>
      <c r="K7" s="174">
        <f>Assumptions!K13</f>
        <v>0</v>
      </c>
      <c r="L7" s="174">
        <f>Assumptions!L13</f>
        <v>0</v>
      </c>
    </row>
    <row r="8" spans="1:12" x14ac:dyDescent="0.2">
      <c r="A8" s="85"/>
      <c r="B8" s="4" t="s">
        <v>47</v>
      </c>
      <c r="C8" s="29"/>
      <c r="D8" s="29"/>
      <c r="E8" s="29"/>
      <c r="F8" s="175">
        <f>Assumptions!F14</f>
        <v>0</v>
      </c>
      <c r="G8" s="175">
        <f>Assumptions!G14</f>
        <v>0</v>
      </c>
      <c r="H8" s="175">
        <f>Assumptions!H14</f>
        <v>0</v>
      </c>
      <c r="I8" s="175">
        <f>Assumptions!I14</f>
        <v>0</v>
      </c>
      <c r="J8" s="175">
        <f>Assumptions!J14</f>
        <v>0</v>
      </c>
      <c r="K8" s="175">
        <f>Assumptions!K14</f>
        <v>0</v>
      </c>
      <c r="L8" s="175">
        <f>Assumptions!L14</f>
        <v>0</v>
      </c>
    </row>
    <row r="9" spans="1:12" x14ac:dyDescent="0.2">
      <c r="B9" s="4" t="s">
        <v>145</v>
      </c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175">
        <f>Assumptions!K15</f>
        <v>0</v>
      </c>
      <c r="L9" s="175">
        <f>Assumptions!L15</f>
        <v>0</v>
      </c>
    </row>
    <row r="10" spans="1:12" x14ac:dyDescent="0.2">
      <c r="B10" s="29" t="s">
        <v>48</v>
      </c>
      <c r="C10" s="42"/>
      <c r="D10" s="42"/>
      <c r="E10" s="42"/>
      <c r="F10" s="173">
        <f>Assumptions!F16</f>
        <v>0.19</v>
      </c>
      <c r="G10" s="173">
        <f>Assumptions!G16</f>
        <v>0.2</v>
      </c>
      <c r="H10" s="173">
        <f>Assumptions!H16</f>
        <v>0.21000000000000002</v>
      </c>
      <c r="I10" s="173">
        <f>Assumptions!I16</f>
        <v>0.22000000000000003</v>
      </c>
      <c r="J10" s="173">
        <f>Assumptions!J16</f>
        <v>0.22000000000000003</v>
      </c>
      <c r="K10" s="173">
        <f>Assumptions!K16</f>
        <v>0.22000000000000003</v>
      </c>
      <c r="L10" s="173">
        <f>Assumptions!L16</f>
        <v>0.22000000000000003</v>
      </c>
    </row>
    <row r="11" spans="1:12" s="243" customFormat="1" x14ac:dyDescent="0.2">
      <c r="A11" s="245"/>
      <c r="B11" s="243" t="s">
        <v>139</v>
      </c>
      <c r="E11" s="246"/>
      <c r="F11" s="247">
        <f>Assumptions!F17</f>
        <v>2.4400754555014168</v>
      </c>
      <c r="G11" s="247">
        <f>Assumptions!G17</f>
        <v>2.6002073583480443</v>
      </c>
      <c r="H11" s="247">
        <f>Assumptions!H17</f>
        <v>2.7603392611946718</v>
      </c>
      <c r="I11" s="247">
        <f>Assumptions!I17</f>
        <v>2.9204711640412993</v>
      </c>
      <c r="J11" s="247">
        <f>Assumptions!J17</f>
        <v>3.0806030668879267</v>
      </c>
      <c r="K11" s="247">
        <f>Assumptions!K17</f>
        <v>3.2407349697345542</v>
      </c>
      <c r="L11" s="247">
        <f>Assumptions!L17</f>
        <v>3.4008668725811817</v>
      </c>
    </row>
    <row r="12" spans="1:12" x14ac:dyDescent="0.2">
      <c r="B12" s="4" t="s">
        <v>49</v>
      </c>
      <c r="C12" s="29"/>
      <c r="D12" s="29"/>
      <c r="E12" s="38"/>
      <c r="F12" s="175">
        <f>Assumptions!F18</f>
        <v>1133.8</v>
      </c>
      <c r="G12" s="175">
        <f>Assumptions!G18</f>
        <v>1133.8</v>
      </c>
      <c r="H12" s="175">
        <f>Assumptions!H18</f>
        <v>1133.8</v>
      </c>
      <c r="I12" s="175">
        <f>Assumptions!I18</f>
        <v>1133.8</v>
      </c>
      <c r="J12" s="175">
        <f>Assumptions!J18</f>
        <v>1133.8</v>
      </c>
      <c r="K12" s="175">
        <f>Assumptions!K18</f>
        <v>1133.8</v>
      </c>
      <c r="L12" s="175">
        <f>Assumptions!L18</f>
        <v>1133.8</v>
      </c>
    </row>
    <row r="13" spans="1:12" x14ac:dyDescent="0.2">
      <c r="B13" s="4" t="s">
        <v>50</v>
      </c>
      <c r="C13" s="29"/>
      <c r="D13" s="29"/>
      <c r="E13" s="38"/>
      <c r="F13" s="175">
        <f>Assumptions!F19</f>
        <v>1137.3</v>
      </c>
      <c r="G13" s="175">
        <f>Assumptions!G19</f>
        <v>1137.3</v>
      </c>
      <c r="H13" s="175">
        <f>Assumptions!H19</f>
        <v>1137.3</v>
      </c>
      <c r="I13" s="175">
        <f>Assumptions!I19</f>
        <v>1137.3</v>
      </c>
      <c r="J13" s="175">
        <f>Assumptions!J19</f>
        <v>1137.3</v>
      </c>
      <c r="K13" s="175">
        <f>Assumptions!K19</f>
        <v>1137.3</v>
      </c>
      <c r="L13" s="175">
        <f>Assumptions!L19</f>
        <v>1137.3</v>
      </c>
    </row>
    <row r="14" spans="1:12" x14ac:dyDescent="0.2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75" customHeight="1" x14ac:dyDescent="0.2">
      <c r="A15" s="176" t="s">
        <v>42</v>
      </c>
      <c r="B15" s="177"/>
      <c r="C15" s="231">
        <f t="shared" ref="C15:L15" si="3">C2</f>
        <v>2023</v>
      </c>
      <c r="D15" s="231">
        <f t="shared" si="3"/>
        <v>2024</v>
      </c>
      <c r="E15" s="231">
        <f t="shared" si="3"/>
        <v>2025</v>
      </c>
      <c r="F15" s="231">
        <f t="shared" si="3"/>
        <v>2026</v>
      </c>
      <c r="G15" s="231">
        <f t="shared" si="3"/>
        <v>2027</v>
      </c>
      <c r="H15" s="231">
        <f t="shared" si="3"/>
        <v>2028</v>
      </c>
      <c r="I15" s="231">
        <f t="shared" si="3"/>
        <v>2029</v>
      </c>
      <c r="J15" s="231">
        <f t="shared" si="3"/>
        <v>2030</v>
      </c>
      <c r="K15" s="231">
        <f t="shared" si="3"/>
        <v>2031</v>
      </c>
      <c r="L15" s="231">
        <f t="shared" si="3"/>
        <v>2032</v>
      </c>
    </row>
    <row r="16" spans="1:12" x14ac:dyDescent="0.2">
      <c r="B16" s="4" t="s">
        <v>51</v>
      </c>
      <c r="C16" s="96">
        <f>'Quarterly Projections'!L9</f>
        <v>35975.943105236511</v>
      </c>
      <c r="D16" s="122">
        <f>'Quarterly Projections'!Q9</f>
        <v>36176.208617129458</v>
      </c>
      <c r="E16" s="22">
        <f>'Quarterly Projections'!V9</f>
        <v>37123.796647579933</v>
      </c>
      <c r="F16" s="4">
        <f>E16*(1+F4)</f>
        <v>38254.855779782825</v>
      </c>
      <c r="G16" s="4">
        <f t="shared" ref="G16:L16" si="4">F16*(1+G4)</f>
        <v>40546.044352150515</v>
      </c>
      <c r="H16" s="4">
        <f t="shared" si="4"/>
        <v>43495.373424194921</v>
      </c>
      <c r="I16" s="4">
        <f t="shared" si="4"/>
        <v>47120.623680640369</v>
      </c>
      <c r="J16" s="4">
        <f t="shared" si="4"/>
        <v>51545.976196281765</v>
      </c>
      <c r="K16" s="4">
        <f t="shared" si="4"/>
        <v>56929.713062919414</v>
      </c>
      <c r="L16" s="4">
        <f t="shared" si="4"/>
        <v>63473.22686272765</v>
      </c>
    </row>
    <row r="17" spans="1:12" x14ac:dyDescent="0.2">
      <c r="B17" s="4" t="s">
        <v>157</v>
      </c>
      <c r="C17" s="122">
        <f>'Quarterly Projections'!L12</f>
        <v>11409.199999999999</v>
      </c>
      <c r="D17" s="122">
        <f>'Quarterly Projections'!Q12</f>
        <v>11280.5</v>
      </c>
      <c r="E17" s="22">
        <f>'Quarterly Projections'!V12</f>
        <v>11658.199999999999</v>
      </c>
      <c r="F17" s="171">
        <f>F16*F5</f>
        <v>12013.411276467536</v>
      </c>
      <c r="G17" s="171">
        <f t="shared" ref="G17:L17" si="5">G16*G5</f>
        <v>12732.927533181333</v>
      </c>
      <c r="H17" s="171">
        <f t="shared" si="5"/>
        <v>13659.12376134322</v>
      </c>
      <c r="I17" s="171">
        <f t="shared" si="5"/>
        <v>14797.58374042423</v>
      </c>
      <c r="J17" s="171">
        <f t="shared" si="5"/>
        <v>16187.304828899658</v>
      </c>
      <c r="K17" s="171">
        <f t="shared" si="5"/>
        <v>17877.99334058867</v>
      </c>
      <c r="L17" s="171">
        <f t="shared" si="5"/>
        <v>19932.893845843781</v>
      </c>
    </row>
    <row r="18" spans="1:12" x14ac:dyDescent="0.2">
      <c r="B18" s="4" t="s">
        <v>52</v>
      </c>
      <c r="C18" s="122">
        <f>SUM('Quarterly Projections'!L14,'Quarterly Projections'!L16,'Quarterly Projections'!L18)</f>
        <v>19063.599999999999</v>
      </c>
      <c r="D18" s="122">
        <f>SUM('Quarterly Projections'!Q14,'Quarterly Projections'!Q16,'Quarterly Projections'!Q18)</f>
        <v>19888.2</v>
      </c>
      <c r="E18" s="271">
        <f>SUM('Quarterly Projections'!V14,'Quarterly Projections'!V16,'Quarterly Projections'!V18)</f>
        <v>21945.599999999999</v>
      </c>
      <c r="F18" s="171">
        <f>F16*F6</f>
        <v>22614.255932206168</v>
      </c>
      <c r="G18" s="171">
        <f t="shared" ref="G18:L18" si="6">G16*G6</f>
        <v>23906.644927679619</v>
      </c>
      <c r="H18" s="171">
        <f t="shared" si="6"/>
        <v>25645.620061427995</v>
      </c>
      <c r="I18" s="171">
        <f t="shared" si="6"/>
        <v>27241.242775443559</v>
      </c>
      <c r="J18" s="171">
        <f t="shared" si="6"/>
        <v>29206.836431151125</v>
      </c>
      <c r="K18" s="171">
        <f t="shared" si="6"/>
        <v>31602.662611382137</v>
      </c>
      <c r="L18" s="171">
        <f t="shared" si="6"/>
        <v>34727.29382060466</v>
      </c>
    </row>
    <row r="19" spans="1:12" s="11" customFormat="1" x14ac:dyDescent="0.2">
      <c r="A19" s="11" t="s">
        <v>126</v>
      </c>
      <c r="B19" s="17" t="s">
        <v>55</v>
      </c>
      <c r="C19" s="18">
        <f>C16-SUM(C17:C18)</f>
        <v>5503.1431052365151</v>
      </c>
      <c r="D19" s="18">
        <f>D16-SUM(D17:D18)</f>
        <v>5007.508617129457</v>
      </c>
      <c r="E19" s="18">
        <f>E16-SUM(E17:E18)</f>
        <v>3519.9966475799374</v>
      </c>
      <c r="F19" s="18">
        <f>F16-SUM(F17:F18)</f>
        <v>3627.1885711091236</v>
      </c>
      <c r="G19" s="18">
        <f t="shared" ref="G19:L19" si="7">G16-SUM(G17:G18)</f>
        <v>3906.4718912895623</v>
      </c>
      <c r="H19" s="18">
        <f t="shared" si="7"/>
        <v>4190.6296014237087</v>
      </c>
      <c r="I19" s="18">
        <f t="shared" si="7"/>
        <v>5081.797164772579</v>
      </c>
      <c r="J19" s="18">
        <f t="shared" si="7"/>
        <v>6151.8349362309818</v>
      </c>
      <c r="K19" s="18">
        <f t="shared" si="7"/>
        <v>7449.0571109486045</v>
      </c>
      <c r="L19" s="18">
        <f t="shared" si="7"/>
        <v>8813.0391962792055</v>
      </c>
    </row>
    <row r="20" spans="1:12" s="11" customFormat="1" x14ac:dyDescent="0.2">
      <c r="E20" s="34"/>
    </row>
    <row r="21" spans="1:12" s="11" customFormat="1" x14ac:dyDescent="0.2">
      <c r="B21" s="4" t="s">
        <v>15</v>
      </c>
      <c r="C21" s="123">
        <v>1447.9</v>
      </c>
      <c r="D21" s="123">
        <v>1362.4</v>
      </c>
      <c r="E21" s="25">
        <v>1512.6</v>
      </c>
      <c r="F21" s="4">
        <f>Calcs!F8</f>
        <v>1718.6238612125546</v>
      </c>
      <c r="G21" s="4">
        <f>Calcs!G8</f>
        <v>1831.7602291402895</v>
      </c>
      <c r="H21" s="4">
        <f>Calcs!H8</f>
        <v>1954.5775424740134</v>
      </c>
      <c r="I21" s="4">
        <f>Calcs!I8</f>
        <v>2091.4907727836217</v>
      </c>
      <c r="J21" s="4">
        <f>Calcs!J8</f>
        <v>2246.8154099179555</v>
      </c>
      <c r="K21" s="4">
        <f>Calcs!K8</f>
        <v>2425.5968411115828</v>
      </c>
      <c r="L21" s="4">
        <f>Calcs!L8</f>
        <v>2633.8518715496671</v>
      </c>
    </row>
    <row r="22" spans="1:12" s="11" customFormat="1" x14ac:dyDescent="0.2">
      <c r="B22" s="4" t="s">
        <v>54</v>
      </c>
      <c r="C22" s="96">
        <v>0</v>
      </c>
      <c r="D22" s="96">
        <v>0</v>
      </c>
      <c r="E22" s="124">
        <v>0</v>
      </c>
      <c r="F22" s="4">
        <f>F7</f>
        <v>0</v>
      </c>
      <c r="G22" s="4">
        <f t="shared" ref="G22:L22" si="8">G7</f>
        <v>0</v>
      </c>
      <c r="H22" s="4">
        <f t="shared" si="8"/>
        <v>0</v>
      </c>
      <c r="I22" s="4">
        <f t="shared" si="8"/>
        <v>0</v>
      </c>
      <c r="J22" s="4">
        <f t="shared" si="8"/>
        <v>0</v>
      </c>
      <c r="K22" s="4">
        <f t="shared" si="8"/>
        <v>0</v>
      </c>
      <c r="L22" s="4">
        <f t="shared" si="8"/>
        <v>0</v>
      </c>
    </row>
    <row r="23" spans="1:12" s="127" customFormat="1" x14ac:dyDescent="0.2">
      <c r="A23" s="127" t="s">
        <v>126</v>
      </c>
      <c r="B23" s="128" t="s">
        <v>53</v>
      </c>
      <c r="C23" s="129">
        <f>SUM(C19,C21:C22)</f>
        <v>6951.0431052365147</v>
      </c>
      <c r="D23" s="129">
        <f t="shared" ref="D23:F23" si="9">SUM(D19,D21:D22)</f>
        <v>6369.9086171294566</v>
      </c>
      <c r="E23" s="129">
        <f t="shared" si="9"/>
        <v>5032.5966475799378</v>
      </c>
      <c r="F23" s="129">
        <f t="shared" si="9"/>
        <v>5345.812432321678</v>
      </c>
      <c r="G23" s="129">
        <f t="shared" ref="G23:L23" si="10">SUM(G19,G21:G22)</f>
        <v>5738.2321204298514</v>
      </c>
      <c r="H23" s="129">
        <f t="shared" si="10"/>
        <v>6145.2071438977218</v>
      </c>
      <c r="I23" s="129">
        <f t="shared" si="10"/>
        <v>7173.2879375562006</v>
      </c>
      <c r="J23" s="129">
        <f t="shared" si="10"/>
        <v>8398.6503461489374</v>
      </c>
      <c r="K23" s="129">
        <f t="shared" si="10"/>
        <v>9874.6539520601873</v>
      </c>
      <c r="L23" s="129">
        <f t="shared" si="10"/>
        <v>11446.891067828872</v>
      </c>
    </row>
    <row r="24" spans="1:12" s="11" customFormat="1" x14ac:dyDescent="0.2">
      <c r="C24" s="13"/>
      <c r="D24" s="4"/>
      <c r="E24" s="35"/>
      <c r="F24" s="4"/>
      <c r="G24" s="4"/>
      <c r="H24" s="4"/>
      <c r="I24" s="4"/>
      <c r="J24" s="4"/>
      <c r="K24" s="4"/>
      <c r="L24" s="4"/>
    </row>
    <row r="25" spans="1:12" s="11" customFormat="1" x14ac:dyDescent="0.2">
      <c r="B25" s="4" t="s">
        <v>56</v>
      </c>
      <c r="C25" s="94">
        <v>0</v>
      </c>
      <c r="D25" s="94">
        <v>0</v>
      </c>
      <c r="E25" s="95">
        <v>0</v>
      </c>
      <c r="F25" s="4">
        <f>F8</f>
        <v>0</v>
      </c>
      <c r="G25" s="4">
        <f t="shared" ref="G25:L25" si="11">G8</f>
        <v>0</v>
      </c>
      <c r="H25" s="4">
        <f t="shared" si="11"/>
        <v>0</v>
      </c>
      <c r="I25" s="4">
        <f t="shared" si="11"/>
        <v>0</v>
      </c>
      <c r="J25" s="4">
        <f t="shared" si="11"/>
        <v>0</v>
      </c>
      <c r="K25" s="4">
        <f t="shared" si="11"/>
        <v>0</v>
      </c>
      <c r="L25" s="4">
        <f t="shared" si="11"/>
        <v>0</v>
      </c>
    </row>
    <row r="26" spans="1:12" s="11" customFormat="1" x14ac:dyDescent="0.2">
      <c r="B26" s="4" t="s">
        <v>57</v>
      </c>
      <c r="C26" s="94">
        <v>0</v>
      </c>
      <c r="D26" s="94">
        <v>0</v>
      </c>
      <c r="E26" s="95">
        <v>0</v>
      </c>
      <c r="F26" s="4">
        <f>F9</f>
        <v>0</v>
      </c>
      <c r="G26" s="4">
        <f t="shared" ref="G26:L26" si="12">G9</f>
        <v>0</v>
      </c>
      <c r="H26" s="4">
        <f t="shared" si="12"/>
        <v>0</v>
      </c>
      <c r="I26" s="4">
        <f t="shared" si="12"/>
        <v>0</v>
      </c>
      <c r="J26" s="4">
        <f t="shared" si="12"/>
        <v>0</v>
      </c>
      <c r="K26" s="4">
        <f t="shared" si="12"/>
        <v>0</v>
      </c>
      <c r="L26" s="4">
        <f t="shared" si="12"/>
        <v>0</v>
      </c>
    </row>
    <row r="27" spans="1:12" s="11" customFormat="1" x14ac:dyDescent="0.2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">
      <c r="B28" s="4" t="s">
        <v>41</v>
      </c>
      <c r="C28" s="9">
        <v>97</v>
      </c>
      <c r="D28" s="9">
        <v>81.2</v>
      </c>
      <c r="E28" s="44">
        <v>122.8</v>
      </c>
      <c r="F28" s="274">
        <f>IF(circ=1,Debt!F33,0)</f>
        <v>0</v>
      </c>
      <c r="G28" s="274">
        <f>IF(circ=1,Debt!G33,0)</f>
        <v>0</v>
      </c>
      <c r="H28" s="274">
        <f>IF(circ=1,Debt!H33,0)</f>
        <v>0</v>
      </c>
      <c r="I28" s="274">
        <f>IF(circ=1,Debt!I33,0)</f>
        <v>0</v>
      </c>
      <c r="J28" s="274">
        <f>IF(circ=1,Debt!J33,0)</f>
        <v>0</v>
      </c>
      <c r="K28" s="274">
        <f>IF(circ=1,Debt!K33,0)</f>
        <v>0</v>
      </c>
      <c r="L28" s="274">
        <f>IF(circ=1,Debt!L33,0)</f>
        <v>0</v>
      </c>
    </row>
    <row r="29" spans="1:12" x14ac:dyDescent="0.2">
      <c r="B29" s="4" t="s">
        <v>33</v>
      </c>
      <c r="C29" s="9">
        <v>-482.9</v>
      </c>
      <c r="D29" s="9">
        <v>-550.1</v>
      </c>
      <c r="E29" s="44">
        <v>-562</v>
      </c>
      <c r="F29" s="274">
        <f>IF(circ=1,-Debt!F22,0)</f>
        <v>0</v>
      </c>
      <c r="G29" s="274">
        <f>IF(circ=1,-Debt!G22,0)</f>
        <v>0</v>
      </c>
      <c r="H29" s="274">
        <f>IF(circ=1,-Debt!H22,0)</f>
        <v>0</v>
      </c>
      <c r="I29" s="274">
        <f>IF(circ=1,-Debt!I22,0)</f>
        <v>0</v>
      </c>
      <c r="J29" s="274">
        <f>IF(circ=1,-Debt!J22,0)</f>
        <v>0</v>
      </c>
      <c r="K29" s="274">
        <f>IF(circ=1,-Debt!K22,0)</f>
        <v>0</v>
      </c>
      <c r="L29" s="274">
        <f>IF(circ=1,-Debt!L22,0)</f>
        <v>0</v>
      </c>
    </row>
    <row r="30" spans="1:12" x14ac:dyDescent="0.2">
      <c r="C30" s="10"/>
      <c r="D30" s="10"/>
      <c r="E30" s="22"/>
      <c r="H30" s="4"/>
    </row>
    <row r="31" spans="1:12" s="11" customFormat="1" x14ac:dyDescent="0.2">
      <c r="A31" s="11" t="s">
        <v>126</v>
      </c>
      <c r="B31" s="17" t="s">
        <v>86</v>
      </c>
      <c r="C31" s="18">
        <f t="shared" ref="C31:D31" si="13">C19+SUM(C26:C29)</f>
        <v>5117.2431052365155</v>
      </c>
      <c r="D31" s="18">
        <f t="shared" si="13"/>
        <v>4538.6086171294573</v>
      </c>
      <c r="E31" s="18">
        <f>E19+SUM(E25:E29)</f>
        <v>3080.7966475799376</v>
      </c>
      <c r="F31" s="18">
        <f>F19+SUM(F25:F29)</f>
        <v>3627.1885711091236</v>
      </c>
      <c r="G31" s="18">
        <f t="shared" ref="G31:L31" si="14">G19+SUM(G25:G29)</f>
        <v>3906.4718912895623</v>
      </c>
      <c r="H31" s="18">
        <f t="shared" si="14"/>
        <v>4190.6296014237087</v>
      </c>
      <c r="I31" s="18">
        <f t="shared" si="14"/>
        <v>5081.797164772579</v>
      </c>
      <c r="J31" s="18">
        <f t="shared" si="14"/>
        <v>6151.8349362309818</v>
      </c>
      <c r="K31" s="18">
        <f t="shared" si="14"/>
        <v>7449.0571109486045</v>
      </c>
      <c r="L31" s="18">
        <f t="shared" si="14"/>
        <v>8813.0391962792055</v>
      </c>
    </row>
    <row r="32" spans="1:12" x14ac:dyDescent="0.2">
      <c r="E32" s="36"/>
      <c r="H32" s="4"/>
    </row>
    <row r="33" spans="1:12" x14ac:dyDescent="0.2">
      <c r="B33" s="4" t="s">
        <v>58</v>
      </c>
      <c r="C33" s="131">
        <v>1207.3</v>
      </c>
      <c r="D33" s="4">
        <v>1277.2</v>
      </c>
      <c r="E33" s="57">
        <v>948.5</v>
      </c>
      <c r="F33" s="4">
        <f>F31*F10</f>
        <v>689.16582851073349</v>
      </c>
      <c r="G33" s="4">
        <f t="shared" ref="G33:L33" si="15">G31*G10</f>
        <v>781.29437825791251</v>
      </c>
      <c r="H33" s="4">
        <f t="shared" si="15"/>
        <v>880.03221629897894</v>
      </c>
      <c r="I33" s="4">
        <f t="shared" si="15"/>
        <v>1117.9953762499674</v>
      </c>
      <c r="J33" s="4">
        <f t="shared" si="15"/>
        <v>1353.4036859708162</v>
      </c>
      <c r="K33" s="4">
        <f t="shared" si="15"/>
        <v>1638.7925644086931</v>
      </c>
      <c r="L33" s="4">
        <f t="shared" si="15"/>
        <v>1938.8686231814254</v>
      </c>
    </row>
    <row r="34" spans="1:12" s="11" customFormat="1" x14ac:dyDescent="0.2">
      <c r="A34" s="11" t="s">
        <v>126</v>
      </c>
      <c r="B34" s="17" t="s">
        <v>59</v>
      </c>
      <c r="C34" s="18">
        <f>C31-C33</f>
        <v>3909.9431052365153</v>
      </c>
      <c r="D34" s="33">
        <f t="shared" ref="D34:F34" si="16">D31-D33</f>
        <v>3261.4086171294575</v>
      </c>
      <c r="E34" s="18">
        <f t="shared" si="16"/>
        <v>2132.2966475799376</v>
      </c>
      <c r="F34" s="18">
        <f t="shared" si="16"/>
        <v>2938.0227425983903</v>
      </c>
      <c r="G34" s="18">
        <f t="shared" ref="G34:L34" si="17">G31-G33</f>
        <v>3125.1775130316501</v>
      </c>
      <c r="H34" s="18">
        <f t="shared" si="17"/>
        <v>3310.59738512473</v>
      </c>
      <c r="I34" s="18">
        <f t="shared" si="17"/>
        <v>3963.8017885226118</v>
      </c>
      <c r="J34" s="18">
        <f t="shared" si="17"/>
        <v>4798.4312502601661</v>
      </c>
      <c r="K34" s="18">
        <f t="shared" si="17"/>
        <v>5810.264546539911</v>
      </c>
      <c r="L34" s="18">
        <f t="shared" si="17"/>
        <v>6874.1705730977801</v>
      </c>
    </row>
    <row r="35" spans="1:12" s="243" customFormat="1" x14ac:dyDescent="0.2">
      <c r="A35" s="245"/>
      <c r="B35" s="243" t="s">
        <v>177</v>
      </c>
      <c r="C35" s="248">
        <f t="shared" ref="C35:D35" si="18">C36/C38</f>
        <v>1.9621954391745426</v>
      </c>
      <c r="D35" s="251">
        <f t="shared" si="18"/>
        <v>2.1198116498081618</v>
      </c>
      <c r="E35" s="249">
        <f>E36/E38</f>
        <v>2.2799435526547893</v>
      </c>
      <c r="F35" s="243">
        <f>F11</f>
        <v>2.4400754555014168</v>
      </c>
      <c r="G35" s="243">
        <f t="shared" ref="G35:L35" si="19">G11</f>
        <v>2.6002073583480443</v>
      </c>
      <c r="H35" s="243">
        <f t="shared" si="19"/>
        <v>2.7603392611946718</v>
      </c>
      <c r="I35" s="243">
        <f t="shared" si="19"/>
        <v>2.9204711640412993</v>
      </c>
      <c r="J35" s="243">
        <f t="shared" si="19"/>
        <v>3.0806030668879267</v>
      </c>
      <c r="K35" s="243">
        <f t="shared" si="19"/>
        <v>3.2407349697345542</v>
      </c>
      <c r="L35" s="243">
        <f t="shared" si="19"/>
        <v>3.4008668725811817</v>
      </c>
    </row>
    <row r="36" spans="1:12" x14ac:dyDescent="0.2">
      <c r="B36" s="4" t="s">
        <v>60</v>
      </c>
      <c r="C36" s="10">
        <v>2263</v>
      </c>
      <c r="D36" s="10">
        <v>2431</v>
      </c>
      <c r="E36" s="22">
        <v>2585</v>
      </c>
      <c r="F36" s="4">
        <f>F35*F38</f>
        <v>2766.5575514475063</v>
      </c>
      <c r="G36" s="4">
        <f t="shared" ref="G36:L36" si="20">G35*G38</f>
        <v>2948.1151028950126</v>
      </c>
      <c r="H36" s="4">
        <f t="shared" si="20"/>
        <v>3129.6726543425189</v>
      </c>
      <c r="I36" s="4">
        <f t="shared" si="20"/>
        <v>3311.2302057900251</v>
      </c>
      <c r="J36" s="4">
        <f t="shared" si="20"/>
        <v>3492.787757237531</v>
      </c>
      <c r="K36" s="4">
        <f t="shared" si="20"/>
        <v>3674.3453086850373</v>
      </c>
      <c r="L36" s="4">
        <f t="shared" si="20"/>
        <v>3855.9028601325435</v>
      </c>
    </row>
    <row r="37" spans="1:12" x14ac:dyDescent="0.2">
      <c r="A37" s="20" t="s">
        <v>61</v>
      </c>
      <c r="B37" s="19"/>
      <c r="C37" s="215">
        <f>C15</f>
        <v>2023</v>
      </c>
      <c r="D37" s="215">
        <f t="shared" ref="D37:F37" si="21">D15</f>
        <v>2024</v>
      </c>
      <c r="E37" s="215">
        <f t="shared" si="21"/>
        <v>2025</v>
      </c>
      <c r="F37" s="215">
        <f t="shared" si="21"/>
        <v>2026</v>
      </c>
      <c r="G37" s="215">
        <f t="shared" ref="G37:L37" si="22">G15</f>
        <v>2027</v>
      </c>
      <c r="H37" s="215">
        <f t="shared" si="22"/>
        <v>2028</v>
      </c>
      <c r="I37" s="215">
        <f t="shared" si="22"/>
        <v>2029</v>
      </c>
      <c r="J37" s="215">
        <f t="shared" si="22"/>
        <v>2030</v>
      </c>
      <c r="K37" s="215">
        <f t="shared" si="22"/>
        <v>2031</v>
      </c>
      <c r="L37" s="215">
        <f t="shared" si="22"/>
        <v>2032</v>
      </c>
    </row>
    <row r="38" spans="1:12" x14ac:dyDescent="0.2">
      <c r="B38" s="4" t="s">
        <v>49</v>
      </c>
      <c r="C38" s="10">
        <v>1153.3</v>
      </c>
      <c r="D38" s="10">
        <v>1146.8</v>
      </c>
      <c r="E38" s="22">
        <v>1133.8</v>
      </c>
      <c r="F38" s="172">
        <f>F12</f>
        <v>1133.8</v>
      </c>
      <c r="G38" s="172">
        <f t="shared" ref="G38:L38" si="23">G12</f>
        <v>1133.8</v>
      </c>
      <c r="H38" s="172">
        <f t="shared" si="23"/>
        <v>1133.8</v>
      </c>
      <c r="I38" s="172">
        <f t="shared" si="23"/>
        <v>1133.8</v>
      </c>
      <c r="J38" s="172">
        <f t="shared" si="23"/>
        <v>1133.8</v>
      </c>
      <c r="K38" s="172">
        <f t="shared" si="23"/>
        <v>1133.8</v>
      </c>
      <c r="L38" s="172">
        <f t="shared" si="23"/>
        <v>1133.8</v>
      </c>
    </row>
    <row r="39" spans="1:12" x14ac:dyDescent="0.2">
      <c r="B39" s="4" t="s">
        <v>50</v>
      </c>
      <c r="C39" s="10">
        <v>1158.5</v>
      </c>
      <c r="D39" s="10">
        <v>1151.3</v>
      </c>
      <c r="E39" s="22">
        <v>1137.3</v>
      </c>
      <c r="F39" s="172">
        <f>F13</f>
        <v>1137.3</v>
      </c>
      <c r="G39" s="172">
        <f t="shared" ref="G39:L39" si="24">G13</f>
        <v>1137.3</v>
      </c>
      <c r="H39" s="172">
        <f t="shared" si="24"/>
        <v>1137.3</v>
      </c>
      <c r="I39" s="172">
        <f t="shared" si="24"/>
        <v>1137.3</v>
      </c>
      <c r="J39" s="172">
        <f t="shared" si="24"/>
        <v>1137.3</v>
      </c>
      <c r="K39" s="172">
        <f t="shared" si="24"/>
        <v>1137.3</v>
      </c>
      <c r="L39" s="172">
        <f t="shared" si="24"/>
        <v>1137.3</v>
      </c>
    </row>
    <row r="40" spans="1:12" x14ac:dyDescent="0.2">
      <c r="B40" s="4" t="s">
        <v>62</v>
      </c>
      <c r="C40" s="179">
        <f t="shared" ref="C40:D40" si="25">C34/C38</f>
        <v>3.3902220629814579</v>
      </c>
      <c r="D40" s="179">
        <f t="shared" si="25"/>
        <v>2.843921012495167</v>
      </c>
      <c r="E40" s="180">
        <f>E34/E38</f>
        <v>1.8806638274651064</v>
      </c>
      <c r="F40" s="171">
        <f>F34/F38</f>
        <v>2.5913059998221826</v>
      </c>
      <c r="G40" s="171">
        <f t="shared" ref="G40:L40" si="26">G34/G38</f>
        <v>2.7563745925486418</v>
      </c>
      <c r="H40" s="171">
        <f t="shared" si="26"/>
        <v>2.9199130226889487</v>
      </c>
      <c r="I40" s="171">
        <f t="shared" si="26"/>
        <v>3.4960326234985111</v>
      </c>
      <c r="J40" s="171">
        <f t="shared" si="26"/>
        <v>4.232167269589139</v>
      </c>
      <c r="K40" s="171">
        <f t="shared" si="26"/>
        <v>5.1245938847591388</v>
      </c>
      <c r="L40" s="171">
        <f t="shared" si="26"/>
        <v>6.0629481152741054</v>
      </c>
    </row>
    <row r="41" spans="1:12" s="11" customFormat="1" x14ac:dyDescent="0.2">
      <c r="A41" s="11" t="s">
        <v>126</v>
      </c>
      <c r="B41" s="17" t="s">
        <v>63</v>
      </c>
      <c r="C41" s="178">
        <f t="shared" ref="C41:D41" si="27">C34/C39</f>
        <v>3.3750048383569404</v>
      </c>
      <c r="D41" s="178">
        <f t="shared" si="27"/>
        <v>2.8328051916350714</v>
      </c>
      <c r="E41" s="178">
        <f>E34/E39</f>
        <v>1.8748761519211621</v>
      </c>
      <c r="F41" s="178">
        <f>F34/F39</f>
        <v>2.5833313484554563</v>
      </c>
      <c r="G41" s="178">
        <f t="shared" ref="G41:L41" si="28">G34/G39</f>
        <v>2.7478919485022861</v>
      </c>
      <c r="H41" s="178">
        <f t="shared" si="28"/>
        <v>2.9109270949834962</v>
      </c>
      <c r="I41" s="178">
        <f t="shared" si="28"/>
        <v>3.4852737083642062</v>
      </c>
      <c r="J41" s="178">
        <f t="shared" si="28"/>
        <v>4.2191429264575451</v>
      </c>
      <c r="K41" s="178">
        <f t="shared" si="28"/>
        <v>5.1088231306954288</v>
      </c>
      <c r="L41" s="178">
        <f t="shared" si="28"/>
        <v>6.0442896096876639</v>
      </c>
    </row>
    <row r="42" spans="1:12" x14ac:dyDescent="0.2">
      <c r="C42" s="14"/>
      <c r="D42" s="14"/>
      <c r="E42" s="37"/>
      <c r="F42" s="14"/>
      <c r="G42" s="14"/>
      <c r="H42" s="14"/>
      <c r="I42" s="14"/>
      <c r="J42" s="14"/>
      <c r="K42" s="14"/>
      <c r="L42" s="14"/>
    </row>
    <row r="43" spans="1:12" x14ac:dyDescent="0.2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F17" sqref="F17"/>
    </sheetView>
  </sheetViews>
  <sheetFormatPr baseColWidth="10" defaultColWidth="8.83203125" defaultRowHeight="15" x14ac:dyDescent="0.2"/>
  <cols>
    <col min="1" max="1" width="1.6640625" style="4" customWidth="1"/>
    <col min="2" max="2" width="42.83203125" style="4" customWidth="1"/>
    <col min="3" max="8" width="11.6640625" style="4" customWidth="1"/>
    <col min="9" max="12" width="11.6640625" style="6" customWidth="1"/>
    <col min="13" max="253" width="8.83203125" style="4"/>
    <col min="254" max="254" width="1.6640625" style="4" customWidth="1"/>
    <col min="255" max="255" width="42.83203125" style="4" customWidth="1"/>
    <col min="256" max="261" width="10.6640625" style="4" customWidth="1"/>
    <col min="262" max="263" width="9.5" style="4" bestFit="1" customWidth="1"/>
    <col min="264" max="509" width="8.83203125" style="4"/>
    <col min="510" max="510" width="1.6640625" style="4" customWidth="1"/>
    <col min="511" max="511" width="42.83203125" style="4" customWidth="1"/>
    <col min="512" max="517" width="10.6640625" style="4" customWidth="1"/>
    <col min="518" max="519" width="9.5" style="4" bestFit="1" customWidth="1"/>
    <col min="520" max="765" width="8.83203125" style="4"/>
    <col min="766" max="766" width="1.6640625" style="4" customWidth="1"/>
    <col min="767" max="767" width="42.83203125" style="4" customWidth="1"/>
    <col min="768" max="773" width="10.6640625" style="4" customWidth="1"/>
    <col min="774" max="775" width="9.5" style="4" bestFit="1" customWidth="1"/>
    <col min="776" max="1021" width="8.83203125" style="4"/>
    <col min="1022" max="1022" width="1.6640625" style="4" customWidth="1"/>
    <col min="1023" max="1023" width="42.83203125" style="4" customWidth="1"/>
    <col min="1024" max="1029" width="10.6640625" style="4" customWidth="1"/>
    <col min="1030" max="1031" width="9.5" style="4" bestFit="1" customWidth="1"/>
    <col min="1032" max="1277" width="8.83203125" style="4"/>
    <col min="1278" max="1278" width="1.6640625" style="4" customWidth="1"/>
    <col min="1279" max="1279" width="42.83203125" style="4" customWidth="1"/>
    <col min="1280" max="1285" width="10.6640625" style="4" customWidth="1"/>
    <col min="1286" max="1287" width="9.5" style="4" bestFit="1" customWidth="1"/>
    <col min="1288" max="1533" width="8.83203125" style="4"/>
    <col min="1534" max="1534" width="1.6640625" style="4" customWidth="1"/>
    <col min="1535" max="1535" width="42.83203125" style="4" customWidth="1"/>
    <col min="1536" max="1541" width="10.6640625" style="4" customWidth="1"/>
    <col min="1542" max="1543" width="9.5" style="4" bestFit="1" customWidth="1"/>
    <col min="1544" max="1789" width="8.83203125" style="4"/>
    <col min="1790" max="1790" width="1.6640625" style="4" customWidth="1"/>
    <col min="1791" max="1791" width="42.83203125" style="4" customWidth="1"/>
    <col min="1792" max="1797" width="10.6640625" style="4" customWidth="1"/>
    <col min="1798" max="1799" width="9.5" style="4" bestFit="1" customWidth="1"/>
    <col min="1800" max="2045" width="8.83203125" style="4"/>
    <col min="2046" max="2046" width="1.6640625" style="4" customWidth="1"/>
    <col min="2047" max="2047" width="42.83203125" style="4" customWidth="1"/>
    <col min="2048" max="2053" width="10.6640625" style="4" customWidth="1"/>
    <col min="2054" max="2055" width="9.5" style="4" bestFit="1" customWidth="1"/>
    <col min="2056" max="2301" width="8.83203125" style="4"/>
    <col min="2302" max="2302" width="1.6640625" style="4" customWidth="1"/>
    <col min="2303" max="2303" width="42.83203125" style="4" customWidth="1"/>
    <col min="2304" max="2309" width="10.6640625" style="4" customWidth="1"/>
    <col min="2310" max="2311" width="9.5" style="4" bestFit="1" customWidth="1"/>
    <col min="2312" max="2557" width="8.83203125" style="4"/>
    <col min="2558" max="2558" width="1.6640625" style="4" customWidth="1"/>
    <col min="2559" max="2559" width="42.83203125" style="4" customWidth="1"/>
    <col min="2560" max="2565" width="10.6640625" style="4" customWidth="1"/>
    <col min="2566" max="2567" width="9.5" style="4" bestFit="1" customWidth="1"/>
    <col min="2568" max="2813" width="8.83203125" style="4"/>
    <col min="2814" max="2814" width="1.6640625" style="4" customWidth="1"/>
    <col min="2815" max="2815" width="42.83203125" style="4" customWidth="1"/>
    <col min="2816" max="2821" width="10.6640625" style="4" customWidth="1"/>
    <col min="2822" max="2823" width="9.5" style="4" bestFit="1" customWidth="1"/>
    <col min="2824" max="3069" width="8.83203125" style="4"/>
    <col min="3070" max="3070" width="1.6640625" style="4" customWidth="1"/>
    <col min="3071" max="3071" width="42.83203125" style="4" customWidth="1"/>
    <col min="3072" max="3077" width="10.6640625" style="4" customWidth="1"/>
    <col min="3078" max="3079" width="9.5" style="4" bestFit="1" customWidth="1"/>
    <col min="3080" max="3325" width="8.83203125" style="4"/>
    <col min="3326" max="3326" width="1.6640625" style="4" customWidth="1"/>
    <col min="3327" max="3327" width="42.83203125" style="4" customWidth="1"/>
    <col min="3328" max="3333" width="10.6640625" style="4" customWidth="1"/>
    <col min="3334" max="3335" width="9.5" style="4" bestFit="1" customWidth="1"/>
    <col min="3336" max="3581" width="8.83203125" style="4"/>
    <col min="3582" max="3582" width="1.6640625" style="4" customWidth="1"/>
    <col min="3583" max="3583" width="42.83203125" style="4" customWidth="1"/>
    <col min="3584" max="3589" width="10.6640625" style="4" customWidth="1"/>
    <col min="3590" max="3591" width="9.5" style="4" bestFit="1" customWidth="1"/>
    <col min="3592" max="3837" width="8.83203125" style="4"/>
    <col min="3838" max="3838" width="1.6640625" style="4" customWidth="1"/>
    <col min="3839" max="3839" width="42.83203125" style="4" customWidth="1"/>
    <col min="3840" max="3845" width="10.6640625" style="4" customWidth="1"/>
    <col min="3846" max="3847" width="9.5" style="4" bestFit="1" customWidth="1"/>
    <col min="3848" max="4093" width="8.83203125" style="4"/>
    <col min="4094" max="4094" width="1.6640625" style="4" customWidth="1"/>
    <col min="4095" max="4095" width="42.83203125" style="4" customWidth="1"/>
    <col min="4096" max="4101" width="10.6640625" style="4" customWidth="1"/>
    <col min="4102" max="4103" width="9.5" style="4" bestFit="1" customWidth="1"/>
    <col min="4104" max="4349" width="8.83203125" style="4"/>
    <col min="4350" max="4350" width="1.6640625" style="4" customWidth="1"/>
    <col min="4351" max="4351" width="42.83203125" style="4" customWidth="1"/>
    <col min="4352" max="4357" width="10.6640625" style="4" customWidth="1"/>
    <col min="4358" max="4359" width="9.5" style="4" bestFit="1" customWidth="1"/>
    <col min="4360" max="4605" width="8.83203125" style="4"/>
    <col min="4606" max="4606" width="1.6640625" style="4" customWidth="1"/>
    <col min="4607" max="4607" width="42.83203125" style="4" customWidth="1"/>
    <col min="4608" max="4613" width="10.6640625" style="4" customWidth="1"/>
    <col min="4614" max="4615" width="9.5" style="4" bestFit="1" customWidth="1"/>
    <col min="4616" max="4861" width="8.83203125" style="4"/>
    <col min="4862" max="4862" width="1.6640625" style="4" customWidth="1"/>
    <col min="4863" max="4863" width="42.83203125" style="4" customWidth="1"/>
    <col min="4864" max="4869" width="10.6640625" style="4" customWidth="1"/>
    <col min="4870" max="4871" width="9.5" style="4" bestFit="1" customWidth="1"/>
    <col min="4872" max="5117" width="8.83203125" style="4"/>
    <col min="5118" max="5118" width="1.6640625" style="4" customWidth="1"/>
    <col min="5119" max="5119" width="42.83203125" style="4" customWidth="1"/>
    <col min="5120" max="5125" width="10.6640625" style="4" customWidth="1"/>
    <col min="5126" max="5127" width="9.5" style="4" bestFit="1" customWidth="1"/>
    <col min="5128" max="5373" width="8.83203125" style="4"/>
    <col min="5374" max="5374" width="1.6640625" style="4" customWidth="1"/>
    <col min="5375" max="5375" width="42.83203125" style="4" customWidth="1"/>
    <col min="5376" max="5381" width="10.6640625" style="4" customWidth="1"/>
    <col min="5382" max="5383" width="9.5" style="4" bestFit="1" customWidth="1"/>
    <col min="5384" max="5629" width="8.83203125" style="4"/>
    <col min="5630" max="5630" width="1.6640625" style="4" customWidth="1"/>
    <col min="5631" max="5631" width="42.83203125" style="4" customWidth="1"/>
    <col min="5632" max="5637" width="10.6640625" style="4" customWidth="1"/>
    <col min="5638" max="5639" width="9.5" style="4" bestFit="1" customWidth="1"/>
    <col min="5640" max="5885" width="8.83203125" style="4"/>
    <col min="5886" max="5886" width="1.6640625" style="4" customWidth="1"/>
    <col min="5887" max="5887" width="42.83203125" style="4" customWidth="1"/>
    <col min="5888" max="5893" width="10.6640625" style="4" customWidth="1"/>
    <col min="5894" max="5895" width="9.5" style="4" bestFit="1" customWidth="1"/>
    <col min="5896" max="6141" width="8.83203125" style="4"/>
    <col min="6142" max="6142" width="1.6640625" style="4" customWidth="1"/>
    <col min="6143" max="6143" width="42.83203125" style="4" customWidth="1"/>
    <col min="6144" max="6149" width="10.6640625" style="4" customWidth="1"/>
    <col min="6150" max="6151" width="9.5" style="4" bestFit="1" customWidth="1"/>
    <col min="6152" max="6397" width="8.83203125" style="4"/>
    <col min="6398" max="6398" width="1.6640625" style="4" customWidth="1"/>
    <col min="6399" max="6399" width="42.83203125" style="4" customWidth="1"/>
    <col min="6400" max="6405" width="10.6640625" style="4" customWidth="1"/>
    <col min="6406" max="6407" width="9.5" style="4" bestFit="1" customWidth="1"/>
    <col min="6408" max="6653" width="8.83203125" style="4"/>
    <col min="6654" max="6654" width="1.6640625" style="4" customWidth="1"/>
    <col min="6655" max="6655" width="42.83203125" style="4" customWidth="1"/>
    <col min="6656" max="6661" width="10.6640625" style="4" customWidth="1"/>
    <col min="6662" max="6663" width="9.5" style="4" bestFit="1" customWidth="1"/>
    <col min="6664" max="6909" width="8.83203125" style="4"/>
    <col min="6910" max="6910" width="1.6640625" style="4" customWidth="1"/>
    <col min="6911" max="6911" width="42.83203125" style="4" customWidth="1"/>
    <col min="6912" max="6917" width="10.6640625" style="4" customWidth="1"/>
    <col min="6918" max="6919" width="9.5" style="4" bestFit="1" customWidth="1"/>
    <col min="6920" max="7165" width="8.83203125" style="4"/>
    <col min="7166" max="7166" width="1.6640625" style="4" customWidth="1"/>
    <col min="7167" max="7167" width="42.83203125" style="4" customWidth="1"/>
    <col min="7168" max="7173" width="10.6640625" style="4" customWidth="1"/>
    <col min="7174" max="7175" width="9.5" style="4" bestFit="1" customWidth="1"/>
    <col min="7176" max="7421" width="8.83203125" style="4"/>
    <col min="7422" max="7422" width="1.6640625" style="4" customWidth="1"/>
    <col min="7423" max="7423" width="42.83203125" style="4" customWidth="1"/>
    <col min="7424" max="7429" width="10.6640625" style="4" customWidth="1"/>
    <col min="7430" max="7431" width="9.5" style="4" bestFit="1" customWidth="1"/>
    <col min="7432" max="7677" width="8.83203125" style="4"/>
    <col min="7678" max="7678" width="1.6640625" style="4" customWidth="1"/>
    <col min="7679" max="7679" width="42.83203125" style="4" customWidth="1"/>
    <col min="7680" max="7685" width="10.6640625" style="4" customWidth="1"/>
    <col min="7686" max="7687" width="9.5" style="4" bestFit="1" customWidth="1"/>
    <col min="7688" max="7933" width="8.83203125" style="4"/>
    <col min="7934" max="7934" width="1.6640625" style="4" customWidth="1"/>
    <col min="7935" max="7935" width="42.83203125" style="4" customWidth="1"/>
    <col min="7936" max="7941" width="10.6640625" style="4" customWidth="1"/>
    <col min="7942" max="7943" width="9.5" style="4" bestFit="1" customWidth="1"/>
    <col min="7944" max="8189" width="8.83203125" style="4"/>
    <col min="8190" max="8190" width="1.6640625" style="4" customWidth="1"/>
    <col min="8191" max="8191" width="42.83203125" style="4" customWidth="1"/>
    <col min="8192" max="8197" width="10.6640625" style="4" customWidth="1"/>
    <col min="8198" max="8199" width="9.5" style="4" bestFit="1" customWidth="1"/>
    <col min="8200" max="8445" width="8.83203125" style="4"/>
    <col min="8446" max="8446" width="1.6640625" style="4" customWidth="1"/>
    <col min="8447" max="8447" width="42.83203125" style="4" customWidth="1"/>
    <col min="8448" max="8453" width="10.6640625" style="4" customWidth="1"/>
    <col min="8454" max="8455" width="9.5" style="4" bestFit="1" customWidth="1"/>
    <col min="8456" max="8701" width="8.83203125" style="4"/>
    <col min="8702" max="8702" width="1.6640625" style="4" customWidth="1"/>
    <col min="8703" max="8703" width="42.83203125" style="4" customWidth="1"/>
    <col min="8704" max="8709" width="10.6640625" style="4" customWidth="1"/>
    <col min="8710" max="8711" width="9.5" style="4" bestFit="1" customWidth="1"/>
    <col min="8712" max="8957" width="8.83203125" style="4"/>
    <col min="8958" max="8958" width="1.6640625" style="4" customWidth="1"/>
    <col min="8959" max="8959" width="42.83203125" style="4" customWidth="1"/>
    <col min="8960" max="8965" width="10.6640625" style="4" customWidth="1"/>
    <col min="8966" max="8967" width="9.5" style="4" bestFit="1" customWidth="1"/>
    <col min="8968" max="9213" width="8.83203125" style="4"/>
    <col min="9214" max="9214" width="1.6640625" style="4" customWidth="1"/>
    <col min="9215" max="9215" width="42.83203125" style="4" customWidth="1"/>
    <col min="9216" max="9221" width="10.6640625" style="4" customWidth="1"/>
    <col min="9222" max="9223" width="9.5" style="4" bestFit="1" customWidth="1"/>
    <col min="9224" max="9469" width="8.83203125" style="4"/>
    <col min="9470" max="9470" width="1.6640625" style="4" customWidth="1"/>
    <col min="9471" max="9471" width="42.83203125" style="4" customWidth="1"/>
    <col min="9472" max="9477" width="10.6640625" style="4" customWidth="1"/>
    <col min="9478" max="9479" width="9.5" style="4" bestFit="1" customWidth="1"/>
    <col min="9480" max="9725" width="8.83203125" style="4"/>
    <col min="9726" max="9726" width="1.6640625" style="4" customWidth="1"/>
    <col min="9727" max="9727" width="42.83203125" style="4" customWidth="1"/>
    <col min="9728" max="9733" width="10.6640625" style="4" customWidth="1"/>
    <col min="9734" max="9735" width="9.5" style="4" bestFit="1" customWidth="1"/>
    <col min="9736" max="9981" width="8.83203125" style="4"/>
    <col min="9982" max="9982" width="1.6640625" style="4" customWidth="1"/>
    <col min="9983" max="9983" width="42.83203125" style="4" customWidth="1"/>
    <col min="9984" max="9989" width="10.6640625" style="4" customWidth="1"/>
    <col min="9990" max="9991" width="9.5" style="4" bestFit="1" customWidth="1"/>
    <col min="9992" max="10237" width="8.83203125" style="4"/>
    <col min="10238" max="10238" width="1.6640625" style="4" customWidth="1"/>
    <col min="10239" max="10239" width="42.83203125" style="4" customWidth="1"/>
    <col min="10240" max="10245" width="10.6640625" style="4" customWidth="1"/>
    <col min="10246" max="10247" width="9.5" style="4" bestFit="1" customWidth="1"/>
    <col min="10248" max="10493" width="8.83203125" style="4"/>
    <col min="10494" max="10494" width="1.6640625" style="4" customWidth="1"/>
    <col min="10495" max="10495" width="42.83203125" style="4" customWidth="1"/>
    <col min="10496" max="10501" width="10.6640625" style="4" customWidth="1"/>
    <col min="10502" max="10503" width="9.5" style="4" bestFit="1" customWidth="1"/>
    <col min="10504" max="10749" width="8.83203125" style="4"/>
    <col min="10750" max="10750" width="1.6640625" style="4" customWidth="1"/>
    <col min="10751" max="10751" width="42.83203125" style="4" customWidth="1"/>
    <col min="10752" max="10757" width="10.6640625" style="4" customWidth="1"/>
    <col min="10758" max="10759" width="9.5" style="4" bestFit="1" customWidth="1"/>
    <col min="10760" max="11005" width="8.83203125" style="4"/>
    <col min="11006" max="11006" width="1.6640625" style="4" customWidth="1"/>
    <col min="11007" max="11007" width="42.83203125" style="4" customWidth="1"/>
    <col min="11008" max="11013" width="10.6640625" style="4" customWidth="1"/>
    <col min="11014" max="11015" width="9.5" style="4" bestFit="1" customWidth="1"/>
    <col min="11016" max="11261" width="8.83203125" style="4"/>
    <col min="11262" max="11262" width="1.6640625" style="4" customWidth="1"/>
    <col min="11263" max="11263" width="42.83203125" style="4" customWidth="1"/>
    <col min="11264" max="11269" width="10.6640625" style="4" customWidth="1"/>
    <col min="11270" max="11271" width="9.5" style="4" bestFit="1" customWidth="1"/>
    <col min="11272" max="11517" width="8.83203125" style="4"/>
    <col min="11518" max="11518" width="1.6640625" style="4" customWidth="1"/>
    <col min="11519" max="11519" width="42.83203125" style="4" customWidth="1"/>
    <col min="11520" max="11525" width="10.6640625" style="4" customWidth="1"/>
    <col min="11526" max="11527" width="9.5" style="4" bestFit="1" customWidth="1"/>
    <col min="11528" max="11773" width="8.83203125" style="4"/>
    <col min="11774" max="11774" width="1.6640625" style="4" customWidth="1"/>
    <col min="11775" max="11775" width="42.83203125" style="4" customWidth="1"/>
    <col min="11776" max="11781" width="10.6640625" style="4" customWidth="1"/>
    <col min="11782" max="11783" width="9.5" style="4" bestFit="1" customWidth="1"/>
    <col min="11784" max="12029" width="8.83203125" style="4"/>
    <col min="12030" max="12030" width="1.6640625" style="4" customWidth="1"/>
    <col min="12031" max="12031" width="42.83203125" style="4" customWidth="1"/>
    <col min="12032" max="12037" width="10.6640625" style="4" customWidth="1"/>
    <col min="12038" max="12039" width="9.5" style="4" bestFit="1" customWidth="1"/>
    <col min="12040" max="12285" width="8.83203125" style="4"/>
    <col min="12286" max="12286" width="1.6640625" style="4" customWidth="1"/>
    <col min="12287" max="12287" width="42.83203125" style="4" customWidth="1"/>
    <col min="12288" max="12293" width="10.6640625" style="4" customWidth="1"/>
    <col min="12294" max="12295" width="9.5" style="4" bestFit="1" customWidth="1"/>
    <col min="12296" max="12541" width="8.83203125" style="4"/>
    <col min="12542" max="12542" width="1.6640625" style="4" customWidth="1"/>
    <col min="12543" max="12543" width="42.83203125" style="4" customWidth="1"/>
    <col min="12544" max="12549" width="10.6640625" style="4" customWidth="1"/>
    <col min="12550" max="12551" width="9.5" style="4" bestFit="1" customWidth="1"/>
    <col min="12552" max="12797" width="8.83203125" style="4"/>
    <col min="12798" max="12798" width="1.6640625" style="4" customWidth="1"/>
    <col min="12799" max="12799" width="42.83203125" style="4" customWidth="1"/>
    <col min="12800" max="12805" width="10.6640625" style="4" customWidth="1"/>
    <col min="12806" max="12807" width="9.5" style="4" bestFit="1" customWidth="1"/>
    <col min="12808" max="13053" width="8.83203125" style="4"/>
    <col min="13054" max="13054" width="1.6640625" style="4" customWidth="1"/>
    <col min="13055" max="13055" width="42.83203125" style="4" customWidth="1"/>
    <col min="13056" max="13061" width="10.6640625" style="4" customWidth="1"/>
    <col min="13062" max="13063" width="9.5" style="4" bestFit="1" customWidth="1"/>
    <col min="13064" max="13309" width="8.83203125" style="4"/>
    <col min="13310" max="13310" width="1.6640625" style="4" customWidth="1"/>
    <col min="13311" max="13311" width="42.83203125" style="4" customWidth="1"/>
    <col min="13312" max="13317" width="10.6640625" style="4" customWidth="1"/>
    <col min="13318" max="13319" width="9.5" style="4" bestFit="1" customWidth="1"/>
    <col min="13320" max="13565" width="8.83203125" style="4"/>
    <col min="13566" max="13566" width="1.6640625" style="4" customWidth="1"/>
    <col min="13567" max="13567" width="42.83203125" style="4" customWidth="1"/>
    <col min="13568" max="13573" width="10.6640625" style="4" customWidth="1"/>
    <col min="13574" max="13575" width="9.5" style="4" bestFit="1" customWidth="1"/>
    <col min="13576" max="13821" width="8.83203125" style="4"/>
    <col min="13822" max="13822" width="1.6640625" style="4" customWidth="1"/>
    <col min="13823" max="13823" width="42.83203125" style="4" customWidth="1"/>
    <col min="13824" max="13829" width="10.6640625" style="4" customWidth="1"/>
    <col min="13830" max="13831" width="9.5" style="4" bestFit="1" customWidth="1"/>
    <col min="13832" max="14077" width="8.83203125" style="4"/>
    <col min="14078" max="14078" width="1.6640625" style="4" customWidth="1"/>
    <col min="14079" max="14079" width="42.83203125" style="4" customWidth="1"/>
    <col min="14080" max="14085" width="10.6640625" style="4" customWidth="1"/>
    <col min="14086" max="14087" width="9.5" style="4" bestFit="1" customWidth="1"/>
    <col min="14088" max="14333" width="8.83203125" style="4"/>
    <col min="14334" max="14334" width="1.6640625" style="4" customWidth="1"/>
    <col min="14335" max="14335" width="42.83203125" style="4" customWidth="1"/>
    <col min="14336" max="14341" width="10.6640625" style="4" customWidth="1"/>
    <col min="14342" max="14343" width="9.5" style="4" bestFit="1" customWidth="1"/>
    <col min="14344" max="14589" width="8.83203125" style="4"/>
    <col min="14590" max="14590" width="1.6640625" style="4" customWidth="1"/>
    <col min="14591" max="14591" width="42.83203125" style="4" customWidth="1"/>
    <col min="14592" max="14597" width="10.6640625" style="4" customWidth="1"/>
    <col min="14598" max="14599" width="9.5" style="4" bestFit="1" customWidth="1"/>
    <col min="14600" max="14845" width="8.83203125" style="4"/>
    <col min="14846" max="14846" width="1.6640625" style="4" customWidth="1"/>
    <col min="14847" max="14847" width="42.83203125" style="4" customWidth="1"/>
    <col min="14848" max="14853" width="10.6640625" style="4" customWidth="1"/>
    <col min="14854" max="14855" width="9.5" style="4" bestFit="1" customWidth="1"/>
    <col min="14856" max="15101" width="8.83203125" style="4"/>
    <col min="15102" max="15102" width="1.6640625" style="4" customWidth="1"/>
    <col min="15103" max="15103" width="42.83203125" style="4" customWidth="1"/>
    <col min="15104" max="15109" width="10.6640625" style="4" customWidth="1"/>
    <col min="15110" max="15111" width="9.5" style="4" bestFit="1" customWidth="1"/>
    <col min="15112" max="15357" width="8.83203125" style="4"/>
    <col min="15358" max="15358" width="1.6640625" style="4" customWidth="1"/>
    <col min="15359" max="15359" width="42.83203125" style="4" customWidth="1"/>
    <col min="15360" max="15365" width="10.6640625" style="4" customWidth="1"/>
    <col min="15366" max="15367" width="9.5" style="4" bestFit="1" customWidth="1"/>
    <col min="15368" max="15613" width="8.83203125" style="4"/>
    <col min="15614" max="15614" width="1.6640625" style="4" customWidth="1"/>
    <col min="15615" max="15615" width="42.83203125" style="4" customWidth="1"/>
    <col min="15616" max="15621" width="10.6640625" style="4" customWidth="1"/>
    <col min="15622" max="15623" width="9.5" style="4" bestFit="1" customWidth="1"/>
    <col min="15624" max="15869" width="8.83203125" style="4"/>
    <col min="15870" max="15870" width="1.6640625" style="4" customWidth="1"/>
    <col min="15871" max="15871" width="42.83203125" style="4" customWidth="1"/>
    <col min="15872" max="15877" width="10.6640625" style="4" customWidth="1"/>
    <col min="15878" max="15879" width="9.5" style="4" bestFit="1" customWidth="1"/>
    <col min="15880" max="16125" width="8.83203125" style="4"/>
    <col min="16126" max="16126" width="1.6640625" style="4" customWidth="1"/>
    <col min="16127" max="16127" width="42.83203125" style="4" customWidth="1"/>
    <col min="16128" max="16133" width="10.6640625" style="4" customWidth="1"/>
    <col min="16134" max="16135" width="9.5" style="4" bestFit="1" customWidth="1"/>
    <col min="16136" max="16384" width="8.83203125" style="4"/>
  </cols>
  <sheetData>
    <row r="1" spans="1:12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x14ac:dyDescent="0.2">
      <c r="A2" s="16" t="s">
        <v>10</v>
      </c>
      <c r="B2" s="62"/>
      <c r="C2" s="242">
        <v>2023</v>
      </c>
      <c r="D2" s="242">
        <f>C2+1</f>
        <v>2024</v>
      </c>
      <c r="E2" s="242">
        <f t="shared" ref="E2:J2" si="0">D2+1</f>
        <v>2025</v>
      </c>
      <c r="F2" s="242">
        <f t="shared" si="0"/>
        <v>2026</v>
      </c>
      <c r="G2" s="242">
        <f t="shared" si="0"/>
        <v>2027</v>
      </c>
      <c r="H2" s="242">
        <f t="shared" si="0"/>
        <v>2028</v>
      </c>
      <c r="I2" s="242">
        <f t="shared" si="0"/>
        <v>2029</v>
      </c>
      <c r="J2" s="242">
        <f t="shared" si="0"/>
        <v>2030</v>
      </c>
      <c r="K2" s="242">
        <f t="shared" ref="K2" si="1">J2+1</f>
        <v>2031</v>
      </c>
      <c r="L2" s="242">
        <f t="shared" ref="L2" si="2">K2+1</f>
        <v>2032</v>
      </c>
    </row>
    <row r="4" spans="1:12" x14ac:dyDescent="0.2">
      <c r="B4" s="4" t="s">
        <v>140</v>
      </c>
      <c r="C4" s="42"/>
      <c r="D4" s="42"/>
      <c r="E4" s="43"/>
      <c r="F4" s="101">
        <f>Assumptions!F44</f>
        <v>0.02</v>
      </c>
      <c r="G4" s="101">
        <f>F4</f>
        <v>0.02</v>
      </c>
      <c r="H4" s="101">
        <f t="shared" ref="H4:J4" si="3">G4</f>
        <v>0.02</v>
      </c>
      <c r="I4" s="101">
        <f t="shared" si="3"/>
        <v>0.02</v>
      </c>
      <c r="J4" s="101">
        <f t="shared" si="3"/>
        <v>0.02</v>
      </c>
      <c r="K4" s="101">
        <f t="shared" ref="K4" si="4">J4</f>
        <v>0.02</v>
      </c>
      <c r="L4" s="101">
        <f t="shared" ref="L4" si="5">K4</f>
        <v>0.02</v>
      </c>
    </row>
    <row r="5" spans="1:12" x14ac:dyDescent="0.2">
      <c r="B5" s="4" t="s">
        <v>153</v>
      </c>
      <c r="C5" s="42"/>
      <c r="D5" s="42"/>
      <c r="E5" s="43"/>
      <c r="F5" s="101">
        <f>Assumptions!F45</f>
        <v>3.2696009288132079E-2</v>
      </c>
      <c r="G5" s="101">
        <f>Assumptions!G45</f>
        <v>3.2696009288132079E-2</v>
      </c>
      <c r="H5" s="101">
        <f>Assumptions!H45</f>
        <v>3.2696009288132079E-2</v>
      </c>
      <c r="I5" s="101">
        <f>Assumptions!I45</f>
        <v>3.2696009288132079E-2</v>
      </c>
      <c r="J5" s="101">
        <f>Assumptions!J45</f>
        <v>3.2696009288132079E-2</v>
      </c>
      <c r="K5" s="101">
        <f>Assumptions!K45</f>
        <v>3.2696009288132079E-2</v>
      </c>
      <c r="L5" s="101">
        <f>Assumptions!L45</f>
        <v>3.2696009288132079E-2</v>
      </c>
    </row>
    <row r="6" spans="1:12" x14ac:dyDescent="0.2">
      <c r="B6" s="4" t="s">
        <v>65</v>
      </c>
      <c r="C6" s="42"/>
      <c r="D6" s="42"/>
      <c r="E6" s="43"/>
      <c r="F6" s="101">
        <f>Assumptions!F46</f>
        <v>0.15245063560412414</v>
      </c>
      <c r="G6" s="101">
        <f>Assumptions!G46</f>
        <v>0.15245063560412414</v>
      </c>
      <c r="H6" s="101">
        <f>Assumptions!H46</f>
        <v>0.15245063560412414</v>
      </c>
      <c r="I6" s="101">
        <f>Assumptions!I46</f>
        <v>0.15245063560412414</v>
      </c>
      <c r="J6" s="101">
        <f>Assumptions!J46</f>
        <v>0.15245063560412414</v>
      </c>
      <c r="K6" s="101">
        <f>Assumptions!K46</f>
        <v>0.15245063560412414</v>
      </c>
      <c r="L6" s="101">
        <f>Assumptions!L46</f>
        <v>0.15245063560412414</v>
      </c>
    </row>
    <row r="7" spans="1:12" x14ac:dyDescent="0.2">
      <c r="B7" s="4" t="s">
        <v>66</v>
      </c>
      <c r="C7" s="42"/>
      <c r="D7" s="42"/>
      <c r="E7" s="43"/>
      <c r="F7" s="101">
        <f>Assumptions!F47</f>
        <v>1.535672672200041E-2</v>
      </c>
      <c r="G7" s="101">
        <f>Assumptions!G47</f>
        <v>1.535672672200041E-2</v>
      </c>
      <c r="H7" s="101">
        <f>Assumptions!H47</f>
        <v>1.535672672200041E-2</v>
      </c>
      <c r="I7" s="101">
        <f>Assumptions!I47</f>
        <v>1.535672672200041E-2</v>
      </c>
      <c r="J7" s="101">
        <f>Assumptions!J47</f>
        <v>1.535672672200041E-2</v>
      </c>
      <c r="K7" s="101">
        <f>Assumptions!K47</f>
        <v>1.535672672200041E-2</v>
      </c>
      <c r="L7" s="101">
        <f>Assumptions!L47</f>
        <v>1.535672672200041E-2</v>
      </c>
    </row>
    <row r="8" spans="1:12" x14ac:dyDescent="0.2">
      <c r="A8" s="7"/>
      <c r="C8" s="29"/>
      <c r="D8" s="29"/>
      <c r="E8" s="29"/>
      <c r="F8" s="102"/>
      <c r="G8" s="102"/>
      <c r="H8" s="102"/>
      <c r="I8" s="102"/>
      <c r="J8" s="102"/>
      <c r="K8" s="102"/>
      <c r="L8" s="102"/>
    </row>
    <row r="9" spans="1:12" x14ac:dyDescent="0.2">
      <c r="B9" s="4" t="s">
        <v>67</v>
      </c>
      <c r="C9" s="42"/>
      <c r="D9" s="42"/>
      <c r="E9" s="43"/>
      <c r="F9" s="101">
        <f>Assumptions!F50</f>
        <v>6.4209488663799996E-2</v>
      </c>
      <c r="G9" s="101">
        <f>Assumptions!G50</f>
        <v>6.4209488663799996E-2</v>
      </c>
      <c r="H9" s="101">
        <f>Assumptions!H50</f>
        <v>6.4209488663799996E-2</v>
      </c>
      <c r="I9" s="101">
        <f>Assumptions!I50</f>
        <v>6.4209488663799996E-2</v>
      </c>
      <c r="J9" s="101">
        <f>Assumptions!J50</f>
        <v>6.4209488663799996E-2</v>
      </c>
      <c r="K9" s="101">
        <f>Assumptions!K50</f>
        <v>6.4209488663799996E-2</v>
      </c>
      <c r="L9" s="101">
        <f>Assumptions!L50</f>
        <v>6.4209488663799996E-2</v>
      </c>
    </row>
    <row r="10" spans="1:12" x14ac:dyDescent="0.2">
      <c r="B10" s="4" t="s">
        <v>162</v>
      </c>
      <c r="C10" s="42"/>
      <c r="D10" s="42"/>
      <c r="E10" s="149"/>
      <c r="F10" s="100">
        <f>Assumptions!F49</f>
        <v>739.9</v>
      </c>
      <c r="G10" s="100">
        <f>Assumptions!G49</f>
        <v>739.9</v>
      </c>
      <c r="H10" s="100">
        <f>Assumptions!H49</f>
        <v>739.9</v>
      </c>
      <c r="I10" s="100">
        <f>Assumptions!I49</f>
        <v>739.9</v>
      </c>
      <c r="J10" s="100">
        <f>Assumptions!J49</f>
        <v>739.9</v>
      </c>
      <c r="K10" s="100">
        <f>Assumptions!K49</f>
        <v>739.9</v>
      </c>
      <c r="L10" s="100">
        <f>Assumptions!L49</f>
        <v>739.9</v>
      </c>
    </row>
    <row r="11" spans="1:12" x14ac:dyDescent="0.2">
      <c r="C11" s="29"/>
      <c r="D11" s="29"/>
      <c r="E11" s="29"/>
      <c r="F11" s="102"/>
      <c r="G11" s="102"/>
      <c r="H11" s="102"/>
      <c r="I11" s="102"/>
      <c r="J11" s="102"/>
      <c r="K11" s="102"/>
      <c r="L11" s="102"/>
    </row>
    <row r="12" spans="1:12" x14ac:dyDescent="0.2">
      <c r="B12" s="4" t="s">
        <v>152</v>
      </c>
      <c r="C12" s="42"/>
      <c r="D12" s="42"/>
      <c r="E12" s="43"/>
      <c r="F12" s="101">
        <f>Assumptions!F54</f>
        <v>0.3925820452556999</v>
      </c>
      <c r="G12" s="101">
        <f>Assumptions!G54</f>
        <v>0.3925820452556999</v>
      </c>
      <c r="H12" s="101">
        <f>Assumptions!H54</f>
        <v>0.3925820452556999</v>
      </c>
      <c r="I12" s="101">
        <f>Assumptions!I54</f>
        <v>0.3925820452556999</v>
      </c>
      <c r="J12" s="101">
        <f>Assumptions!J54</f>
        <v>0.3925820452556999</v>
      </c>
      <c r="K12" s="101">
        <f>Assumptions!K54</f>
        <v>0.3925820452556999</v>
      </c>
      <c r="L12" s="101">
        <f>Assumptions!L54</f>
        <v>0.3925820452556999</v>
      </c>
    </row>
    <row r="13" spans="1:12" x14ac:dyDescent="0.2">
      <c r="B13" s="4" t="s">
        <v>68</v>
      </c>
      <c r="C13" s="42"/>
      <c r="D13" s="42"/>
      <c r="E13" s="26"/>
      <c r="F13" s="101">
        <f>Assumptions!F55</f>
        <v>8.7391384852106527E-2</v>
      </c>
      <c r="G13" s="101">
        <f>Assumptions!G55</f>
        <v>8.7391384852106527E-2</v>
      </c>
      <c r="H13" s="101">
        <f>Assumptions!H55</f>
        <v>8.7391384852106527E-2</v>
      </c>
      <c r="I13" s="101">
        <f>Assumptions!I55</f>
        <v>8.7391384852106527E-2</v>
      </c>
      <c r="J13" s="101">
        <f>Assumptions!J55</f>
        <v>8.7391384852106527E-2</v>
      </c>
      <c r="K13" s="101">
        <f>Assumptions!K55</f>
        <v>8.7391384852106527E-2</v>
      </c>
      <c r="L13" s="101">
        <f>Assumptions!L55</f>
        <v>8.7391384852106527E-2</v>
      </c>
    </row>
    <row r="14" spans="1:12" x14ac:dyDescent="0.2">
      <c r="B14" s="4" t="s">
        <v>69</v>
      </c>
      <c r="C14" s="42"/>
      <c r="D14" s="42"/>
      <c r="E14" s="43"/>
      <c r="F14" s="234">
        <f>Assumptions!F56</f>
        <v>0.41459660352393812</v>
      </c>
      <c r="G14" s="234">
        <f>Assumptions!G56</f>
        <v>0.41459660352393812</v>
      </c>
      <c r="H14" s="234">
        <f>Assumptions!H56</f>
        <v>0.41459660352393812</v>
      </c>
      <c r="I14" s="234">
        <f>Assumptions!I56</f>
        <v>0.41459660352393812</v>
      </c>
      <c r="J14" s="234">
        <f>Assumptions!J56</f>
        <v>0.41459660352393812</v>
      </c>
      <c r="K14" s="234">
        <f>Assumptions!K56</f>
        <v>0.41459660352393812</v>
      </c>
      <c r="L14" s="234">
        <f>Assumptions!L56</f>
        <v>0.41459660352393812</v>
      </c>
    </row>
    <row r="15" spans="1:12" x14ac:dyDescent="0.2">
      <c r="C15" s="42"/>
      <c r="D15" s="42"/>
      <c r="E15" s="42"/>
      <c r="F15" s="102"/>
      <c r="G15" s="102"/>
      <c r="H15" s="102"/>
      <c r="I15" s="102"/>
      <c r="J15" s="102"/>
      <c r="K15" s="102"/>
      <c r="L15" s="102"/>
    </row>
    <row r="16" spans="1:12" ht="15" customHeight="1" x14ac:dyDescent="0.2">
      <c r="A16" s="176" t="s">
        <v>64</v>
      </c>
      <c r="B16" s="177"/>
      <c r="C16" s="231">
        <f>C2</f>
        <v>2023</v>
      </c>
      <c r="D16" s="231">
        <f t="shared" ref="D16:J16" si="6">D2</f>
        <v>2024</v>
      </c>
      <c r="E16" s="231">
        <f t="shared" si="6"/>
        <v>2025</v>
      </c>
      <c r="F16" s="231">
        <f t="shared" si="6"/>
        <v>2026</v>
      </c>
      <c r="G16" s="231">
        <f t="shared" si="6"/>
        <v>2027</v>
      </c>
      <c r="H16" s="231">
        <f t="shared" si="6"/>
        <v>2028</v>
      </c>
      <c r="I16" s="231">
        <f t="shared" si="6"/>
        <v>2029</v>
      </c>
      <c r="J16" s="231">
        <f t="shared" si="6"/>
        <v>2030</v>
      </c>
      <c r="K16" s="231">
        <f t="shared" ref="K16:L16" si="7">K2</f>
        <v>2031</v>
      </c>
      <c r="L16" s="231">
        <f t="shared" si="7"/>
        <v>2032</v>
      </c>
    </row>
    <row r="17" spans="1:12" x14ac:dyDescent="0.2">
      <c r="B17" s="4" t="s">
        <v>158</v>
      </c>
      <c r="C17" s="182">
        <f>2%*IncState!C16</f>
        <v>719.51886210473026</v>
      </c>
      <c r="D17" s="182">
        <f>2%*IncState!D16</f>
        <v>723.52417234258917</v>
      </c>
      <c r="E17" s="183">
        <f>2%*IncState!E16</f>
        <v>742.47593295159868</v>
      </c>
      <c r="F17" s="4">
        <f>F4*IncState!F16</f>
        <v>765.09711559565653</v>
      </c>
      <c r="G17" s="4">
        <f>G4*IncState!G16</f>
        <v>810.92088704301034</v>
      </c>
      <c r="H17" s="4">
        <f>H4*IncState!H16</f>
        <v>869.90746848389847</v>
      </c>
      <c r="I17" s="4">
        <f>I4*IncState!I16</f>
        <v>942.41247361280739</v>
      </c>
      <c r="J17" s="4">
        <f>J4*IncState!J16</f>
        <v>1030.9195239256353</v>
      </c>
      <c r="K17" s="4">
        <f>K4*IncState!K16</f>
        <v>1138.5942612583883</v>
      </c>
      <c r="L17" s="4">
        <f>L4*IncState!L16</f>
        <v>1269.4645372545531</v>
      </c>
    </row>
    <row r="18" spans="1:12" x14ac:dyDescent="0.2">
      <c r="B18" s="4" t="s">
        <v>159</v>
      </c>
      <c r="C18" s="182">
        <f>2818.4-C17</f>
        <v>2098.8811378952696</v>
      </c>
      <c r="D18" s="182">
        <f>3551.5-D17</f>
        <v>2827.9758276574107</v>
      </c>
      <c r="E18" s="183">
        <f>3286.2-E17</f>
        <v>2543.7240670484011</v>
      </c>
      <c r="F18" s="4">
        <f>MAX(CashFlow!F23-BalSheet!E32,0)</f>
        <v>788.01462717851518</v>
      </c>
      <c r="G18" s="4">
        <f>MAX(CashFlow!G23-BalSheet!F32,0)</f>
        <v>702.09194791695791</v>
      </c>
      <c r="H18" s="4">
        <f>MAX(CashFlow!H23-BalSheet!G32,0)</f>
        <v>765.7560620786544</v>
      </c>
      <c r="I18" s="4">
        <f>MAX(CashFlow!I23-BalSheet!H32,0)</f>
        <v>1409.6293357261848</v>
      </c>
      <c r="J18" s="4">
        <f>MAX(CashFlow!J23-BalSheet!I32,0)</f>
        <v>2817.713212918814</v>
      </c>
      <c r="K18" s="4">
        <f>MAX(CashFlow!K23-BalSheet!J32,0)</f>
        <v>5174.8206536874386</v>
      </c>
      <c r="L18" s="4">
        <f>MAX(CashFlow!L23-BalSheet!K32,0)</f>
        <v>8546.4878003227059</v>
      </c>
    </row>
    <row r="19" spans="1:12" x14ac:dyDescent="0.2">
      <c r="B19" s="4" t="s">
        <v>70</v>
      </c>
      <c r="C19" s="184">
        <v>1175.5</v>
      </c>
      <c r="D19" s="184">
        <v>1184.0999999999999</v>
      </c>
      <c r="E19" s="185">
        <v>1213.8</v>
      </c>
      <c r="F19" s="4">
        <f>F5*IncState!F16</f>
        <v>1250.7811198919323</v>
      </c>
      <c r="G19" s="4">
        <f>G5*IncState!G16</f>
        <v>1325.6938427349285</v>
      </c>
      <c r="H19" s="4">
        <f>H5*IncState!H16</f>
        <v>1422.1251334682504</v>
      </c>
      <c r="I19" s="4">
        <f>I5*IncState!I16</f>
        <v>1540.6563495247938</v>
      </c>
      <c r="J19" s="4">
        <f>J5*IncState!J16</f>
        <v>1685.3477164794635</v>
      </c>
      <c r="K19" s="4">
        <f>K5*IncState!K16</f>
        <v>1861.3744270759073</v>
      </c>
      <c r="L19" s="4">
        <f>L5*IncState!L16</f>
        <v>2075.3212150514578</v>
      </c>
    </row>
    <row r="20" spans="1:12" x14ac:dyDescent="0.2">
      <c r="B20" s="4" t="s">
        <v>71</v>
      </c>
      <c r="C20" s="184">
        <v>2176.6</v>
      </c>
      <c r="D20" s="184">
        <v>1806.4</v>
      </c>
      <c r="E20" s="185">
        <v>1777.3</v>
      </c>
      <c r="F20" s="4">
        <f>F6*IncState!F17</f>
        <v>1831.4521848712282</v>
      </c>
      <c r="G20" s="4">
        <f>G6*IncState!G17</f>
        <v>1941.1428955347467</v>
      </c>
      <c r="H20" s="4">
        <f>H6*IncState!H17</f>
        <v>2082.3420992121687</v>
      </c>
      <c r="I20" s="4">
        <f>I6*IncState!I17</f>
        <v>2255.9010466329264</v>
      </c>
      <c r="J20" s="4">
        <f>J6*IncState!J17</f>
        <v>2467.7649098834609</v>
      </c>
      <c r="K20" s="4">
        <f>K6*IncState!K17</f>
        <v>2725.5114480990414</v>
      </c>
      <c r="L20" s="4">
        <f>L6*IncState!L17</f>
        <v>3038.7823362284189</v>
      </c>
    </row>
    <row r="21" spans="1:12" x14ac:dyDescent="0.2">
      <c r="B21" s="4" t="s">
        <v>72</v>
      </c>
      <c r="C21" s="184">
        <f>483.7+364.5</f>
        <v>848.2</v>
      </c>
      <c r="D21" s="184">
        <f>359.9+401.5</f>
        <v>761.4</v>
      </c>
      <c r="E21" s="185">
        <f>313.1+257</f>
        <v>570.1</v>
      </c>
      <c r="F21" s="4">
        <f>F7*IncState!F16</f>
        <v>587.46936599966273</v>
      </c>
      <c r="G21" s="4">
        <f>G7*IncState!G16</f>
        <v>622.6545227740836</v>
      </c>
      <c r="H21" s="4">
        <f>H7*IncState!H16</f>
        <v>667.94656334672061</v>
      </c>
      <c r="I21" s="4">
        <f>I7*IncState!I16</f>
        <v>723.61854083381525</v>
      </c>
      <c r="J21" s="4">
        <f>J7*IncState!J16</f>
        <v>791.57747006503723</v>
      </c>
      <c r="K21" s="4">
        <f>K7*IncState!K16</f>
        <v>874.25404586915045</v>
      </c>
      <c r="L21" s="4">
        <f>L7*IncState!L16</f>
        <v>974.74099909444396</v>
      </c>
    </row>
    <row r="22" spans="1:12" s="11" customFormat="1" x14ac:dyDescent="0.2">
      <c r="B22" s="11" t="s">
        <v>73</v>
      </c>
      <c r="C22" s="11">
        <f>SUM(C17:C21)</f>
        <v>7018.7</v>
      </c>
      <c r="D22" s="11">
        <f>SUM(D17:D21)</f>
        <v>7303.4</v>
      </c>
      <c r="E22" s="24">
        <f t="shared" ref="E22" si="8">SUM(E17:E21)</f>
        <v>6847.4000000000005</v>
      </c>
      <c r="F22" s="11">
        <f>SUM(F17:F21)</f>
        <v>5222.8144135369948</v>
      </c>
      <c r="G22" s="11">
        <f t="shared" ref="G22:L22" si="9">SUM(G17:G21)</f>
        <v>5402.5040960037268</v>
      </c>
      <c r="H22" s="11">
        <f t="shared" si="9"/>
        <v>5808.0773265896933</v>
      </c>
      <c r="I22" s="11">
        <f t="shared" si="9"/>
        <v>6872.217746330527</v>
      </c>
      <c r="J22" s="11">
        <f t="shared" si="9"/>
        <v>8793.3228332724102</v>
      </c>
      <c r="K22" s="11">
        <f t="shared" si="9"/>
        <v>11774.554835989926</v>
      </c>
      <c r="L22" s="11">
        <f t="shared" si="9"/>
        <v>15904.796887951579</v>
      </c>
    </row>
    <row r="23" spans="1:12" x14ac:dyDescent="0.2">
      <c r="A23" s="7"/>
      <c r="E23" s="27"/>
      <c r="I23" s="4"/>
      <c r="J23" s="4"/>
      <c r="K23" s="4"/>
      <c r="L23" s="4"/>
    </row>
    <row r="24" spans="1:12" x14ac:dyDescent="0.2">
      <c r="B24" s="4" t="s">
        <v>74</v>
      </c>
      <c r="C24" s="184">
        <f>6560.5+8015.6</f>
        <v>14576.1</v>
      </c>
      <c r="D24" s="184">
        <f>7387.1+8412.6</f>
        <v>15799.7</v>
      </c>
      <c r="E24" s="185">
        <f>8665.5+9286.2</f>
        <v>17951.7</v>
      </c>
      <c r="F24" s="4">
        <f>Calcs!F9</f>
        <v>19133.453717009015</v>
      </c>
      <c r="G24" s="4">
        <f>Calcs!G9</f>
        <v>20416.328704103315</v>
      </c>
      <c r="H24" s="4">
        <f>Calcs!H9</f>
        <v>21846.441070176777</v>
      </c>
      <c r="I24" s="4">
        <f>Calcs!I9</f>
        <v>23468.867798546031</v>
      </c>
      <c r="J24" s="4">
        <f>Calcs!J9</f>
        <v>25336.309936870737</v>
      </c>
      <c r="K24" s="4">
        <f>Calcs!K9</f>
        <v>27511.615374139416</v>
      </c>
      <c r="L24" s="4">
        <f>Calcs!L9</f>
        <v>30070.967732419434</v>
      </c>
    </row>
    <row r="25" spans="1:12" x14ac:dyDescent="0.2">
      <c r="B25" s="4" t="s">
        <v>160</v>
      </c>
      <c r="C25" s="184">
        <f>155.9+3283.5</f>
        <v>3439.4</v>
      </c>
      <c r="D25" s="184">
        <f>120.5+3218.3</f>
        <v>3338.8</v>
      </c>
      <c r="E25" s="185">
        <f>100.9+3315.7</f>
        <v>3416.6</v>
      </c>
      <c r="F25" s="130">
        <f>E25-IncState!F22</f>
        <v>3416.6</v>
      </c>
      <c r="G25" s="130">
        <f>F25-IncState!G22</f>
        <v>3416.6</v>
      </c>
      <c r="H25" s="130">
        <f>G25-IncState!H22</f>
        <v>3416.6</v>
      </c>
      <c r="I25" s="130">
        <f>H25-IncState!I22</f>
        <v>3416.6</v>
      </c>
      <c r="J25" s="130">
        <f>I25-IncState!J22</f>
        <v>3416.6</v>
      </c>
      <c r="K25" s="130">
        <f>J25-IncState!K22</f>
        <v>3416.6</v>
      </c>
      <c r="L25" s="130">
        <f>K25-IncState!L22</f>
        <v>3416.6</v>
      </c>
    </row>
    <row r="26" spans="1:12" x14ac:dyDescent="0.2">
      <c r="B26" s="4" t="s">
        <v>161</v>
      </c>
      <c r="C26" s="184">
        <f>279.1+311.2</f>
        <v>590.29999999999995</v>
      </c>
      <c r="D26" s="184">
        <f>247.4+439.9</f>
        <v>687.3</v>
      </c>
      <c r="E26" s="185">
        <f>276+463.9</f>
        <v>739.9</v>
      </c>
      <c r="F26" s="4">
        <f>F10</f>
        <v>739.9</v>
      </c>
      <c r="G26" s="4">
        <f t="shared" ref="G26:L26" si="10">G10</f>
        <v>739.9</v>
      </c>
      <c r="H26" s="4">
        <f t="shared" si="10"/>
        <v>739.9</v>
      </c>
      <c r="I26" s="4">
        <f t="shared" si="10"/>
        <v>739.9</v>
      </c>
      <c r="J26" s="4">
        <f t="shared" si="10"/>
        <v>739.9</v>
      </c>
      <c r="K26" s="4">
        <f t="shared" si="10"/>
        <v>739.9</v>
      </c>
      <c r="L26" s="4">
        <f t="shared" si="10"/>
        <v>739.9</v>
      </c>
    </row>
    <row r="27" spans="1:12" x14ac:dyDescent="0.2">
      <c r="B27" s="4" t="s">
        <v>163</v>
      </c>
      <c r="C27" s="184">
        <f>1799.7+554.2</f>
        <v>2353.9</v>
      </c>
      <c r="D27" s="184">
        <f>546.5+1769.8</f>
        <v>2316.3000000000002</v>
      </c>
      <c r="E27" s="185">
        <f>1766.7+617</f>
        <v>2383.6999999999998</v>
      </c>
      <c r="F27" s="4">
        <f>F9*IncState!F16</f>
        <v>2456.3247285272691</v>
      </c>
      <c r="G27" s="4">
        <f>G9*IncState!G16</f>
        <v>2603.4407751913404</v>
      </c>
      <c r="H27" s="4">
        <f>H9*IncState!H16</f>
        <v>2792.8156868085912</v>
      </c>
      <c r="I27" s="4">
        <f>I9*IncState!I16</f>
        <v>3025.5911520532636</v>
      </c>
      <c r="J27" s="4">
        <f>J9*IncState!J16</f>
        <v>3309.7407742396585</v>
      </c>
      <c r="K27" s="4">
        <f>K9*IncState!K16</f>
        <v>3655.4277655469109</v>
      </c>
      <c r="L27" s="4">
        <f>L9*IncState!L16</f>
        <v>4075.5834406971167</v>
      </c>
    </row>
    <row r="28" spans="1:12" s="11" customFormat="1" x14ac:dyDescent="0.2">
      <c r="B28" s="11" t="s">
        <v>75</v>
      </c>
      <c r="C28" s="11">
        <f>SUM(C24:C27)</f>
        <v>20959.7</v>
      </c>
      <c r="D28" s="11">
        <f>SUM(D24:D27)</f>
        <v>22142.1</v>
      </c>
      <c r="E28" s="24">
        <f>SUM(E24:E27)</f>
        <v>24491.9</v>
      </c>
      <c r="F28" s="11">
        <f>SUM(F24:F27)</f>
        <v>25746.278445536285</v>
      </c>
      <c r="G28" s="11">
        <f t="shared" ref="G28:L28" si="11">SUM(G24:G27)</f>
        <v>27176.269479294657</v>
      </c>
      <c r="H28" s="11">
        <f t="shared" si="11"/>
        <v>28795.756756985367</v>
      </c>
      <c r="I28" s="11">
        <f t="shared" si="11"/>
        <v>30650.958950599295</v>
      </c>
      <c r="J28" s="11">
        <f t="shared" si="11"/>
        <v>32802.550711110394</v>
      </c>
      <c r="K28" s="11">
        <f t="shared" si="11"/>
        <v>35323.543139686328</v>
      </c>
      <c r="L28" s="11">
        <f t="shared" si="11"/>
        <v>38303.051173116553</v>
      </c>
    </row>
    <row r="29" spans="1:12" x14ac:dyDescent="0.2">
      <c r="E29" s="27"/>
      <c r="I29" s="4"/>
      <c r="J29" s="4"/>
      <c r="K29" s="4"/>
      <c r="L29" s="4"/>
    </row>
    <row r="30" spans="1:12" s="11" customFormat="1" x14ac:dyDescent="0.2">
      <c r="A30" s="11" t="s">
        <v>126</v>
      </c>
      <c r="B30" s="17" t="s">
        <v>76</v>
      </c>
      <c r="C30" s="18">
        <f>SUM(C28,C22)</f>
        <v>27978.400000000001</v>
      </c>
      <c r="D30" s="18">
        <f>SUM(D28,D22)</f>
        <v>29445.5</v>
      </c>
      <c r="E30" s="18">
        <f>SUM(E28,E22)</f>
        <v>31339.300000000003</v>
      </c>
      <c r="F30" s="18">
        <f>SUM(F28,F22)</f>
        <v>30969.09285907328</v>
      </c>
      <c r="G30" s="18">
        <f t="shared" ref="G30:L30" si="12">SUM(G28,G22)</f>
        <v>32578.773575298383</v>
      </c>
      <c r="H30" s="18">
        <f t="shared" si="12"/>
        <v>34603.834083575057</v>
      </c>
      <c r="I30" s="18">
        <f t="shared" si="12"/>
        <v>37523.176696929819</v>
      </c>
      <c r="J30" s="18">
        <f t="shared" si="12"/>
        <v>41595.873544382805</v>
      </c>
      <c r="K30" s="18">
        <f t="shared" si="12"/>
        <v>47098.097975676254</v>
      </c>
      <c r="L30" s="18">
        <f t="shared" si="12"/>
        <v>54207.848061068129</v>
      </c>
    </row>
    <row r="31" spans="1:12" x14ac:dyDescent="0.2">
      <c r="A31" s="11"/>
      <c r="E31" s="27"/>
      <c r="I31" s="4"/>
      <c r="J31" s="4"/>
      <c r="K31" s="4"/>
      <c r="L31" s="4"/>
    </row>
    <row r="32" spans="1:12" x14ac:dyDescent="0.2">
      <c r="B32" s="4" t="s">
        <v>77</v>
      </c>
      <c r="C32" s="9">
        <f>1749+175</f>
        <v>1924</v>
      </c>
      <c r="D32" s="9">
        <v>1818.6</v>
      </c>
      <c r="E32" s="44">
        <v>1248.9000000000001</v>
      </c>
      <c r="F32" s="4">
        <f>-MIN(CashFlow!F23-BalSheet!E32,0)</f>
        <v>0</v>
      </c>
      <c r="G32" s="4">
        <f>-MIN(CashFlow!G23-BalSheet!F32,0)</f>
        <v>0</v>
      </c>
      <c r="H32" s="4">
        <f>-MIN(CashFlow!H23-BalSheet!G32,0)</f>
        <v>0</v>
      </c>
      <c r="I32" s="4">
        <f>-MIN(CashFlow!I23-BalSheet!H32,0)</f>
        <v>0</v>
      </c>
      <c r="J32" s="4">
        <f>-MIN(CashFlow!J23-BalSheet!I32,0)</f>
        <v>0</v>
      </c>
      <c r="K32" s="4">
        <f>-MIN(CashFlow!K23-BalSheet!J32,0)</f>
        <v>0</v>
      </c>
      <c r="L32" s="4">
        <f>-MIN(CashFlow!L23-BalSheet!K32,0)</f>
        <v>0</v>
      </c>
    </row>
    <row r="33" spans="1:12" x14ac:dyDescent="0.2">
      <c r="B33" s="4" t="s">
        <v>151</v>
      </c>
      <c r="C33" s="184">
        <f>1441.4+2137.1+761.7</f>
        <v>4340.2</v>
      </c>
      <c r="D33" s="9">
        <f>1544.3+2145.1+828.3</f>
        <v>4517.7</v>
      </c>
      <c r="E33" s="44">
        <f>1595.5+2194.7+786.6</f>
        <v>4576.8</v>
      </c>
      <c r="F33" s="4">
        <f>F12*IncState!F17</f>
        <v>4716.2495694135132</v>
      </c>
      <c r="G33" s="4">
        <f>G12*IncState!G17</f>
        <v>4998.7187330689412</v>
      </c>
      <c r="H33" s="4">
        <f>H12*IncState!H17</f>
        <v>5362.3267426288503</v>
      </c>
      <c r="I33" s="4">
        <f>I12*IncState!I17</f>
        <v>5809.2656896582339</v>
      </c>
      <c r="J33" s="4">
        <f>J12*IncState!J17</f>
        <v>6354.8452369068946</v>
      </c>
      <c r="K33" s="4">
        <f>K12*IncState!K17</f>
        <v>7018.5791907160828</v>
      </c>
      <c r="L33" s="4">
        <f>L12*IncState!L17</f>
        <v>7825.2962338661055</v>
      </c>
    </row>
    <row r="34" spans="1:12" x14ac:dyDescent="0.2">
      <c r="B34" s="4" t="s">
        <v>78</v>
      </c>
      <c r="C34" s="184">
        <f>1245.7+1641.9</f>
        <v>2887.6000000000004</v>
      </c>
      <c r="D34" s="9">
        <f>1275.3+1700.2+33.5</f>
        <v>3009</v>
      </c>
      <c r="E34" s="44">
        <f>1463.1+1781.2</f>
        <v>3244.3</v>
      </c>
      <c r="F34" s="4">
        <f>F13*IncState!F16</f>
        <v>3343.1448239128326</v>
      </c>
      <c r="G34" s="4">
        <f>G13*IncState!G16</f>
        <v>3543.374966209366</v>
      </c>
      <c r="H34" s="4">
        <f>H13*IncState!H16</f>
        <v>3801.1209181999047</v>
      </c>
      <c r="I34" s="4">
        <f>I13*IncState!I16</f>
        <v>4117.9365585461264</v>
      </c>
      <c r="J34" s="4">
        <f>J13*IncState!J16</f>
        <v>4504.6742433467816</v>
      </c>
      <c r="K34" s="4">
        <f>K13*IncState!K16</f>
        <v>4975.1664638015864</v>
      </c>
      <c r="L34" s="4">
        <f>L13*IncState!L16</f>
        <v>5547.0131965656983</v>
      </c>
    </row>
    <row r="35" spans="1:12" s="11" customFormat="1" x14ac:dyDescent="0.2">
      <c r="B35" s="11" t="s">
        <v>79</v>
      </c>
      <c r="C35" s="11">
        <f t="shared" ref="C35:E35" si="13">SUM(C32:C34)</f>
        <v>9151.7999999999993</v>
      </c>
      <c r="D35" s="11">
        <f t="shared" si="13"/>
        <v>9345.2999999999993</v>
      </c>
      <c r="E35" s="24">
        <f t="shared" si="13"/>
        <v>9070</v>
      </c>
      <c r="F35" s="11">
        <f>SUM(F32:F34)</f>
        <v>8059.3943933263454</v>
      </c>
      <c r="G35" s="11">
        <f t="shared" ref="G35:L35" si="14">SUM(G32:G34)</f>
        <v>8542.0936992783063</v>
      </c>
      <c r="H35" s="11">
        <f t="shared" si="14"/>
        <v>9163.447660828755</v>
      </c>
      <c r="I35" s="11">
        <f t="shared" si="14"/>
        <v>9927.2022482043612</v>
      </c>
      <c r="J35" s="11">
        <f t="shared" si="14"/>
        <v>10859.519480253675</v>
      </c>
      <c r="K35" s="11">
        <f t="shared" si="14"/>
        <v>11993.745654517668</v>
      </c>
      <c r="L35" s="11">
        <f t="shared" si="14"/>
        <v>13372.309430431804</v>
      </c>
    </row>
    <row r="36" spans="1:12" x14ac:dyDescent="0.2">
      <c r="B36" s="11"/>
      <c r="E36" s="27"/>
      <c r="I36" s="4"/>
      <c r="J36" s="4"/>
      <c r="K36" s="4"/>
      <c r="L36" s="4"/>
    </row>
    <row r="37" spans="1:12" x14ac:dyDescent="0.2">
      <c r="B37" s="4" t="s">
        <v>80</v>
      </c>
      <c r="C37" s="184">
        <v>13119.9</v>
      </c>
      <c r="D37" s="9">
        <v>13547.6</v>
      </c>
      <c r="E37" s="44">
        <v>14319.5</v>
      </c>
      <c r="F37" s="4">
        <f>Debt!F20</f>
        <v>14319.5</v>
      </c>
      <c r="G37" s="4">
        <f>Debt!G20</f>
        <v>14319.5</v>
      </c>
      <c r="H37" s="4">
        <f>Debt!H20</f>
        <v>14319.5</v>
      </c>
      <c r="I37" s="4">
        <f>Debt!I20</f>
        <v>14319.5</v>
      </c>
      <c r="J37" s="4">
        <f>Debt!J20</f>
        <v>14319.5</v>
      </c>
      <c r="K37" s="4">
        <f>Debt!K20</f>
        <v>14319.5</v>
      </c>
      <c r="L37" s="4">
        <f>Debt!L20</f>
        <v>14319.5</v>
      </c>
    </row>
    <row r="38" spans="1:12" x14ac:dyDescent="0.2">
      <c r="B38" s="4" t="s">
        <v>81</v>
      </c>
      <c r="C38" s="184">
        <f>7515.2+6279.7+610.5</f>
        <v>14405.4</v>
      </c>
      <c r="D38" s="9">
        <f>7924.8+6101.8+513.8</f>
        <v>14540.4</v>
      </c>
      <c r="E38" s="44">
        <f>8771.6+5963.6+656.2</f>
        <v>15391.400000000001</v>
      </c>
      <c r="F38" s="4">
        <f>F14*IncState!F16</f>
        <v>15860.333274596052</v>
      </c>
      <c r="G38" s="4">
        <f>G14*IncState!G16</f>
        <v>16810.252274732557</v>
      </c>
      <c r="H38" s="4">
        <f>H14*IncState!H16</f>
        <v>18033.034090676578</v>
      </c>
      <c r="I38" s="4">
        <f>I14*IncState!I16</f>
        <v>19536.050533923146</v>
      </c>
      <c r="J38" s="4">
        <f>J14*IncState!J16</f>
        <v>21370.786656304183</v>
      </c>
      <c r="K38" s="4">
        <f>K14*IncState!K16</f>
        <v>23602.865675478763</v>
      </c>
      <c r="L38" s="4">
        <f>L14*IncState!L16</f>
        <v>26315.784271991273</v>
      </c>
    </row>
    <row r="39" spans="1:12" x14ac:dyDescent="0.2">
      <c r="B39" s="11" t="s">
        <v>82</v>
      </c>
      <c r="C39" s="11">
        <f t="shared" ref="C39:E39" si="15">SUM(C37:C38)</f>
        <v>27525.3</v>
      </c>
      <c r="D39" s="11">
        <f t="shared" si="15"/>
        <v>28088</v>
      </c>
      <c r="E39" s="24">
        <f t="shared" si="15"/>
        <v>29710.9</v>
      </c>
      <c r="F39" s="11">
        <f>SUM(F37:F38)</f>
        <v>30179.833274596051</v>
      </c>
      <c r="G39" s="11">
        <f t="shared" ref="G39:L39" si="16">SUM(G37:G38)</f>
        <v>31129.752274732557</v>
      </c>
      <c r="H39" s="11">
        <f t="shared" si="16"/>
        <v>32352.534090676578</v>
      </c>
      <c r="I39" s="11">
        <f t="shared" si="16"/>
        <v>33855.550533923146</v>
      </c>
      <c r="J39" s="11">
        <f t="shared" si="16"/>
        <v>35690.286656304183</v>
      </c>
      <c r="K39" s="11">
        <f t="shared" si="16"/>
        <v>37922.365675478766</v>
      </c>
      <c r="L39" s="11">
        <f t="shared" si="16"/>
        <v>40635.284271991273</v>
      </c>
    </row>
    <row r="40" spans="1:12" x14ac:dyDescent="0.2">
      <c r="E40" s="27"/>
      <c r="I40" s="4"/>
      <c r="J40" s="4"/>
      <c r="K40" s="4"/>
      <c r="L40" s="4"/>
    </row>
    <row r="41" spans="1:12" x14ac:dyDescent="0.2">
      <c r="B41" s="4" t="s">
        <v>17</v>
      </c>
      <c r="C41" s="186">
        <v>-8698.7000000000007</v>
      </c>
      <c r="D41" s="186">
        <v>-7987.8</v>
      </c>
      <c r="E41" s="197">
        <v>-7441.6</v>
      </c>
      <c r="F41" s="4">
        <f>Calcs!F17</f>
        <v>-7270.1348088491159</v>
      </c>
      <c r="G41" s="4">
        <f>Calcs!G17</f>
        <v>-7093.0723987124784</v>
      </c>
      <c r="H41" s="4">
        <f>Calcs!H17</f>
        <v>-6912.1476679302668</v>
      </c>
      <c r="I41" s="4">
        <f>Calcs!I17</f>
        <v>-6259.5760851976802</v>
      </c>
      <c r="J41" s="4">
        <f>Calcs!J17</f>
        <v>-4953.9325921750451</v>
      </c>
      <c r="K41" s="4">
        <f>Calcs!K17</f>
        <v>-2818.0133543201714</v>
      </c>
      <c r="L41" s="4">
        <f>Calcs!L17</f>
        <v>200.25435864506517</v>
      </c>
    </row>
    <row r="42" spans="1:12" s="11" customFormat="1" x14ac:dyDescent="0.2">
      <c r="A42" s="11" t="s">
        <v>126</v>
      </c>
      <c r="B42" s="17" t="s">
        <v>83</v>
      </c>
      <c r="C42" s="18">
        <f>SUM(C41,C39,C35)</f>
        <v>27978.399999999998</v>
      </c>
      <c r="D42" s="18">
        <f>SUM(D41,D39,D35)</f>
        <v>29445.5</v>
      </c>
      <c r="E42" s="18">
        <f t="shared" ref="E42:F42" si="17">SUM(E41,E39,E35)</f>
        <v>31339.300000000003</v>
      </c>
      <c r="F42" s="18">
        <f t="shared" si="17"/>
        <v>30969.09285907328</v>
      </c>
      <c r="G42" s="18">
        <f t="shared" ref="G42:L42" si="18">SUM(G41,G39,G35)</f>
        <v>32578.773575298383</v>
      </c>
      <c r="H42" s="18">
        <f t="shared" si="18"/>
        <v>34603.834083575071</v>
      </c>
      <c r="I42" s="18">
        <f t="shared" si="18"/>
        <v>37523.176696929826</v>
      </c>
      <c r="J42" s="18">
        <f t="shared" si="18"/>
        <v>41595.873544382812</v>
      </c>
      <c r="K42" s="18">
        <f t="shared" si="18"/>
        <v>47098.097975676261</v>
      </c>
      <c r="L42" s="18">
        <f t="shared" si="18"/>
        <v>54207.848061068144</v>
      </c>
    </row>
    <row r="43" spans="1:12" x14ac:dyDescent="0.2">
      <c r="E43" s="27"/>
      <c r="I43" s="4"/>
      <c r="J43" s="4"/>
      <c r="K43" s="4"/>
      <c r="L43" s="4"/>
    </row>
    <row r="44" spans="1:12" x14ac:dyDescent="0.2">
      <c r="A44" s="4" t="s">
        <v>126</v>
      </c>
      <c r="B44" s="11" t="s">
        <v>84</v>
      </c>
      <c r="C44" s="45">
        <f>C42-C30</f>
        <v>0</v>
      </c>
      <c r="D44" s="45">
        <f t="shared" ref="D44:F44" si="19">D42-D30</f>
        <v>0</v>
      </c>
      <c r="E44" s="150">
        <f t="shared" si="19"/>
        <v>0</v>
      </c>
      <c r="F44" s="45">
        <f t="shared" si="19"/>
        <v>0</v>
      </c>
      <c r="G44" s="45">
        <f t="shared" ref="G44:L44" si="20">G42-G30</f>
        <v>0</v>
      </c>
      <c r="H44" s="45">
        <f t="shared" si="20"/>
        <v>0</v>
      </c>
      <c r="I44" s="45">
        <f t="shared" si="20"/>
        <v>0</v>
      </c>
      <c r="J44" s="45">
        <f t="shared" si="20"/>
        <v>0</v>
      </c>
      <c r="K44" s="45">
        <f t="shared" si="20"/>
        <v>0</v>
      </c>
      <c r="L44" s="45">
        <f t="shared" si="20"/>
        <v>0</v>
      </c>
    </row>
    <row r="45" spans="1:12" x14ac:dyDescent="0.2">
      <c r="I45" s="4"/>
      <c r="J45" s="4"/>
      <c r="K45" s="4"/>
      <c r="L45" s="4"/>
    </row>
    <row r="46" spans="1:12" x14ac:dyDescent="0.2">
      <c r="H46" s="6"/>
    </row>
    <row r="47" spans="1:12" x14ac:dyDescent="0.2">
      <c r="H47" s="6"/>
    </row>
    <row r="48" spans="1:12" x14ac:dyDescent="0.2">
      <c r="H48" s="6"/>
    </row>
    <row r="49" spans="8:8" x14ac:dyDescent="0.2">
      <c r="H49" s="6"/>
    </row>
    <row r="50" spans="8:8" x14ac:dyDescent="0.2">
      <c r="H50" s="6"/>
    </row>
    <row r="51" spans="8:8" x14ac:dyDescent="0.2">
      <c r="H51" s="6"/>
    </row>
    <row r="52" spans="8:8" x14ac:dyDescent="0.2">
      <c r="H52" s="6"/>
    </row>
    <row r="53" spans="8:8" x14ac:dyDescent="0.2">
      <c r="H53" s="6"/>
    </row>
    <row r="54" spans="8:8" x14ac:dyDescent="0.2">
      <c r="H54" s="6"/>
    </row>
    <row r="55" spans="8:8" x14ac:dyDescent="0.2">
      <c r="H55" s="6"/>
    </row>
    <row r="56" spans="8:8" x14ac:dyDescent="0.2">
      <c r="H56" s="6"/>
    </row>
    <row r="57" spans="8:8" x14ac:dyDescent="0.2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G23" sqref="G23"/>
    </sheetView>
  </sheetViews>
  <sheetFormatPr baseColWidth="10" defaultColWidth="8.83203125" defaultRowHeight="15" x14ac:dyDescent="0.2"/>
  <cols>
    <col min="1" max="1" width="1.6640625" style="4" customWidth="1"/>
    <col min="2" max="2" width="40.6640625" style="4" customWidth="1"/>
    <col min="3" max="8" width="11.6640625" style="4" customWidth="1"/>
    <col min="9" max="12" width="11.6640625" style="6" customWidth="1"/>
    <col min="13" max="253" width="8.83203125" style="4"/>
    <col min="254" max="254" width="1.6640625" style="4" customWidth="1"/>
    <col min="255" max="255" width="40.6640625" style="4" customWidth="1"/>
    <col min="256" max="261" width="10.6640625" style="4" customWidth="1"/>
    <col min="262" max="263" width="9.5" style="4" bestFit="1" customWidth="1"/>
    <col min="264" max="509" width="8.83203125" style="4"/>
    <col min="510" max="510" width="1.6640625" style="4" customWidth="1"/>
    <col min="511" max="511" width="40.6640625" style="4" customWidth="1"/>
    <col min="512" max="517" width="10.6640625" style="4" customWidth="1"/>
    <col min="518" max="519" width="9.5" style="4" bestFit="1" customWidth="1"/>
    <col min="520" max="765" width="8.83203125" style="4"/>
    <col min="766" max="766" width="1.6640625" style="4" customWidth="1"/>
    <col min="767" max="767" width="40.6640625" style="4" customWidth="1"/>
    <col min="768" max="773" width="10.6640625" style="4" customWidth="1"/>
    <col min="774" max="775" width="9.5" style="4" bestFit="1" customWidth="1"/>
    <col min="776" max="1021" width="8.83203125" style="4"/>
    <col min="1022" max="1022" width="1.6640625" style="4" customWidth="1"/>
    <col min="1023" max="1023" width="40.6640625" style="4" customWidth="1"/>
    <col min="1024" max="1029" width="10.6640625" style="4" customWidth="1"/>
    <col min="1030" max="1031" width="9.5" style="4" bestFit="1" customWidth="1"/>
    <col min="1032" max="1277" width="8.83203125" style="4"/>
    <col min="1278" max="1278" width="1.6640625" style="4" customWidth="1"/>
    <col min="1279" max="1279" width="40.6640625" style="4" customWidth="1"/>
    <col min="1280" max="1285" width="10.6640625" style="4" customWidth="1"/>
    <col min="1286" max="1287" width="9.5" style="4" bestFit="1" customWidth="1"/>
    <col min="1288" max="1533" width="8.83203125" style="4"/>
    <col min="1534" max="1534" width="1.6640625" style="4" customWidth="1"/>
    <col min="1535" max="1535" width="40.6640625" style="4" customWidth="1"/>
    <col min="1536" max="1541" width="10.6640625" style="4" customWidth="1"/>
    <col min="1542" max="1543" width="9.5" style="4" bestFit="1" customWidth="1"/>
    <col min="1544" max="1789" width="8.83203125" style="4"/>
    <col min="1790" max="1790" width="1.6640625" style="4" customWidth="1"/>
    <col min="1791" max="1791" width="40.6640625" style="4" customWidth="1"/>
    <col min="1792" max="1797" width="10.6640625" style="4" customWidth="1"/>
    <col min="1798" max="1799" width="9.5" style="4" bestFit="1" customWidth="1"/>
    <col min="1800" max="2045" width="8.83203125" style="4"/>
    <col min="2046" max="2046" width="1.6640625" style="4" customWidth="1"/>
    <col min="2047" max="2047" width="40.6640625" style="4" customWidth="1"/>
    <col min="2048" max="2053" width="10.6640625" style="4" customWidth="1"/>
    <col min="2054" max="2055" width="9.5" style="4" bestFit="1" customWidth="1"/>
    <col min="2056" max="2301" width="8.83203125" style="4"/>
    <col min="2302" max="2302" width="1.6640625" style="4" customWidth="1"/>
    <col min="2303" max="2303" width="40.6640625" style="4" customWidth="1"/>
    <col min="2304" max="2309" width="10.6640625" style="4" customWidth="1"/>
    <col min="2310" max="2311" width="9.5" style="4" bestFit="1" customWidth="1"/>
    <col min="2312" max="2557" width="8.83203125" style="4"/>
    <col min="2558" max="2558" width="1.6640625" style="4" customWidth="1"/>
    <col min="2559" max="2559" width="40.6640625" style="4" customWidth="1"/>
    <col min="2560" max="2565" width="10.6640625" style="4" customWidth="1"/>
    <col min="2566" max="2567" width="9.5" style="4" bestFit="1" customWidth="1"/>
    <col min="2568" max="2813" width="8.83203125" style="4"/>
    <col min="2814" max="2814" width="1.6640625" style="4" customWidth="1"/>
    <col min="2815" max="2815" width="40.6640625" style="4" customWidth="1"/>
    <col min="2816" max="2821" width="10.6640625" style="4" customWidth="1"/>
    <col min="2822" max="2823" width="9.5" style="4" bestFit="1" customWidth="1"/>
    <col min="2824" max="3069" width="8.83203125" style="4"/>
    <col min="3070" max="3070" width="1.6640625" style="4" customWidth="1"/>
    <col min="3071" max="3071" width="40.6640625" style="4" customWidth="1"/>
    <col min="3072" max="3077" width="10.6640625" style="4" customWidth="1"/>
    <col min="3078" max="3079" width="9.5" style="4" bestFit="1" customWidth="1"/>
    <col min="3080" max="3325" width="8.83203125" style="4"/>
    <col min="3326" max="3326" width="1.6640625" style="4" customWidth="1"/>
    <col min="3327" max="3327" width="40.6640625" style="4" customWidth="1"/>
    <col min="3328" max="3333" width="10.6640625" style="4" customWidth="1"/>
    <col min="3334" max="3335" width="9.5" style="4" bestFit="1" customWidth="1"/>
    <col min="3336" max="3581" width="8.83203125" style="4"/>
    <col min="3582" max="3582" width="1.6640625" style="4" customWidth="1"/>
    <col min="3583" max="3583" width="40.6640625" style="4" customWidth="1"/>
    <col min="3584" max="3589" width="10.6640625" style="4" customWidth="1"/>
    <col min="3590" max="3591" width="9.5" style="4" bestFit="1" customWidth="1"/>
    <col min="3592" max="3837" width="8.83203125" style="4"/>
    <col min="3838" max="3838" width="1.6640625" style="4" customWidth="1"/>
    <col min="3839" max="3839" width="40.6640625" style="4" customWidth="1"/>
    <col min="3840" max="3845" width="10.6640625" style="4" customWidth="1"/>
    <col min="3846" max="3847" width="9.5" style="4" bestFit="1" customWidth="1"/>
    <col min="3848" max="4093" width="8.83203125" style="4"/>
    <col min="4094" max="4094" width="1.6640625" style="4" customWidth="1"/>
    <col min="4095" max="4095" width="40.6640625" style="4" customWidth="1"/>
    <col min="4096" max="4101" width="10.6640625" style="4" customWidth="1"/>
    <col min="4102" max="4103" width="9.5" style="4" bestFit="1" customWidth="1"/>
    <col min="4104" max="4349" width="8.83203125" style="4"/>
    <col min="4350" max="4350" width="1.6640625" style="4" customWidth="1"/>
    <col min="4351" max="4351" width="40.6640625" style="4" customWidth="1"/>
    <col min="4352" max="4357" width="10.6640625" style="4" customWidth="1"/>
    <col min="4358" max="4359" width="9.5" style="4" bestFit="1" customWidth="1"/>
    <col min="4360" max="4605" width="8.83203125" style="4"/>
    <col min="4606" max="4606" width="1.6640625" style="4" customWidth="1"/>
    <col min="4607" max="4607" width="40.6640625" style="4" customWidth="1"/>
    <col min="4608" max="4613" width="10.6640625" style="4" customWidth="1"/>
    <col min="4614" max="4615" width="9.5" style="4" bestFit="1" customWidth="1"/>
    <col min="4616" max="4861" width="8.83203125" style="4"/>
    <col min="4862" max="4862" width="1.6640625" style="4" customWidth="1"/>
    <col min="4863" max="4863" width="40.6640625" style="4" customWidth="1"/>
    <col min="4864" max="4869" width="10.6640625" style="4" customWidth="1"/>
    <col min="4870" max="4871" width="9.5" style="4" bestFit="1" customWidth="1"/>
    <col min="4872" max="5117" width="8.83203125" style="4"/>
    <col min="5118" max="5118" width="1.6640625" style="4" customWidth="1"/>
    <col min="5119" max="5119" width="40.6640625" style="4" customWidth="1"/>
    <col min="5120" max="5125" width="10.6640625" style="4" customWidth="1"/>
    <col min="5126" max="5127" width="9.5" style="4" bestFit="1" customWidth="1"/>
    <col min="5128" max="5373" width="8.83203125" style="4"/>
    <col min="5374" max="5374" width="1.6640625" style="4" customWidth="1"/>
    <col min="5375" max="5375" width="40.6640625" style="4" customWidth="1"/>
    <col min="5376" max="5381" width="10.6640625" style="4" customWidth="1"/>
    <col min="5382" max="5383" width="9.5" style="4" bestFit="1" customWidth="1"/>
    <col min="5384" max="5629" width="8.83203125" style="4"/>
    <col min="5630" max="5630" width="1.6640625" style="4" customWidth="1"/>
    <col min="5631" max="5631" width="40.6640625" style="4" customWidth="1"/>
    <col min="5632" max="5637" width="10.6640625" style="4" customWidth="1"/>
    <col min="5638" max="5639" width="9.5" style="4" bestFit="1" customWidth="1"/>
    <col min="5640" max="5885" width="8.83203125" style="4"/>
    <col min="5886" max="5886" width="1.6640625" style="4" customWidth="1"/>
    <col min="5887" max="5887" width="40.6640625" style="4" customWidth="1"/>
    <col min="5888" max="5893" width="10.6640625" style="4" customWidth="1"/>
    <col min="5894" max="5895" width="9.5" style="4" bestFit="1" customWidth="1"/>
    <col min="5896" max="6141" width="8.83203125" style="4"/>
    <col min="6142" max="6142" width="1.6640625" style="4" customWidth="1"/>
    <col min="6143" max="6143" width="40.6640625" style="4" customWidth="1"/>
    <col min="6144" max="6149" width="10.6640625" style="4" customWidth="1"/>
    <col min="6150" max="6151" width="9.5" style="4" bestFit="1" customWidth="1"/>
    <col min="6152" max="6397" width="8.83203125" style="4"/>
    <col min="6398" max="6398" width="1.6640625" style="4" customWidth="1"/>
    <col min="6399" max="6399" width="40.6640625" style="4" customWidth="1"/>
    <col min="6400" max="6405" width="10.6640625" style="4" customWidth="1"/>
    <col min="6406" max="6407" width="9.5" style="4" bestFit="1" customWidth="1"/>
    <col min="6408" max="6653" width="8.83203125" style="4"/>
    <col min="6654" max="6654" width="1.6640625" style="4" customWidth="1"/>
    <col min="6655" max="6655" width="40.6640625" style="4" customWidth="1"/>
    <col min="6656" max="6661" width="10.6640625" style="4" customWidth="1"/>
    <col min="6662" max="6663" width="9.5" style="4" bestFit="1" customWidth="1"/>
    <col min="6664" max="6909" width="8.83203125" style="4"/>
    <col min="6910" max="6910" width="1.6640625" style="4" customWidth="1"/>
    <col min="6911" max="6911" width="40.6640625" style="4" customWidth="1"/>
    <col min="6912" max="6917" width="10.6640625" style="4" customWidth="1"/>
    <col min="6918" max="6919" width="9.5" style="4" bestFit="1" customWidth="1"/>
    <col min="6920" max="7165" width="8.83203125" style="4"/>
    <col min="7166" max="7166" width="1.6640625" style="4" customWidth="1"/>
    <col min="7167" max="7167" width="40.6640625" style="4" customWidth="1"/>
    <col min="7168" max="7173" width="10.6640625" style="4" customWidth="1"/>
    <col min="7174" max="7175" width="9.5" style="4" bestFit="1" customWidth="1"/>
    <col min="7176" max="7421" width="8.83203125" style="4"/>
    <col min="7422" max="7422" width="1.6640625" style="4" customWidth="1"/>
    <col min="7423" max="7423" width="40.6640625" style="4" customWidth="1"/>
    <col min="7424" max="7429" width="10.6640625" style="4" customWidth="1"/>
    <col min="7430" max="7431" width="9.5" style="4" bestFit="1" customWidth="1"/>
    <col min="7432" max="7677" width="8.83203125" style="4"/>
    <col min="7678" max="7678" width="1.6640625" style="4" customWidth="1"/>
    <col min="7679" max="7679" width="40.6640625" style="4" customWidth="1"/>
    <col min="7680" max="7685" width="10.6640625" style="4" customWidth="1"/>
    <col min="7686" max="7687" width="9.5" style="4" bestFit="1" customWidth="1"/>
    <col min="7688" max="7933" width="8.83203125" style="4"/>
    <col min="7934" max="7934" width="1.6640625" style="4" customWidth="1"/>
    <col min="7935" max="7935" width="40.6640625" style="4" customWidth="1"/>
    <col min="7936" max="7941" width="10.6640625" style="4" customWidth="1"/>
    <col min="7942" max="7943" width="9.5" style="4" bestFit="1" customWidth="1"/>
    <col min="7944" max="8189" width="8.83203125" style="4"/>
    <col min="8190" max="8190" width="1.6640625" style="4" customWidth="1"/>
    <col min="8191" max="8191" width="40.6640625" style="4" customWidth="1"/>
    <col min="8192" max="8197" width="10.6640625" style="4" customWidth="1"/>
    <col min="8198" max="8199" width="9.5" style="4" bestFit="1" customWidth="1"/>
    <col min="8200" max="8445" width="8.83203125" style="4"/>
    <col min="8446" max="8446" width="1.6640625" style="4" customWidth="1"/>
    <col min="8447" max="8447" width="40.6640625" style="4" customWidth="1"/>
    <col min="8448" max="8453" width="10.6640625" style="4" customWidth="1"/>
    <col min="8454" max="8455" width="9.5" style="4" bestFit="1" customWidth="1"/>
    <col min="8456" max="8701" width="8.83203125" style="4"/>
    <col min="8702" max="8702" width="1.6640625" style="4" customWidth="1"/>
    <col min="8703" max="8703" width="40.6640625" style="4" customWidth="1"/>
    <col min="8704" max="8709" width="10.6640625" style="4" customWidth="1"/>
    <col min="8710" max="8711" width="9.5" style="4" bestFit="1" customWidth="1"/>
    <col min="8712" max="8957" width="8.83203125" style="4"/>
    <col min="8958" max="8958" width="1.6640625" style="4" customWidth="1"/>
    <col min="8959" max="8959" width="40.6640625" style="4" customWidth="1"/>
    <col min="8960" max="8965" width="10.6640625" style="4" customWidth="1"/>
    <col min="8966" max="8967" width="9.5" style="4" bestFit="1" customWidth="1"/>
    <col min="8968" max="9213" width="8.83203125" style="4"/>
    <col min="9214" max="9214" width="1.6640625" style="4" customWidth="1"/>
    <col min="9215" max="9215" width="40.6640625" style="4" customWidth="1"/>
    <col min="9216" max="9221" width="10.6640625" style="4" customWidth="1"/>
    <col min="9222" max="9223" width="9.5" style="4" bestFit="1" customWidth="1"/>
    <col min="9224" max="9469" width="8.83203125" style="4"/>
    <col min="9470" max="9470" width="1.6640625" style="4" customWidth="1"/>
    <col min="9471" max="9471" width="40.6640625" style="4" customWidth="1"/>
    <col min="9472" max="9477" width="10.6640625" style="4" customWidth="1"/>
    <col min="9478" max="9479" width="9.5" style="4" bestFit="1" customWidth="1"/>
    <col min="9480" max="9725" width="8.83203125" style="4"/>
    <col min="9726" max="9726" width="1.6640625" style="4" customWidth="1"/>
    <col min="9727" max="9727" width="40.6640625" style="4" customWidth="1"/>
    <col min="9728" max="9733" width="10.6640625" style="4" customWidth="1"/>
    <col min="9734" max="9735" width="9.5" style="4" bestFit="1" customWidth="1"/>
    <col min="9736" max="9981" width="8.83203125" style="4"/>
    <col min="9982" max="9982" width="1.6640625" style="4" customWidth="1"/>
    <col min="9983" max="9983" width="40.6640625" style="4" customWidth="1"/>
    <col min="9984" max="9989" width="10.6640625" style="4" customWidth="1"/>
    <col min="9990" max="9991" width="9.5" style="4" bestFit="1" customWidth="1"/>
    <col min="9992" max="10237" width="8.83203125" style="4"/>
    <col min="10238" max="10238" width="1.6640625" style="4" customWidth="1"/>
    <col min="10239" max="10239" width="40.6640625" style="4" customWidth="1"/>
    <col min="10240" max="10245" width="10.6640625" style="4" customWidth="1"/>
    <col min="10246" max="10247" width="9.5" style="4" bestFit="1" customWidth="1"/>
    <col min="10248" max="10493" width="8.83203125" style="4"/>
    <col min="10494" max="10494" width="1.6640625" style="4" customWidth="1"/>
    <col min="10495" max="10495" width="40.6640625" style="4" customWidth="1"/>
    <col min="10496" max="10501" width="10.6640625" style="4" customWidth="1"/>
    <col min="10502" max="10503" width="9.5" style="4" bestFit="1" customWidth="1"/>
    <col min="10504" max="10749" width="8.83203125" style="4"/>
    <col min="10750" max="10750" width="1.6640625" style="4" customWidth="1"/>
    <col min="10751" max="10751" width="40.6640625" style="4" customWidth="1"/>
    <col min="10752" max="10757" width="10.6640625" style="4" customWidth="1"/>
    <col min="10758" max="10759" width="9.5" style="4" bestFit="1" customWidth="1"/>
    <col min="10760" max="11005" width="8.83203125" style="4"/>
    <col min="11006" max="11006" width="1.6640625" style="4" customWidth="1"/>
    <col min="11007" max="11007" width="40.6640625" style="4" customWidth="1"/>
    <col min="11008" max="11013" width="10.6640625" style="4" customWidth="1"/>
    <col min="11014" max="11015" width="9.5" style="4" bestFit="1" customWidth="1"/>
    <col min="11016" max="11261" width="8.83203125" style="4"/>
    <col min="11262" max="11262" width="1.6640625" style="4" customWidth="1"/>
    <col min="11263" max="11263" width="40.6640625" style="4" customWidth="1"/>
    <col min="11264" max="11269" width="10.6640625" style="4" customWidth="1"/>
    <col min="11270" max="11271" width="9.5" style="4" bestFit="1" customWidth="1"/>
    <col min="11272" max="11517" width="8.83203125" style="4"/>
    <col min="11518" max="11518" width="1.6640625" style="4" customWidth="1"/>
    <col min="11519" max="11519" width="40.6640625" style="4" customWidth="1"/>
    <col min="11520" max="11525" width="10.6640625" style="4" customWidth="1"/>
    <col min="11526" max="11527" width="9.5" style="4" bestFit="1" customWidth="1"/>
    <col min="11528" max="11773" width="8.83203125" style="4"/>
    <col min="11774" max="11774" width="1.6640625" style="4" customWidth="1"/>
    <col min="11775" max="11775" width="40.6640625" style="4" customWidth="1"/>
    <col min="11776" max="11781" width="10.6640625" style="4" customWidth="1"/>
    <col min="11782" max="11783" width="9.5" style="4" bestFit="1" customWidth="1"/>
    <col min="11784" max="12029" width="8.83203125" style="4"/>
    <col min="12030" max="12030" width="1.6640625" style="4" customWidth="1"/>
    <col min="12031" max="12031" width="40.6640625" style="4" customWidth="1"/>
    <col min="12032" max="12037" width="10.6640625" style="4" customWidth="1"/>
    <col min="12038" max="12039" width="9.5" style="4" bestFit="1" customWidth="1"/>
    <col min="12040" max="12285" width="8.83203125" style="4"/>
    <col min="12286" max="12286" width="1.6640625" style="4" customWidth="1"/>
    <col min="12287" max="12287" width="40.6640625" style="4" customWidth="1"/>
    <col min="12288" max="12293" width="10.6640625" style="4" customWidth="1"/>
    <col min="12294" max="12295" width="9.5" style="4" bestFit="1" customWidth="1"/>
    <col min="12296" max="12541" width="8.83203125" style="4"/>
    <col min="12542" max="12542" width="1.6640625" style="4" customWidth="1"/>
    <col min="12543" max="12543" width="40.6640625" style="4" customWidth="1"/>
    <col min="12544" max="12549" width="10.6640625" style="4" customWidth="1"/>
    <col min="12550" max="12551" width="9.5" style="4" bestFit="1" customWidth="1"/>
    <col min="12552" max="12797" width="8.83203125" style="4"/>
    <col min="12798" max="12798" width="1.6640625" style="4" customWidth="1"/>
    <col min="12799" max="12799" width="40.6640625" style="4" customWidth="1"/>
    <col min="12800" max="12805" width="10.6640625" style="4" customWidth="1"/>
    <col min="12806" max="12807" width="9.5" style="4" bestFit="1" customWidth="1"/>
    <col min="12808" max="13053" width="8.83203125" style="4"/>
    <col min="13054" max="13054" width="1.6640625" style="4" customWidth="1"/>
    <col min="13055" max="13055" width="40.6640625" style="4" customWidth="1"/>
    <col min="13056" max="13061" width="10.6640625" style="4" customWidth="1"/>
    <col min="13062" max="13063" width="9.5" style="4" bestFit="1" customWidth="1"/>
    <col min="13064" max="13309" width="8.83203125" style="4"/>
    <col min="13310" max="13310" width="1.6640625" style="4" customWidth="1"/>
    <col min="13311" max="13311" width="40.6640625" style="4" customWidth="1"/>
    <col min="13312" max="13317" width="10.6640625" style="4" customWidth="1"/>
    <col min="13318" max="13319" width="9.5" style="4" bestFit="1" customWidth="1"/>
    <col min="13320" max="13565" width="8.83203125" style="4"/>
    <col min="13566" max="13566" width="1.6640625" style="4" customWidth="1"/>
    <col min="13567" max="13567" width="40.6640625" style="4" customWidth="1"/>
    <col min="13568" max="13573" width="10.6640625" style="4" customWidth="1"/>
    <col min="13574" max="13575" width="9.5" style="4" bestFit="1" customWidth="1"/>
    <col min="13576" max="13821" width="8.83203125" style="4"/>
    <col min="13822" max="13822" width="1.6640625" style="4" customWidth="1"/>
    <col min="13823" max="13823" width="40.6640625" style="4" customWidth="1"/>
    <col min="13824" max="13829" width="10.6640625" style="4" customWidth="1"/>
    <col min="13830" max="13831" width="9.5" style="4" bestFit="1" customWidth="1"/>
    <col min="13832" max="14077" width="8.83203125" style="4"/>
    <col min="14078" max="14078" width="1.6640625" style="4" customWidth="1"/>
    <col min="14079" max="14079" width="40.6640625" style="4" customWidth="1"/>
    <col min="14080" max="14085" width="10.6640625" style="4" customWidth="1"/>
    <col min="14086" max="14087" width="9.5" style="4" bestFit="1" customWidth="1"/>
    <col min="14088" max="14333" width="8.83203125" style="4"/>
    <col min="14334" max="14334" width="1.6640625" style="4" customWidth="1"/>
    <col min="14335" max="14335" width="40.6640625" style="4" customWidth="1"/>
    <col min="14336" max="14341" width="10.6640625" style="4" customWidth="1"/>
    <col min="14342" max="14343" width="9.5" style="4" bestFit="1" customWidth="1"/>
    <col min="14344" max="14589" width="8.83203125" style="4"/>
    <col min="14590" max="14590" width="1.6640625" style="4" customWidth="1"/>
    <col min="14591" max="14591" width="40.6640625" style="4" customWidth="1"/>
    <col min="14592" max="14597" width="10.6640625" style="4" customWidth="1"/>
    <col min="14598" max="14599" width="9.5" style="4" bestFit="1" customWidth="1"/>
    <col min="14600" max="14845" width="8.83203125" style="4"/>
    <col min="14846" max="14846" width="1.6640625" style="4" customWidth="1"/>
    <col min="14847" max="14847" width="40.6640625" style="4" customWidth="1"/>
    <col min="14848" max="14853" width="10.6640625" style="4" customWidth="1"/>
    <col min="14854" max="14855" width="9.5" style="4" bestFit="1" customWidth="1"/>
    <col min="14856" max="15101" width="8.83203125" style="4"/>
    <col min="15102" max="15102" width="1.6640625" style="4" customWidth="1"/>
    <col min="15103" max="15103" width="40.6640625" style="4" customWidth="1"/>
    <col min="15104" max="15109" width="10.6640625" style="4" customWidth="1"/>
    <col min="15110" max="15111" width="9.5" style="4" bestFit="1" customWidth="1"/>
    <col min="15112" max="15357" width="8.83203125" style="4"/>
    <col min="15358" max="15358" width="1.6640625" style="4" customWidth="1"/>
    <col min="15359" max="15359" width="40.6640625" style="4" customWidth="1"/>
    <col min="15360" max="15365" width="10.6640625" style="4" customWidth="1"/>
    <col min="15366" max="15367" width="9.5" style="4" bestFit="1" customWidth="1"/>
    <col min="15368" max="15613" width="8.83203125" style="4"/>
    <col min="15614" max="15614" width="1.6640625" style="4" customWidth="1"/>
    <col min="15615" max="15615" width="40.6640625" style="4" customWidth="1"/>
    <col min="15616" max="15621" width="10.6640625" style="4" customWidth="1"/>
    <col min="15622" max="15623" width="9.5" style="4" bestFit="1" customWidth="1"/>
    <col min="15624" max="15869" width="8.83203125" style="4"/>
    <col min="15870" max="15870" width="1.6640625" style="4" customWidth="1"/>
    <col min="15871" max="15871" width="40.6640625" style="4" customWidth="1"/>
    <col min="15872" max="15877" width="10.6640625" style="4" customWidth="1"/>
    <col min="15878" max="15879" width="9.5" style="4" bestFit="1" customWidth="1"/>
    <col min="15880" max="16125" width="8.83203125" style="4"/>
    <col min="16126" max="16126" width="1.6640625" style="4" customWidth="1"/>
    <col min="16127" max="16127" width="40.6640625" style="4" customWidth="1"/>
    <col min="16128" max="16133" width="10.6640625" style="4" customWidth="1"/>
    <col min="16134" max="16135" width="9.5" style="4" bestFit="1" customWidth="1"/>
    <col min="16136" max="16384" width="8.83203125" style="4"/>
  </cols>
  <sheetData>
    <row r="1" spans="1:12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s="2" customFormat="1" x14ac:dyDescent="0.2">
      <c r="A2" s="176" t="s">
        <v>85</v>
      </c>
      <c r="B2" s="177"/>
      <c r="C2" s="181">
        <v>2023</v>
      </c>
      <c r="D2" s="181">
        <f>C2+1</f>
        <v>2024</v>
      </c>
      <c r="E2" s="181">
        <f t="shared" ref="E2:J2" si="0">D2+1</f>
        <v>2025</v>
      </c>
      <c r="F2" s="181">
        <f t="shared" si="0"/>
        <v>2026</v>
      </c>
      <c r="G2" s="181">
        <f t="shared" si="0"/>
        <v>2027</v>
      </c>
      <c r="H2" s="181">
        <f t="shared" si="0"/>
        <v>2028</v>
      </c>
      <c r="I2" s="181">
        <f t="shared" si="0"/>
        <v>2029</v>
      </c>
      <c r="J2" s="181">
        <f t="shared" si="0"/>
        <v>2030</v>
      </c>
      <c r="K2" s="181">
        <f t="shared" ref="K2" si="1">J2+1</f>
        <v>2031</v>
      </c>
      <c r="L2" s="181">
        <f t="shared" ref="L2" si="2">K2+1</f>
        <v>2032</v>
      </c>
    </row>
    <row r="3" spans="1:12" x14ac:dyDescent="0.2">
      <c r="B3" s="4" t="s">
        <v>156</v>
      </c>
      <c r="F3" s="4">
        <f>IncState!F34</f>
        <v>2938.0227425983903</v>
      </c>
      <c r="G3" s="4">
        <f>IncState!G34</f>
        <v>3125.1775130316501</v>
      </c>
      <c r="H3" s="4">
        <f>IncState!H34</f>
        <v>3310.59738512473</v>
      </c>
      <c r="I3" s="4">
        <f>IncState!I34</f>
        <v>3963.8017885226118</v>
      </c>
      <c r="J3" s="4">
        <f>IncState!J34</f>
        <v>4798.4312502601661</v>
      </c>
      <c r="K3" s="4">
        <f>IncState!K34</f>
        <v>5810.264546539911</v>
      </c>
      <c r="L3" s="4">
        <f>IncState!L34</f>
        <v>6874.1705730977801</v>
      </c>
    </row>
    <row r="4" spans="1:12" x14ac:dyDescent="0.2">
      <c r="B4" s="4" t="s">
        <v>15</v>
      </c>
      <c r="F4" s="4">
        <f>IncState!F21</f>
        <v>1718.6238612125546</v>
      </c>
      <c r="G4" s="4">
        <f>IncState!G21</f>
        <v>1831.7602291402895</v>
      </c>
      <c r="H4" s="4">
        <f>IncState!H21</f>
        <v>1954.5775424740134</v>
      </c>
      <c r="I4" s="4">
        <f>IncState!I21</f>
        <v>2091.4907727836217</v>
      </c>
      <c r="J4" s="4">
        <f>IncState!J21</f>
        <v>2246.8154099179555</v>
      </c>
      <c r="K4" s="4">
        <f>IncState!K21</f>
        <v>2425.5968411115828</v>
      </c>
      <c r="L4" s="4">
        <f>IncState!L21</f>
        <v>2633.8518715496671</v>
      </c>
    </row>
    <row r="5" spans="1:12" x14ac:dyDescent="0.2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  <c r="K5" s="4">
        <f>IncState!K22</f>
        <v>0</v>
      </c>
      <c r="L5" s="4">
        <f>IncState!L22</f>
        <v>0</v>
      </c>
    </row>
    <row r="6" spans="1:12" x14ac:dyDescent="0.2">
      <c r="B6" s="4" t="s">
        <v>91</v>
      </c>
      <c r="F6" s="4">
        <f>Calcs!F26</f>
        <v>107.17053991946432</v>
      </c>
      <c r="G6" s="4">
        <f>Calcs!G26</f>
        <v>217.08694422367171</v>
      </c>
      <c r="H6" s="4">
        <f>Calcs!H26</f>
        <v>279.44484512617964</v>
      </c>
      <c r="I6" s="4">
        <f>Calcs!I26</f>
        <v>343.48744128230101</v>
      </c>
      <c r="J6" s="4">
        <f>Calcs!J26</f>
        <v>419.29602230006003</v>
      </c>
      <c r="K6" s="4">
        <f>Calcs!K26</f>
        <v>510.10161231510301</v>
      </c>
      <c r="L6" s="4">
        <f>Calcs!L26</f>
        <v>619.98887058774835</v>
      </c>
    </row>
    <row r="7" spans="1:12" x14ac:dyDescent="0.2">
      <c r="B7" s="4" t="s">
        <v>223</v>
      </c>
      <c r="F7" s="4">
        <f>BalSheet!E27-BalSheet!F27</f>
        <v>-72.624728527269326</v>
      </c>
      <c r="G7" s="4">
        <f>BalSheet!F27-BalSheet!G27</f>
        <v>-147.11604666407129</v>
      </c>
      <c r="H7" s="4">
        <f>BalSheet!G27-BalSheet!H27</f>
        <v>-189.37491161725075</v>
      </c>
      <c r="I7" s="4">
        <f>BalSheet!H27-BalSheet!I27</f>
        <v>-232.77546524467243</v>
      </c>
      <c r="J7" s="4">
        <f>BalSheet!I27-BalSheet!J27</f>
        <v>-284.14962218639494</v>
      </c>
      <c r="K7" s="4">
        <f>BalSheet!J27-BalSheet!K27</f>
        <v>-345.68699130725236</v>
      </c>
      <c r="L7" s="4">
        <f>BalSheet!K27-BalSheet!L27</f>
        <v>-420.15567515020575</v>
      </c>
    </row>
    <row r="8" spans="1:12" x14ac:dyDescent="0.2">
      <c r="B8" s="4" t="s">
        <v>224</v>
      </c>
      <c r="F8" s="4">
        <f>BalSheet!F38-BalSheet!E38</f>
        <v>468.93327459605098</v>
      </c>
      <c r="G8" s="4">
        <f>BalSheet!G38-BalSheet!F38</f>
        <v>949.91900013650411</v>
      </c>
      <c r="H8" s="4">
        <f>BalSheet!H38-BalSheet!G38</f>
        <v>1222.7818159440212</v>
      </c>
      <c r="I8" s="4">
        <f>BalSheet!I38-BalSheet!H38</f>
        <v>1503.0164432465681</v>
      </c>
      <c r="J8" s="4">
        <f>BalSheet!J38-BalSheet!I38</f>
        <v>1834.7361223810367</v>
      </c>
      <c r="K8" s="4">
        <f>BalSheet!K38-BalSheet!J38</f>
        <v>2232.07901917458</v>
      </c>
      <c r="L8" s="4">
        <f>BalSheet!L38-BalSheet!K38</f>
        <v>2712.9185965125107</v>
      </c>
    </row>
    <row r="9" spans="1:12" s="11" customFormat="1" x14ac:dyDescent="0.2">
      <c r="B9" s="11" t="s">
        <v>225</v>
      </c>
      <c r="F9" s="11">
        <f>SUM(F3:F8)</f>
        <v>5160.1256897991907</v>
      </c>
      <c r="G9" s="11">
        <f t="shared" ref="G9:L9" si="3">SUM(G3:G8)</f>
        <v>5976.8276398680446</v>
      </c>
      <c r="H9" s="11">
        <f t="shared" si="3"/>
        <v>6578.0266770516937</v>
      </c>
      <c r="I9" s="11">
        <f t="shared" si="3"/>
        <v>7669.0209805904306</v>
      </c>
      <c r="J9" s="11">
        <f t="shared" si="3"/>
        <v>9015.1291826728229</v>
      </c>
      <c r="K9" s="11">
        <f t="shared" si="3"/>
        <v>10632.355027833924</v>
      </c>
      <c r="L9" s="11">
        <f t="shared" si="3"/>
        <v>12420.774236597499</v>
      </c>
    </row>
    <row r="10" spans="1:12" x14ac:dyDescent="0.2">
      <c r="I10" s="4"/>
      <c r="J10" s="4"/>
      <c r="K10" s="4"/>
      <c r="L10" s="4"/>
    </row>
    <row r="11" spans="1:12" x14ac:dyDescent="0.2">
      <c r="B11" s="4" t="s">
        <v>14</v>
      </c>
      <c r="F11" s="4">
        <f>-Calcs!F7</f>
        <v>-2900.3775782215707</v>
      </c>
      <c r="G11" s="4">
        <f>-Calcs!G7</f>
        <v>-3114.6352162345893</v>
      </c>
      <c r="H11" s="4">
        <f>-Calcs!H7</f>
        <v>-3384.6899085474779</v>
      </c>
      <c r="I11" s="4">
        <f>-Calcs!I7</f>
        <v>-3713.9175011528755</v>
      </c>
      <c r="J11" s="4">
        <f>-Calcs!J7</f>
        <v>-4114.2575482426628</v>
      </c>
      <c r="K11" s="4">
        <f>-Calcs!K7</f>
        <v>-4600.902278380262</v>
      </c>
      <c r="L11" s="4">
        <f>-Calcs!L7</f>
        <v>-5193.2042298296883</v>
      </c>
    </row>
    <row r="12" spans="1:12" s="11" customFormat="1" x14ac:dyDescent="0.2">
      <c r="B12" s="11" t="s">
        <v>226</v>
      </c>
      <c r="F12" s="11">
        <f>F11</f>
        <v>-2900.3775782215707</v>
      </c>
      <c r="G12" s="11">
        <f t="shared" ref="G12:L12" si="4">G11</f>
        <v>-3114.6352162345893</v>
      </c>
      <c r="H12" s="11">
        <f t="shared" si="4"/>
        <v>-3384.6899085474779</v>
      </c>
      <c r="I12" s="11">
        <f t="shared" si="4"/>
        <v>-3713.9175011528755</v>
      </c>
      <c r="J12" s="11">
        <f t="shared" si="4"/>
        <v>-4114.2575482426628</v>
      </c>
      <c r="K12" s="11">
        <f t="shared" si="4"/>
        <v>-4600.902278380262</v>
      </c>
      <c r="L12" s="11">
        <f t="shared" si="4"/>
        <v>-5193.2042298296883</v>
      </c>
    </row>
    <row r="13" spans="1:12" x14ac:dyDescent="0.2">
      <c r="I13" s="4"/>
      <c r="J13" s="4"/>
      <c r="K13" s="4"/>
      <c r="L13" s="4"/>
    </row>
    <row r="14" spans="1:12" x14ac:dyDescent="0.2">
      <c r="B14" s="4" t="s">
        <v>227</v>
      </c>
      <c r="F14" s="4">
        <f>-IncState!F36</f>
        <v>-2766.5575514475063</v>
      </c>
      <c r="G14" s="4">
        <f>-IncState!G36</f>
        <v>-2948.1151028950126</v>
      </c>
      <c r="H14" s="4">
        <f>-IncState!H36</f>
        <v>-3129.6726543425189</v>
      </c>
      <c r="I14" s="4">
        <f>-IncState!I36</f>
        <v>-3311.2302057900251</v>
      </c>
      <c r="J14" s="4">
        <f>-IncState!J36</f>
        <v>-3492.787757237531</v>
      </c>
      <c r="K14" s="4">
        <f>-IncState!K36</f>
        <v>-3674.3453086850373</v>
      </c>
      <c r="L14" s="4">
        <f>-IncState!L36</f>
        <v>-3855.9028601325435</v>
      </c>
    </row>
    <row r="15" spans="1:12" x14ac:dyDescent="0.2">
      <c r="B15" s="4" t="s">
        <v>228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  <c r="K15" s="4">
        <f>SUM(Debt!K8:K9)</f>
        <v>0</v>
      </c>
      <c r="L15" s="4">
        <f>SUM(Debt!L8:L9)</f>
        <v>0</v>
      </c>
    </row>
    <row r="16" spans="1:12" x14ac:dyDescent="0.2">
      <c r="B16" s="4" t="s">
        <v>143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  <c r="K16" s="4">
        <f>Calcs!K11</f>
        <v>0</v>
      </c>
      <c r="L16" s="4">
        <f>Calcs!L11</f>
        <v>0</v>
      </c>
    </row>
    <row r="17" spans="2:12" s="11" customFormat="1" x14ac:dyDescent="0.2">
      <c r="B17" s="11" t="s">
        <v>229</v>
      </c>
      <c r="F17" s="11">
        <f>SUM(F14:F16)</f>
        <v>-2766.5575514475063</v>
      </c>
      <c r="G17" s="11">
        <f t="shared" ref="G17:L17" si="5">SUM(G14:G16)</f>
        <v>-2948.1151028950126</v>
      </c>
      <c r="H17" s="11">
        <f t="shared" si="5"/>
        <v>-3129.6726543425189</v>
      </c>
      <c r="I17" s="11">
        <f t="shared" si="5"/>
        <v>-3311.2302057900251</v>
      </c>
      <c r="J17" s="11">
        <f t="shared" si="5"/>
        <v>-3492.787757237531</v>
      </c>
      <c r="K17" s="11">
        <f t="shared" si="5"/>
        <v>-3674.3453086850373</v>
      </c>
      <c r="L17" s="11">
        <f t="shared" si="5"/>
        <v>-3855.9028601325435</v>
      </c>
    </row>
    <row r="18" spans="2:12" x14ac:dyDescent="0.2">
      <c r="I18" s="4"/>
      <c r="J18" s="4"/>
      <c r="K18" s="4"/>
      <c r="L18" s="4"/>
    </row>
    <row r="19" spans="2:12" x14ac:dyDescent="0.2">
      <c r="B19" s="4" t="s">
        <v>230</v>
      </c>
      <c r="F19" s="4">
        <f>SUM(F17,F12,F9)</f>
        <v>-506.80943986988586</v>
      </c>
      <c r="G19" s="4">
        <f t="shared" ref="G19:L19" si="6">SUM(G17,G12,G9)</f>
        <v>-85.922679261557278</v>
      </c>
      <c r="H19" s="4">
        <f t="shared" si="6"/>
        <v>63.664114161696489</v>
      </c>
      <c r="I19" s="4">
        <f t="shared" si="6"/>
        <v>643.87327364753037</v>
      </c>
      <c r="J19" s="4">
        <f t="shared" si="6"/>
        <v>1408.0838771926292</v>
      </c>
      <c r="K19" s="4">
        <f t="shared" si="6"/>
        <v>2357.1074407686247</v>
      </c>
      <c r="L19" s="4">
        <f t="shared" si="6"/>
        <v>3371.6671466352673</v>
      </c>
    </row>
    <row r="20" spans="2:12" x14ac:dyDescent="0.2">
      <c r="I20" s="4"/>
      <c r="J20" s="4"/>
      <c r="K20" s="4"/>
      <c r="L20" s="4"/>
    </row>
    <row r="21" spans="2:12" x14ac:dyDescent="0.2">
      <c r="B21" s="4" t="s">
        <v>231</v>
      </c>
      <c r="F21" s="4">
        <f>BalSheet!E18</f>
        <v>2543.7240670484011</v>
      </c>
      <c r="G21" s="4">
        <f>BalSheet!F18</f>
        <v>788.01462717851518</v>
      </c>
      <c r="H21" s="4">
        <f>BalSheet!G18</f>
        <v>702.09194791695791</v>
      </c>
      <c r="I21" s="4">
        <f>BalSheet!H18</f>
        <v>765.7560620786544</v>
      </c>
      <c r="J21" s="4">
        <f>BalSheet!I18</f>
        <v>1409.6293357261848</v>
      </c>
      <c r="K21" s="4">
        <f>BalSheet!J18</f>
        <v>2817.713212918814</v>
      </c>
      <c r="L21" s="4">
        <f>BalSheet!K18</f>
        <v>5174.8206536874386</v>
      </c>
    </row>
    <row r="22" spans="2:12" x14ac:dyDescent="0.2">
      <c r="B22" s="4" t="str">
        <f>B19</f>
        <v>Net changes in Cash</v>
      </c>
      <c r="F22" s="4">
        <f>F19</f>
        <v>-506.80943986988586</v>
      </c>
      <c r="G22" s="4">
        <f t="shared" ref="G22:L22" si="7">G19</f>
        <v>-85.922679261557278</v>
      </c>
      <c r="H22" s="4">
        <f t="shared" si="7"/>
        <v>63.664114161696489</v>
      </c>
      <c r="I22" s="4">
        <f t="shared" si="7"/>
        <v>643.87327364753037</v>
      </c>
      <c r="J22" s="4">
        <f t="shared" si="7"/>
        <v>1408.0838771926292</v>
      </c>
      <c r="K22" s="4">
        <f t="shared" si="7"/>
        <v>2357.1074407686247</v>
      </c>
      <c r="L22" s="4">
        <f t="shared" si="7"/>
        <v>3371.6671466352673</v>
      </c>
    </row>
    <row r="23" spans="2:12" x14ac:dyDescent="0.2">
      <c r="B23" s="4" t="s">
        <v>232</v>
      </c>
      <c r="F23" s="4">
        <f>SUM(F21:F22)</f>
        <v>2036.9146271785153</v>
      </c>
      <c r="G23" s="4">
        <f t="shared" ref="G23:L23" si="8">SUM(G21:G22)</f>
        <v>702.09194791695791</v>
      </c>
      <c r="H23" s="4">
        <f t="shared" si="8"/>
        <v>765.7560620786544</v>
      </c>
      <c r="I23" s="4">
        <f t="shared" si="8"/>
        <v>1409.6293357261848</v>
      </c>
      <c r="J23" s="4">
        <f t="shared" si="8"/>
        <v>2817.713212918814</v>
      </c>
      <c r="K23" s="4">
        <f t="shared" si="8"/>
        <v>5174.8206536874386</v>
      </c>
      <c r="L23" s="4">
        <f t="shared" si="8"/>
        <v>8546.4878003227059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E32" sqref="E32"/>
    </sheetView>
  </sheetViews>
  <sheetFormatPr baseColWidth="10" defaultColWidth="8.83203125" defaultRowHeight="15" x14ac:dyDescent="0.2"/>
  <cols>
    <col min="1" max="1" width="1.6640625" style="11" customWidth="1"/>
    <col min="2" max="2" width="40.6640625" style="4" customWidth="1"/>
    <col min="3" max="8" width="11.6640625" style="4" customWidth="1"/>
    <col min="9" max="12" width="11.6640625" style="6" customWidth="1"/>
    <col min="13" max="253" width="8.83203125" style="4"/>
    <col min="254" max="254" width="1.6640625" style="4" customWidth="1"/>
    <col min="255" max="255" width="40.6640625" style="4" customWidth="1"/>
    <col min="256" max="261" width="10.6640625" style="4" customWidth="1"/>
    <col min="262" max="263" width="9.5" style="4" bestFit="1" customWidth="1"/>
    <col min="264" max="509" width="8.83203125" style="4"/>
    <col min="510" max="510" width="1.6640625" style="4" customWidth="1"/>
    <col min="511" max="511" width="40.6640625" style="4" customWidth="1"/>
    <col min="512" max="517" width="10.6640625" style="4" customWidth="1"/>
    <col min="518" max="519" width="9.5" style="4" bestFit="1" customWidth="1"/>
    <col min="520" max="765" width="8.83203125" style="4"/>
    <col min="766" max="766" width="1.6640625" style="4" customWidth="1"/>
    <col min="767" max="767" width="40.6640625" style="4" customWidth="1"/>
    <col min="768" max="773" width="10.6640625" style="4" customWidth="1"/>
    <col min="774" max="775" width="9.5" style="4" bestFit="1" customWidth="1"/>
    <col min="776" max="1021" width="8.83203125" style="4"/>
    <col min="1022" max="1022" width="1.6640625" style="4" customWidth="1"/>
    <col min="1023" max="1023" width="40.6640625" style="4" customWidth="1"/>
    <col min="1024" max="1029" width="10.6640625" style="4" customWidth="1"/>
    <col min="1030" max="1031" width="9.5" style="4" bestFit="1" customWidth="1"/>
    <col min="1032" max="1277" width="8.83203125" style="4"/>
    <col min="1278" max="1278" width="1.6640625" style="4" customWidth="1"/>
    <col min="1279" max="1279" width="40.6640625" style="4" customWidth="1"/>
    <col min="1280" max="1285" width="10.6640625" style="4" customWidth="1"/>
    <col min="1286" max="1287" width="9.5" style="4" bestFit="1" customWidth="1"/>
    <col min="1288" max="1533" width="8.83203125" style="4"/>
    <col min="1534" max="1534" width="1.6640625" style="4" customWidth="1"/>
    <col min="1535" max="1535" width="40.6640625" style="4" customWidth="1"/>
    <col min="1536" max="1541" width="10.6640625" style="4" customWidth="1"/>
    <col min="1542" max="1543" width="9.5" style="4" bestFit="1" customWidth="1"/>
    <col min="1544" max="1789" width="8.83203125" style="4"/>
    <col min="1790" max="1790" width="1.6640625" style="4" customWidth="1"/>
    <col min="1791" max="1791" width="40.6640625" style="4" customWidth="1"/>
    <col min="1792" max="1797" width="10.6640625" style="4" customWidth="1"/>
    <col min="1798" max="1799" width="9.5" style="4" bestFit="1" customWidth="1"/>
    <col min="1800" max="2045" width="8.83203125" style="4"/>
    <col min="2046" max="2046" width="1.6640625" style="4" customWidth="1"/>
    <col min="2047" max="2047" width="40.6640625" style="4" customWidth="1"/>
    <col min="2048" max="2053" width="10.6640625" style="4" customWidth="1"/>
    <col min="2054" max="2055" width="9.5" style="4" bestFit="1" customWidth="1"/>
    <col min="2056" max="2301" width="8.83203125" style="4"/>
    <col min="2302" max="2302" width="1.6640625" style="4" customWidth="1"/>
    <col min="2303" max="2303" width="40.6640625" style="4" customWidth="1"/>
    <col min="2304" max="2309" width="10.6640625" style="4" customWidth="1"/>
    <col min="2310" max="2311" width="9.5" style="4" bestFit="1" customWidth="1"/>
    <col min="2312" max="2557" width="8.83203125" style="4"/>
    <col min="2558" max="2558" width="1.6640625" style="4" customWidth="1"/>
    <col min="2559" max="2559" width="40.6640625" style="4" customWidth="1"/>
    <col min="2560" max="2565" width="10.6640625" style="4" customWidth="1"/>
    <col min="2566" max="2567" width="9.5" style="4" bestFit="1" customWidth="1"/>
    <col min="2568" max="2813" width="8.83203125" style="4"/>
    <col min="2814" max="2814" width="1.6640625" style="4" customWidth="1"/>
    <col min="2815" max="2815" width="40.6640625" style="4" customWidth="1"/>
    <col min="2816" max="2821" width="10.6640625" style="4" customWidth="1"/>
    <col min="2822" max="2823" width="9.5" style="4" bestFit="1" customWidth="1"/>
    <col min="2824" max="3069" width="8.83203125" style="4"/>
    <col min="3070" max="3070" width="1.6640625" style="4" customWidth="1"/>
    <col min="3071" max="3071" width="40.6640625" style="4" customWidth="1"/>
    <col min="3072" max="3077" width="10.6640625" style="4" customWidth="1"/>
    <col min="3078" max="3079" width="9.5" style="4" bestFit="1" customWidth="1"/>
    <col min="3080" max="3325" width="8.83203125" style="4"/>
    <col min="3326" max="3326" width="1.6640625" style="4" customWidth="1"/>
    <col min="3327" max="3327" width="40.6640625" style="4" customWidth="1"/>
    <col min="3328" max="3333" width="10.6640625" style="4" customWidth="1"/>
    <col min="3334" max="3335" width="9.5" style="4" bestFit="1" customWidth="1"/>
    <col min="3336" max="3581" width="8.83203125" style="4"/>
    <col min="3582" max="3582" width="1.6640625" style="4" customWidth="1"/>
    <col min="3583" max="3583" width="40.6640625" style="4" customWidth="1"/>
    <col min="3584" max="3589" width="10.6640625" style="4" customWidth="1"/>
    <col min="3590" max="3591" width="9.5" style="4" bestFit="1" customWidth="1"/>
    <col min="3592" max="3837" width="8.83203125" style="4"/>
    <col min="3838" max="3838" width="1.6640625" style="4" customWidth="1"/>
    <col min="3839" max="3839" width="40.6640625" style="4" customWidth="1"/>
    <col min="3840" max="3845" width="10.6640625" style="4" customWidth="1"/>
    <col min="3846" max="3847" width="9.5" style="4" bestFit="1" customWidth="1"/>
    <col min="3848" max="4093" width="8.83203125" style="4"/>
    <col min="4094" max="4094" width="1.6640625" style="4" customWidth="1"/>
    <col min="4095" max="4095" width="40.6640625" style="4" customWidth="1"/>
    <col min="4096" max="4101" width="10.6640625" style="4" customWidth="1"/>
    <col min="4102" max="4103" width="9.5" style="4" bestFit="1" customWidth="1"/>
    <col min="4104" max="4349" width="8.83203125" style="4"/>
    <col min="4350" max="4350" width="1.6640625" style="4" customWidth="1"/>
    <col min="4351" max="4351" width="40.6640625" style="4" customWidth="1"/>
    <col min="4352" max="4357" width="10.6640625" style="4" customWidth="1"/>
    <col min="4358" max="4359" width="9.5" style="4" bestFit="1" customWidth="1"/>
    <col min="4360" max="4605" width="8.83203125" style="4"/>
    <col min="4606" max="4606" width="1.6640625" style="4" customWidth="1"/>
    <col min="4607" max="4607" width="40.6640625" style="4" customWidth="1"/>
    <col min="4608" max="4613" width="10.6640625" style="4" customWidth="1"/>
    <col min="4614" max="4615" width="9.5" style="4" bestFit="1" customWidth="1"/>
    <col min="4616" max="4861" width="8.83203125" style="4"/>
    <col min="4862" max="4862" width="1.6640625" style="4" customWidth="1"/>
    <col min="4863" max="4863" width="40.6640625" style="4" customWidth="1"/>
    <col min="4864" max="4869" width="10.6640625" style="4" customWidth="1"/>
    <col min="4870" max="4871" width="9.5" style="4" bestFit="1" customWidth="1"/>
    <col min="4872" max="5117" width="8.83203125" style="4"/>
    <col min="5118" max="5118" width="1.6640625" style="4" customWidth="1"/>
    <col min="5119" max="5119" width="40.6640625" style="4" customWidth="1"/>
    <col min="5120" max="5125" width="10.6640625" style="4" customWidth="1"/>
    <col min="5126" max="5127" width="9.5" style="4" bestFit="1" customWidth="1"/>
    <col min="5128" max="5373" width="8.83203125" style="4"/>
    <col min="5374" max="5374" width="1.6640625" style="4" customWidth="1"/>
    <col min="5375" max="5375" width="40.6640625" style="4" customWidth="1"/>
    <col min="5376" max="5381" width="10.6640625" style="4" customWidth="1"/>
    <col min="5382" max="5383" width="9.5" style="4" bestFit="1" customWidth="1"/>
    <col min="5384" max="5629" width="8.83203125" style="4"/>
    <col min="5630" max="5630" width="1.6640625" style="4" customWidth="1"/>
    <col min="5631" max="5631" width="40.6640625" style="4" customWidth="1"/>
    <col min="5632" max="5637" width="10.6640625" style="4" customWidth="1"/>
    <col min="5638" max="5639" width="9.5" style="4" bestFit="1" customWidth="1"/>
    <col min="5640" max="5885" width="8.83203125" style="4"/>
    <col min="5886" max="5886" width="1.6640625" style="4" customWidth="1"/>
    <col min="5887" max="5887" width="40.6640625" style="4" customWidth="1"/>
    <col min="5888" max="5893" width="10.6640625" style="4" customWidth="1"/>
    <col min="5894" max="5895" width="9.5" style="4" bestFit="1" customWidth="1"/>
    <col min="5896" max="6141" width="8.83203125" style="4"/>
    <col min="6142" max="6142" width="1.6640625" style="4" customWidth="1"/>
    <col min="6143" max="6143" width="40.6640625" style="4" customWidth="1"/>
    <col min="6144" max="6149" width="10.6640625" style="4" customWidth="1"/>
    <col min="6150" max="6151" width="9.5" style="4" bestFit="1" customWidth="1"/>
    <col min="6152" max="6397" width="8.83203125" style="4"/>
    <col min="6398" max="6398" width="1.6640625" style="4" customWidth="1"/>
    <col min="6399" max="6399" width="40.6640625" style="4" customWidth="1"/>
    <col min="6400" max="6405" width="10.6640625" style="4" customWidth="1"/>
    <col min="6406" max="6407" width="9.5" style="4" bestFit="1" customWidth="1"/>
    <col min="6408" max="6653" width="8.83203125" style="4"/>
    <col min="6654" max="6654" width="1.6640625" style="4" customWidth="1"/>
    <col min="6655" max="6655" width="40.6640625" style="4" customWidth="1"/>
    <col min="6656" max="6661" width="10.6640625" style="4" customWidth="1"/>
    <col min="6662" max="6663" width="9.5" style="4" bestFit="1" customWidth="1"/>
    <col min="6664" max="6909" width="8.83203125" style="4"/>
    <col min="6910" max="6910" width="1.6640625" style="4" customWidth="1"/>
    <col min="6911" max="6911" width="40.6640625" style="4" customWidth="1"/>
    <col min="6912" max="6917" width="10.6640625" style="4" customWidth="1"/>
    <col min="6918" max="6919" width="9.5" style="4" bestFit="1" customWidth="1"/>
    <col min="6920" max="7165" width="8.83203125" style="4"/>
    <col min="7166" max="7166" width="1.6640625" style="4" customWidth="1"/>
    <col min="7167" max="7167" width="40.6640625" style="4" customWidth="1"/>
    <col min="7168" max="7173" width="10.6640625" style="4" customWidth="1"/>
    <col min="7174" max="7175" width="9.5" style="4" bestFit="1" customWidth="1"/>
    <col min="7176" max="7421" width="8.83203125" style="4"/>
    <col min="7422" max="7422" width="1.6640625" style="4" customWidth="1"/>
    <col min="7423" max="7423" width="40.6640625" style="4" customWidth="1"/>
    <col min="7424" max="7429" width="10.6640625" style="4" customWidth="1"/>
    <col min="7430" max="7431" width="9.5" style="4" bestFit="1" customWidth="1"/>
    <col min="7432" max="7677" width="8.83203125" style="4"/>
    <col min="7678" max="7678" width="1.6640625" style="4" customWidth="1"/>
    <col min="7679" max="7679" width="40.6640625" style="4" customWidth="1"/>
    <col min="7680" max="7685" width="10.6640625" style="4" customWidth="1"/>
    <col min="7686" max="7687" width="9.5" style="4" bestFit="1" customWidth="1"/>
    <col min="7688" max="7933" width="8.83203125" style="4"/>
    <col min="7934" max="7934" width="1.6640625" style="4" customWidth="1"/>
    <col min="7935" max="7935" width="40.6640625" style="4" customWidth="1"/>
    <col min="7936" max="7941" width="10.6640625" style="4" customWidth="1"/>
    <col min="7942" max="7943" width="9.5" style="4" bestFit="1" customWidth="1"/>
    <col min="7944" max="8189" width="8.83203125" style="4"/>
    <col min="8190" max="8190" width="1.6640625" style="4" customWidth="1"/>
    <col min="8191" max="8191" width="40.6640625" style="4" customWidth="1"/>
    <col min="8192" max="8197" width="10.6640625" style="4" customWidth="1"/>
    <col min="8198" max="8199" width="9.5" style="4" bestFit="1" customWidth="1"/>
    <col min="8200" max="8445" width="8.83203125" style="4"/>
    <col min="8446" max="8446" width="1.6640625" style="4" customWidth="1"/>
    <col min="8447" max="8447" width="40.6640625" style="4" customWidth="1"/>
    <col min="8448" max="8453" width="10.6640625" style="4" customWidth="1"/>
    <col min="8454" max="8455" width="9.5" style="4" bestFit="1" customWidth="1"/>
    <col min="8456" max="8701" width="8.83203125" style="4"/>
    <col min="8702" max="8702" width="1.6640625" style="4" customWidth="1"/>
    <col min="8703" max="8703" width="40.6640625" style="4" customWidth="1"/>
    <col min="8704" max="8709" width="10.6640625" style="4" customWidth="1"/>
    <col min="8710" max="8711" width="9.5" style="4" bestFit="1" customWidth="1"/>
    <col min="8712" max="8957" width="8.83203125" style="4"/>
    <col min="8958" max="8958" width="1.6640625" style="4" customWidth="1"/>
    <col min="8959" max="8959" width="40.6640625" style="4" customWidth="1"/>
    <col min="8960" max="8965" width="10.6640625" style="4" customWidth="1"/>
    <col min="8966" max="8967" width="9.5" style="4" bestFit="1" customWidth="1"/>
    <col min="8968" max="9213" width="8.83203125" style="4"/>
    <col min="9214" max="9214" width="1.6640625" style="4" customWidth="1"/>
    <col min="9215" max="9215" width="40.6640625" style="4" customWidth="1"/>
    <col min="9216" max="9221" width="10.6640625" style="4" customWidth="1"/>
    <col min="9222" max="9223" width="9.5" style="4" bestFit="1" customWidth="1"/>
    <col min="9224" max="9469" width="8.83203125" style="4"/>
    <col min="9470" max="9470" width="1.6640625" style="4" customWidth="1"/>
    <col min="9471" max="9471" width="40.6640625" style="4" customWidth="1"/>
    <col min="9472" max="9477" width="10.6640625" style="4" customWidth="1"/>
    <col min="9478" max="9479" width="9.5" style="4" bestFit="1" customWidth="1"/>
    <col min="9480" max="9725" width="8.83203125" style="4"/>
    <col min="9726" max="9726" width="1.6640625" style="4" customWidth="1"/>
    <col min="9727" max="9727" width="40.6640625" style="4" customWidth="1"/>
    <col min="9728" max="9733" width="10.6640625" style="4" customWidth="1"/>
    <col min="9734" max="9735" width="9.5" style="4" bestFit="1" customWidth="1"/>
    <col min="9736" max="9981" width="8.83203125" style="4"/>
    <col min="9982" max="9982" width="1.6640625" style="4" customWidth="1"/>
    <col min="9983" max="9983" width="40.6640625" style="4" customWidth="1"/>
    <col min="9984" max="9989" width="10.6640625" style="4" customWidth="1"/>
    <col min="9990" max="9991" width="9.5" style="4" bestFit="1" customWidth="1"/>
    <col min="9992" max="10237" width="8.83203125" style="4"/>
    <col min="10238" max="10238" width="1.6640625" style="4" customWidth="1"/>
    <col min="10239" max="10239" width="40.6640625" style="4" customWidth="1"/>
    <col min="10240" max="10245" width="10.6640625" style="4" customWidth="1"/>
    <col min="10246" max="10247" width="9.5" style="4" bestFit="1" customWidth="1"/>
    <col min="10248" max="10493" width="8.83203125" style="4"/>
    <col min="10494" max="10494" width="1.6640625" style="4" customWidth="1"/>
    <col min="10495" max="10495" width="40.6640625" style="4" customWidth="1"/>
    <col min="10496" max="10501" width="10.6640625" style="4" customWidth="1"/>
    <col min="10502" max="10503" width="9.5" style="4" bestFit="1" customWidth="1"/>
    <col min="10504" max="10749" width="8.83203125" style="4"/>
    <col min="10750" max="10750" width="1.6640625" style="4" customWidth="1"/>
    <col min="10751" max="10751" width="40.6640625" style="4" customWidth="1"/>
    <col min="10752" max="10757" width="10.6640625" style="4" customWidth="1"/>
    <col min="10758" max="10759" width="9.5" style="4" bestFit="1" customWidth="1"/>
    <col min="10760" max="11005" width="8.83203125" style="4"/>
    <col min="11006" max="11006" width="1.6640625" style="4" customWidth="1"/>
    <col min="11007" max="11007" width="40.6640625" style="4" customWidth="1"/>
    <col min="11008" max="11013" width="10.6640625" style="4" customWidth="1"/>
    <col min="11014" max="11015" width="9.5" style="4" bestFit="1" customWidth="1"/>
    <col min="11016" max="11261" width="8.83203125" style="4"/>
    <col min="11262" max="11262" width="1.6640625" style="4" customWidth="1"/>
    <col min="11263" max="11263" width="40.6640625" style="4" customWidth="1"/>
    <col min="11264" max="11269" width="10.6640625" style="4" customWidth="1"/>
    <col min="11270" max="11271" width="9.5" style="4" bestFit="1" customWidth="1"/>
    <col min="11272" max="11517" width="8.83203125" style="4"/>
    <col min="11518" max="11518" width="1.6640625" style="4" customWidth="1"/>
    <col min="11519" max="11519" width="40.6640625" style="4" customWidth="1"/>
    <col min="11520" max="11525" width="10.6640625" style="4" customWidth="1"/>
    <col min="11526" max="11527" width="9.5" style="4" bestFit="1" customWidth="1"/>
    <col min="11528" max="11773" width="8.83203125" style="4"/>
    <col min="11774" max="11774" width="1.6640625" style="4" customWidth="1"/>
    <col min="11775" max="11775" width="40.6640625" style="4" customWidth="1"/>
    <col min="11776" max="11781" width="10.6640625" style="4" customWidth="1"/>
    <col min="11782" max="11783" width="9.5" style="4" bestFit="1" customWidth="1"/>
    <col min="11784" max="12029" width="8.83203125" style="4"/>
    <col min="12030" max="12030" width="1.6640625" style="4" customWidth="1"/>
    <col min="12031" max="12031" width="40.6640625" style="4" customWidth="1"/>
    <col min="12032" max="12037" width="10.6640625" style="4" customWidth="1"/>
    <col min="12038" max="12039" width="9.5" style="4" bestFit="1" customWidth="1"/>
    <col min="12040" max="12285" width="8.83203125" style="4"/>
    <col min="12286" max="12286" width="1.6640625" style="4" customWidth="1"/>
    <col min="12287" max="12287" width="40.6640625" style="4" customWidth="1"/>
    <col min="12288" max="12293" width="10.6640625" style="4" customWidth="1"/>
    <col min="12294" max="12295" width="9.5" style="4" bestFit="1" customWidth="1"/>
    <col min="12296" max="12541" width="8.83203125" style="4"/>
    <col min="12542" max="12542" width="1.6640625" style="4" customWidth="1"/>
    <col min="12543" max="12543" width="40.6640625" style="4" customWidth="1"/>
    <col min="12544" max="12549" width="10.6640625" style="4" customWidth="1"/>
    <col min="12550" max="12551" width="9.5" style="4" bestFit="1" customWidth="1"/>
    <col min="12552" max="12797" width="8.83203125" style="4"/>
    <col min="12798" max="12798" width="1.6640625" style="4" customWidth="1"/>
    <col min="12799" max="12799" width="40.6640625" style="4" customWidth="1"/>
    <col min="12800" max="12805" width="10.6640625" style="4" customWidth="1"/>
    <col min="12806" max="12807" width="9.5" style="4" bestFit="1" customWidth="1"/>
    <col min="12808" max="13053" width="8.83203125" style="4"/>
    <col min="13054" max="13054" width="1.6640625" style="4" customWidth="1"/>
    <col min="13055" max="13055" width="40.6640625" style="4" customWidth="1"/>
    <col min="13056" max="13061" width="10.6640625" style="4" customWidth="1"/>
    <col min="13062" max="13063" width="9.5" style="4" bestFit="1" customWidth="1"/>
    <col min="13064" max="13309" width="8.83203125" style="4"/>
    <col min="13310" max="13310" width="1.6640625" style="4" customWidth="1"/>
    <col min="13311" max="13311" width="40.6640625" style="4" customWidth="1"/>
    <col min="13312" max="13317" width="10.6640625" style="4" customWidth="1"/>
    <col min="13318" max="13319" width="9.5" style="4" bestFit="1" customWidth="1"/>
    <col min="13320" max="13565" width="8.83203125" style="4"/>
    <col min="13566" max="13566" width="1.6640625" style="4" customWidth="1"/>
    <col min="13567" max="13567" width="40.6640625" style="4" customWidth="1"/>
    <col min="13568" max="13573" width="10.6640625" style="4" customWidth="1"/>
    <col min="13574" max="13575" width="9.5" style="4" bestFit="1" customWidth="1"/>
    <col min="13576" max="13821" width="8.83203125" style="4"/>
    <col min="13822" max="13822" width="1.6640625" style="4" customWidth="1"/>
    <col min="13823" max="13823" width="40.6640625" style="4" customWidth="1"/>
    <col min="13824" max="13829" width="10.6640625" style="4" customWidth="1"/>
    <col min="13830" max="13831" width="9.5" style="4" bestFit="1" customWidth="1"/>
    <col min="13832" max="14077" width="8.83203125" style="4"/>
    <col min="14078" max="14078" width="1.6640625" style="4" customWidth="1"/>
    <col min="14079" max="14079" width="40.6640625" style="4" customWidth="1"/>
    <col min="14080" max="14085" width="10.6640625" style="4" customWidth="1"/>
    <col min="14086" max="14087" width="9.5" style="4" bestFit="1" customWidth="1"/>
    <col min="14088" max="14333" width="8.83203125" style="4"/>
    <col min="14334" max="14334" width="1.6640625" style="4" customWidth="1"/>
    <col min="14335" max="14335" width="40.6640625" style="4" customWidth="1"/>
    <col min="14336" max="14341" width="10.6640625" style="4" customWidth="1"/>
    <col min="14342" max="14343" width="9.5" style="4" bestFit="1" customWidth="1"/>
    <col min="14344" max="14589" width="8.83203125" style="4"/>
    <col min="14590" max="14590" width="1.6640625" style="4" customWidth="1"/>
    <col min="14591" max="14591" width="40.6640625" style="4" customWidth="1"/>
    <col min="14592" max="14597" width="10.6640625" style="4" customWidth="1"/>
    <col min="14598" max="14599" width="9.5" style="4" bestFit="1" customWidth="1"/>
    <col min="14600" max="14845" width="8.83203125" style="4"/>
    <col min="14846" max="14846" width="1.6640625" style="4" customWidth="1"/>
    <col min="14847" max="14847" width="40.6640625" style="4" customWidth="1"/>
    <col min="14848" max="14853" width="10.6640625" style="4" customWidth="1"/>
    <col min="14854" max="14855" width="9.5" style="4" bestFit="1" customWidth="1"/>
    <col min="14856" max="15101" width="8.83203125" style="4"/>
    <col min="15102" max="15102" width="1.6640625" style="4" customWidth="1"/>
    <col min="15103" max="15103" width="40.6640625" style="4" customWidth="1"/>
    <col min="15104" max="15109" width="10.6640625" style="4" customWidth="1"/>
    <col min="15110" max="15111" width="9.5" style="4" bestFit="1" customWidth="1"/>
    <col min="15112" max="15357" width="8.83203125" style="4"/>
    <col min="15358" max="15358" width="1.6640625" style="4" customWidth="1"/>
    <col min="15359" max="15359" width="40.6640625" style="4" customWidth="1"/>
    <col min="15360" max="15365" width="10.6640625" style="4" customWidth="1"/>
    <col min="15366" max="15367" width="9.5" style="4" bestFit="1" customWidth="1"/>
    <col min="15368" max="15613" width="8.83203125" style="4"/>
    <col min="15614" max="15614" width="1.6640625" style="4" customWidth="1"/>
    <col min="15615" max="15615" width="40.6640625" style="4" customWidth="1"/>
    <col min="15616" max="15621" width="10.6640625" style="4" customWidth="1"/>
    <col min="15622" max="15623" width="9.5" style="4" bestFit="1" customWidth="1"/>
    <col min="15624" max="15869" width="8.83203125" style="4"/>
    <col min="15870" max="15870" width="1.6640625" style="4" customWidth="1"/>
    <col min="15871" max="15871" width="40.6640625" style="4" customWidth="1"/>
    <col min="15872" max="15877" width="10.6640625" style="4" customWidth="1"/>
    <col min="15878" max="15879" width="9.5" style="4" bestFit="1" customWidth="1"/>
    <col min="15880" max="16125" width="8.83203125" style="4"/>
    <col min="16126" max="16126" width="1.6640625" style="4" customWidth="1"/>
    <col min="16127" max="16127" width="40.6640625" style="4" customWidth="1"/>
    <col min="16128" max="16133" width="10.6640625" style="4" customWidth="1"/>
    <col min="16134" max="16135" width="9.5" style="4" bestFit="1" customWidth="1"/>
    <col min="16136" max="16384" width="8.83203125" style="4"/>
  </cols>
  <sheetData>
    <row r="1" spans="1:12" s="2" customFormat="1" ht="20" x14ac:dyDescent="0.25">
      <c r="A1" s="232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s="2" customFormat="1" ht="16.25" customHeight="1" x14ac:dyDescent="0.2">
      <c r="A2" s="176" t="s">
        <v>88</v>
      </c>
      <c r="B2" s="177"/>
      <c r="C2" s="181">
        <v>2023</v>
      </c>
      <c r="D2" s="181">
        <f>C2+1</f>
        <v>2024</v>
      </c>
      <c r="E2" s="181">
        <f t="shared" ref="E2:J2" si="0">D2+1</f>
        <v>2025</v>
      </c>
      <c r="F2" s="181">
        <f t="shared" si="0"/>
        <v>2026</v>
      </c>
      <c r="G2" s="181">
        <f t="shared" si="0"/>
        <v>2027</v>
      </c>
      <c r="H2" s="181">
        <f t="shared" si="0"/>
        <v>2028</v>
      </c>
      <c r="I2" s="181">
        <f t="shared" si="0"/>
        <v>2029</v>
      </c>
      <c r="J2" s="181">
        <f t="shared" si="0"/>
        <v>2030</v>
      </c>
      <c r="K2" s="181">
        <f t="shared" ref="K2" si="1">J2+1</f>
        <v>2031</v>
      </c>
      <c r="L2" s="181">
        <f t="shared" ref="L2" si="2">K2+1</f>
        <v>2032</v>
      </c>
    </row>
    <row r="3" spans="1:12" x14ac:dyDescent="0.2">
      <c r="A3" s="11" t="s">
        <v>126</v>
      </c>
      <c r="B3" s="4" t="s">
        <v>89</v>
      </c>
      <c r="C3" s="216">
        <f>IncState!C16</f>
        <v>35975.943105236511</v>
      </c>
      <c r="D3" s="216">
        <f>IncState!D16</f>
        <v>36176.208617129458</v>
      </c>
      <c r="E3" s="290">
        <f>IncState!E16</f>
        <v>37123.796647579933</v>
      </c>
      <c r="F3" s="216">
        <f>IncState!F16</f>
        <v>38254.855779782825</v>
      </c>
      <c r="G3" s="216">
        <f>IncState!G16</f>
        <v>40546.044352150515</v>
      </c>
      <c r="H3" s="216">
        <f>IncState!H16</f>
        <v>43495.373424194921</v>
      </c>
      <c r="I3" s="216">
        <f>IncState!I16</f>
        <v>47120.623680640369</v>
      </c>
      <c r="J3" s="216">
        <f>IncState!J16</f>
        <v>51545.976196281765</v>
      </c>
      <c r="K3" s="216">
        <f>IncState!K16</f>
        <v>56929.713062919414</v>
      </c>
      <c r="L3" s="216">
        <f>IncState!L16</f>
        <v>63473.22686272765</v>
      </c>
    </row>
    <row r="4" spans="1:12" x14ac:dyDescent="0.2">
      <c r="B4" s="4" t="s">
        <v>55</v>
      </c>
      <c r="C4" s="4">
        <f>IncState!C19</f>
        <v>5503.1431052365151</v>
      </c>
      <c r="D4" s="4">
        <f>IncState!D19</f>
        <v>5007.508617129457</v>
      </c>
      <c r="E4" s="27">
        <f>IncState!E19</f>
        <v>3519.9966475799374</v>
      </c>
      <c r="F4" s="4">
        <f>IncState!F19</f>
        <v>3627.1885711091236</v>
      </c>
      <c r="G4" s="4">
        <f>IncState!G19</f>
        <v>3906.4718912895623</v>
      </c>
      <c r="H4" s="4">
        <f>IncState!H19</f>
        <v>4190.6296014237087</v>
      </c>
      <c r="I4" s="4">
        <f>IncState!I19</f>
        <v>5081.797164772579</v>
      </c>
      <c r="J4" s="4">
        <f>IncState!J19</f>
        <v>6151.8349362309818</v>
      </c>
      <c r="K4" s="4">
        <f>IncState!K19</f>
        <v>7449.0571109486045</v>
      </c>
      <c r="L4" s="4">
        <f>IncState!L19</f>
        <v>8813.0391962792055</v>
      </c>
    </row>
    <row r="5" spans="1:12" x14ac:dyDescent="0.2">
      <c r="B5" s="29" t="s">
        <v>94</v>
      </c>
      <c r="C5" s="42">
        <f>Assumptions!C16</f>
        <v>0.23592781800117338</v>
      </c>
      <c r="D5" s="42">
        <f>Assumptions!D16</f>
        <v>0.281407829522827</v>
      </c>
      <c r="E5" s="43">
        <f>Assumptions!E16</f>
        <v>0.30787491305051778</v>
      </c>
      <c r="F5" s="42">
        <f>Assumptions!F16</f>
        <v>0.19</v>
      </c>
      <c r="G5" s="42">
        <f>Assumptions!G16</f>
        <v>0.2</v>
      </c>
      <c r="H5" s="42">
        <f>Assumptions!H16</f>
        <v>0.21000000000000002</v>
      </c>
      <c r="I5" s="42">
        <f>Assumptions!I16</f>
        <v>0.22000000000000003</v>
      </c>
      <c r="J5" s="42">
        <f>Assumptions!J16</f>
        <v>0.22000000000000003</v>
      </c>
      <c r="K5" s="42">
        <f>Assumptions!K16</f>
        <v>0.22000000000000003</v>
      </c>
      <c r="L5" s="42">
        <f>Assumptions!L16</f>
        <v>0.22000000000000003</v>
      </c>
    </row>
    <row r="6" spans="1:12" x14ac:dyDescent="0.2">
      <c r="C6" s="5"/>
      <c r="D6" s="5"/>
      <c r="E6" s="23"/>
      <c r="F6" s="5"/>
      <c r="G6" s="5"/>
      <c r="H6" s="5"/>
      <c r="I6" s="5"/>
      <c r="J6" s="5"/>
      <c r="K6" s="5"/>
      <c r="L6" s="5"/>
    </row>
    <row r="7" spans="1:12" x14ac:dyDescent="0.2">
      <c r="A7" s="24" t="s">
        <v>126</v>
      </c>
      <c r="B7" s="21" t="s">
        <v>90</v>
      </c>
      <c r="C7" s="132">
        <f t="shared" ref="C7:E7" si="3">C4*(1-C5)</f>
        <v>4204.7985602698627</v>
      </c>
      <c r="D7" s="132">
        <f t="shared" si="3"/>
        <v>3598.3564858662035</v>
      </c>
      <c r="E7" s="132">
        <f t="shared" si="3"/>
        <v>2436.2779857681498</v>
      </c>
      <c r="F7" s="132">
        <f t="shared" ref="F7" si="4">F4*(1-F5)</f>
        <v>2938.0227425983903</v>
      </c>
      <c r="G7" s="132">
        <f t="shared" ref="G7:L7" si="5">G4*(1-G5)</f>
        <v>3125.1775130316501</v>
      </c>
      <c r="H7" s="132">
        <f t="shared" si="5"/>
        <v>3310.59738512473</v>
      </c>
      <c r="I7" s="132">
        <f t="shared" si="5"/>
        <v>3963.8017885226118</v>
      </c>
      <c r="J7" s="132">
        <f t="shared" si="5"/>
        <v>4798.4312502601661</v>
      </c>
      <c r="K7" s="132">
        <f t="shared" si="5"/>
        <v>5810.2645465399119</v>
      </c>
      <c r="L7" s="283">
        <f t="shared" si="5"/>
        <v>6874.1705730977801</v>
      </c>
    </row>
    <row r="8" spans="1:12" x14ac:dyDescent="0.2">
      <c r="B8" s="4" t="s">
        <v>15</v>
      </c>
      <c r="C8" s="117"/>
      <c r="D8" s="117"/>
      <c r="E8" s="118"/>
      <c r="F8" s="133">
        <f>CashFlow!F4</f>
        <v>1718.6238612125546</v>
      </c>
      <c r="G8" s="133">
        <f>CashFlow!G4</f>
        <v>1831.7602291402895</v>
      </c>
      <c r="H8" s="133">
        <f>CashFlow!H4</f>
        <v>1954.5775424740134</v>
      </c>
      <c r="I8" s="133">
        <f>CashFlow!I4</f>
        <v>2091.4907727836217</v>
      </c>
      <c r="J8" s="133">
        <f>CashFlow!J4</f>
        <v>2246.8154099179555</v>
      </c>
      <c r="K8" s="133">
        <f>CashFlow!K4</f>
        <v>2425.5968411115828</v>
      </c>
      <c r="L8" s="133">
        <f>CashFlow!L4</f>
        <v>2633.8518715496671</v>
      </c>
    </row>
    <row r="9" spans="1:12" x14ac:dyDescent="0.2">
      <c r="B9" s="4" t="s">
        <v>54</v>
      </c>
      <c r="C9" s="5"/>
      <c r="D9" s="5"/>
      <c r="E9" s="23"/>
      <c r="F9" s="134">
        <f>CashFlow!F5</f>
        <v>0</v>
      </c>
      <c r="G9" s="134">
        <f>CashFlow!G5</f>
        <v>0</v>
      </c>
      <c r="H9" s="134">
        <f>CashFlow!H5</f>
        <v>0</v>
      </c>
      <c r="I9" s="134">
        <f>CashFlow!I5</f>
        <v>0</v>
      </c>
      <c r="J9" s="134">
        <f>CashFlow!J5</f>
        <v>0</v>
      </c>
      <c r="K9" s="134">
        <f>CashFlow!K5</f>
        <v>0</v>
      </c>
      <c r="L9" s="134">
        <f>CashFlow!L5</f>
        <v>0</v>
      </c>
    </row>
    <row r="10" spans="1:12" x14ac:dyDescent="0.2">
      <c r="B10" s="4" t="s">
        <v>91</v>
      </c>
      <c r="C10" s="5"/>
      <c r="D10" s="5"/>
      <c r="E10" s="23"/>
      <c r="F10" s="134">
        <f>CashFlow!F6</f>
        <v>107.17053991946432</v>
      </c>
      <c r="G10" s="134">
        <f>CashFlow!G6</f>
        <v>217.08694422367171</v>
      </c>
      <c r="H10" s="134">
        <f>CashFlow!H6</f>
        <v>279.44484512617964</v>
      </c>
      <c r="I10" s="134">
        <f>CashFlow!I6</f>
        <v>343.48744128230101</v>
      </c>
      <c r="J10" s="134">
        <f>CashFlow!J6</f>
        <v>419.29602230006003</v>
      </c>
      <c r="K10" s="134">
        <f>CashFlow!K6</f>
        <v>510.10161231510301</v>
      </c>
      <c r="L10" s="134">
        <f>CashFlow!L6</f>
        <v>619.98887058774835</v>
      </c>
    </row>
    <row r="11" spans="1:12" x14ac:dyDescent="0.2">
      <c r="B11" s="4" t="s">
        <v>165</v>
      </c>
      <c r="C11" s="5"/>
      <c r="D11" s="5"/>
      <c r="E11" s="23"/>
      <c r="F11" s="134">
        <f>CashFlow!F7</f>
        <v>-72.624728527269326</v>
      </c>
      <c r="G11" s="134">
        <f>CashFlow!G7</f>
        <v>-147.11604666407129</v>
      </c>
      <c r="H11" s="134">
        <f>CashFlow!H7</f>
        <v>-189.37491161725075</v>
      </c>
      <c r="I11" s="134">
        <f>CashFlow!I7</f>
        <v>-232.77546524467243</v>
      </c>
      <c r="J11" s="134">
        <f>CashFlow!J7</f>
        <v>-284.14962218639494</v>
      </c>
      <c r="K11" s="134">
        <f>CashFlow!K7</f>
        <v>-345.68699130725236</v>
      </c>
      <c r="L11" s="134">
        <f>CashFlow!L7</f>
        <v>-420.15567515020575</v>
      </c>
    </row>
    <row r="12" spans="1:12" x14ac:dyDescent="0.2">
      <c r="B12" s="4" t="s">
        <v>166</v>
      </c>
      <c r="E12" s="27"/>
      <c r="F12" s="134">
        <f>CashFlow!F8</f>
        <v>468.93327459605098</v>
      </c>
      <c r="G12" s="134">
        <f>CashFlow!G8</f>
        <v>949.91900013650411</v>
      </c>
      <c r="H12" s="134">
        <f>CashFlow!H8</f>
        <v>1222.7818159440212</v>
      </c>
      <c r="I12" s="134">
        <f>CashFlow!I8</f>
        <v>1503.0164432465681</v>
      </c>
      <c r="J12" s="134">
        <f>CashFlow!J8</f>
        <v>1834.7361223810367</v>
      </c>
      <c r="K12" s="134">
        <f>CashFlow!K8</f>
        <v>2232.07901917458</v>
      </c>
      <c r="L12" s="134">
        <f>CashFlow!L8</f>
        <v>2712.9185965125107</v>
      </c>
    </row>
    <row r="13" spans="1:12" x14ac:dyDescent="0.2">
      <c r="B13" s="4" t="s">
        <v>92</v>
      </c>
      <c r="E13" s="27"/>
      <c r="F13" s="130">
        <f>CashFlow!F12</f>
        <v>-2900.3775782215707</v>
      </c>
      <c r="G13" s="130">
        <f>CashFlow!G12</f>
        <v>-3114.6352162345893</v>
      </c>
      <c r="H13" s="130">
        <f>CashFlow!H12</f>
        <v>-3384.6899085474779</v>
      </c>
      <c r="I13" s="130">
        <f>CashFlow!I12</f>
        <v>-3713.9175011528755</v>
      </c>
      <c r="J13" s="130">
        <f>CashFlow!J12</f>
        <v>-4114.2575482426628</v>
      </c>
      <c r="K13" s="130">
        <f>CashFlow!K12</f>
        <v>-4600.902278380262</v>
      </c>
      <c r="L13" s="130">
        <f>CashFlow!L12</f>
        <v>-5193.2042298296883</v>
      </c>
    </row>
    <row r="14" spans="1:12" x14ac:dyDescent="0.2">
      <c r="E14" s="61"/>
      <c r="F14" s="135"/>
      <c r="G14" s="135"/>
      <c r="H14" s="135"/>
      <c r="I14" s="135"/>
      <c r="J14" s="135"/>
      <c r="K14" s="135"/>
      <c r="L14" s="135"/>
    </row>
    <row r="15" spans="1:12" s="11" customFormat="1" x14ac:dyDescent="0.2">
      <c r="A15" s="24" t="s">
        <v>126</v>
      </c>
      <c r="B15" s="33" t="s">
        <v>93</v>
      </c>
      <c r="C15" s="33"/>
      <c r="D15" s="33"/>
      <c r="E15" s="33"/>
      <c r="F15" s="33">
        <f>SUM(F7:F13)</f>
        <v>2259.74811157762</v>
      </c>
      <c r="G15" s="33">
        <f t="shared" ref="G15:L15" si="6">SUM(G7:G13)</f>
        <v>2862.1924236334553</v>
      </c>
      <c r="H15" s="33">
        <f t="shared" si="6"/>
        <v>3193.3367685042158</v>
      </c>
      <c r="I15" s="33">
        <f t="shared" si="6"/>
        <v>3955.1034794375551</v>
      </c>
      <c r="J15" s="33">
        <f t="shared" si="6"/>
        <v>4900.8716344301602</v>
      </c>
      <c r="K15" s="33">
        <f t="shared" si="6"/>
        <v>6031.4527494536624</v>
      </c>
      <c r="L15" s="284">
        <f t="shared" si="6"/>
        <v>7227.5700067678108</v>
      </c>
    </row>
    <row r="16" spans="1:12" x14ac:dyDescent="0.2">
      <c r="B16" s="64"/>
      <c r="C16" s="64"/>
      <c r="D16" s="64"/>
      <c r="E16" s="64"/>
      <c r="F16" s="64"/>
      <c r="G16" s="64"/>
      <c r="H16" s="64"/>
      <c r="I16" s="82"/>
      <c r="J16" s="82"/>
      <c r="K16" s="82"/>
      <c r="L16" s="82"/>
    </row>
    <row r="17" spans="1:12" s="286" customFormat="1" x14ac:dyDescent="0.2">
      <c r="A17" s="285"/>
      <c r="B17" s="286" t="s">
        <v>238</v>
      </c>
      <c r="C17" s="287">
        <f>SUM(BalSheet!C17,BalSheet!C19:C21,BalSheet!C24:C27)</f>
        <v>25879.518862104731</v>
      </c>
      <c r="D17" s="287">
        <f>SUM(BalSheet!D17,BalSheet!D19:D21,BalSheet!D24:D27)</f>
        <v>26617.52417234259</v>
      </c>
      <c r="E17" s="287">
        <f>SUM(BalSheet!E17,BalSheet!E19:E21,BalSheet!E24:E27)</f>
        <v>28795.5759329516</v>
      </c>
      <c r="F17" s="287">
        <f>SUM(BalSheet!F17,BalSheet!F19:F21,BalSheet!F24:F27)</f>
        <v>30181.078231894764</v>
      </c>
      <c r="G17" s="287">
        <f>SUM(BalSheet!G17,BalSheet!G19:G21,BalSheet!G24:G27)</f>
        <v>31876.681627381426</v>
      </c>
      <c r="H17" s="287">
        <f>SUM(BalSheet!H17,BalSheet!H19:H21,BalSheet!H24:H27)</f>
        <v>33838.078021496411</v>
      </c>
      <c r="I17" s="287">
        <f>SUM(BalSheet!I17,BalSheet!I19:I21,BalSheet!I24:I27)</f>
        <v>36113.547361203637</v>
      </c>
      <c r="J17" s="287">
        <f>SUM(BalSheet!J17,BalSheet!J19:J21,BalSheet!J24:J27)</f>
        <v>38778.160331463994</v>
      </c>
      <c r="K17" s="287">
        <f>SUM(BalSheet!K17,BalSheet!K19:K21,BalSheet!K24:K27)</f>
        <v>41923.277321988811</v>
      </c>
      <c r="L17" s="287">
        <f>SUM(BalSheet!L17,BalSheet!L19:L21,BalSheet!L24:L27)</f>
        <v>45661.36026074543</v>
      </c>
    </row>
    <row r="18" spans="1:12" s="286" customFormat="1" x14ac:dyDescent="0.2">
      <c r="A18" s="285"/>
      <c r="B18" s="286" t="s">
        <v>239</v>
      </c>
      <c r="C18" s="286">
        <f>SUM(BalSheet!C33:C34)</f>
        <v>7227.8</v>
      </c>
      <c r="D18" s="286">
        <f>SUM(BalSheet!D33:D34)</f>
        <v>7526.7</v>
      </c>
      <c r="E18" s="286">
        <f>SUM(BalSheet!E33:E34)</f>
        <v>7821.1</v>
      </c>
      <c r="F18" s="286">
        <f>SUM(BalSheet!F33:F34)</f>
        <v>8059.3943933263454</v>
      </c>
      <c r="G18" s="286">
        <f>SUM(BalSheet!G33:G34)</f>
        <v>8542.0936992783063</v>
      </c>
      <c r="H18" s="286">
        <f>SUM(BalSheet!H33:H34)</f>
        <v>9163.447660828755</v>
      </c>
      <c r="I18" s="286">
        <f>SUM(BalSheet!I33:I34)</f>
        <v>9927.2022482043612</v>
      </c>
      <c r="J18" s="286">
        <f>SUM(BalSheet!J33:J34)</f>
        <v>10859.519480253675</v>
      </c>
      <c r="K18" s="286">
        <f>SUM(BalSheet!K33:K34)</f>
        <v>11993.745654517668</v>
      </c>
      <c r="L18" s="286">
        <f>SUM(BalSheet!L33:L34)</f>
        <v>13372.309430431804</v>
      </c>
    </row>
    <row r="19" spans="1:12" s="286" customFormat="1" x14ac:dyDescent="0.2">
      <c r="A19" s="285"/>
      <c r="B19" s="286" t="s">
        <v>240</v>
      </c>
      <c r="C19" s="286">
        <f>C17-C18</f>
        <v>18651.718862104732</v>
      </c>
      <c r="D19" s="286">
        <f t="shared" ref="D19:L19" si="7">D17-D18</f>
        <v>19090.824172342589</v>
      </c>
      <c r="E19" s="286">
        <f t="shared" si="7"/>
        <v>20974.475932951602</v>
      </c>
      <c r="F19" s="286">
        <f t="shared" si="7"/>
        <v>22121.683838568417</v>
      </c>
      <c r="G19" s="286">
        <f t="shared" si="7"/>
        <v>23334.587928103119</v>
      </c>
      <c r="H19" s="286">
        <f t="shared" si="7"/>
        <v>24674.630360667656</v>
      </c>
      <c r="I19" s="286">
        <f t="shared" si="7"/>
        <v>26186.345112999275</v>
      </c>
      <c r="J19" s="286">
        <f t="shared" si="7"/>
        <v>27918.640851210319</v>
      </c>
      <c r="K19" s="286">
        <f t="shared" si="7"/>
        <v>29929.531667471143</v>
      </c>
      <c r="L19" s="286">
        <f t="shared" si="7"/>
        <v>32289.050830313627</v>
      </c>
    </row>
    <row r="20" spans="1:12" s="187" customFormat="1" x14ac:dyDescent="0.2">
      <c r="A20" s="288"/>
      <c r="B20" s="187" t="s">
        <v>241</v>
      </c>
      <c r="C20" s="289">
        <f>C7/C19</f>
        <v>0.22543759057042623</v>
      </c>
      <c r="D20" s="289">
        <f t="shared" ref="D20:L20" si="8">D7/D19</f>
        <v>0.18848617814411822</v>
      </c>
      <c r="E20" s="289">
        <f t="shared" si="8"/>
        <v>0.1161544151832979</v>
      </c>
      <c r="F20" s="289">
        <f t="shared" si="8"/>
        <v>0.13281189461156867</v>
      </c>
      <c r="G20" s="289">
        <f t="shared" si="8"/>
        <v>0.1339289779901289</v>
      </c>
      <c r="H20" s="289">
        <f t="shared" si="8"/>
        <v>0.13417009036139216</v>
      </c>
      <c r="I20" s="289">
        <f t="shared" si="8"/>
        <v>0.15136903494619125</v>
      </c>
      <c r="J20" s="289">
        <f t="shared" si="8"/>
        <v>0.17187195020821175</v>
      </c>
      <c r="K20" s="289">
        <f t="shared" si="8"/>
        <v>0.19413148896194682</v>
      </c>
      <c r="L20" s="289">
        <f t="shared" si="8"/>
        <v>0.21289478619929475</v>
      </c>
    </row>
    <row r="28" spans="1:12" x14ac:dyDescent="0.2">
      <c r="C28" s="5"/>
      <c r="D28" s="5"/>
      <c r="E28" s="5"/>
      <c r="F28" s="5"/>
      <c r="G28" s="5"/>
      <c r="H28" s="5"/>
    </row>
    <row r="29" spans="1:12" x14ac:dyDescent="0.2">
      <c r="C29" s="5"/>
      <c r="D29" s="5"/>
      <c r="E29" s="5"/>
      <c r="F29" s="5"/>
      <c r="G29" s="5"/>
      <c r="H29" s="5"/>
    </row>
    <row r="30" spans="1:12" x14ac:dyDescent="0.2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3" sqref="E13"/>
    </sheetView>
  </sheetViews>
  <sheetFormatPr baseColWidth="10" defaultColWidth="9" defaultRowHeight="15" x14ac:dyDescent="0.2"/>
  <cols>
    <col min="1" max="1" width="2.6640625" style="4" customWidth="1"/>
    <col min="2" max="3" width="9" style="4"/>
    <col min="4" max="4" width="11" style="4" customWidth="1"/>
    <col min="5" max="5" width="8.1640625" style="4" customWidth="1"/>
    <col min="6" max="7" width="9" style="4"/>
    <col min="8" max="8" width="12.33203125" style="4" customWidth="1"/>
    <col min="9" max="9" width="10.1640625" style="4" customWidth="1"/>
    <col min="10" max="10" width="14.33203125" style="4" bestFit="1" customWidth="1"/>
    <col min="11" max="11" width="11.5" style="4" customWidth="1"/>
    <col min="12" max="12" width="13" style="4" customWidth="1"/>
    <col min="13" max="13" width="15" style="4" bestFit="1" customWidth="1"/>
    <col min="14" max="16384" width="9" style="4"/>
  </cols>
  <sheetData>
    <row r="1" spans="1:13" ht="20" x14ac:dyDescent="0.25">
      <c r="A1" s="232" t="str">
        <f>CoName</f>
        <v>Starbucks Corp.</v>
      </c>
    </row>
    <row r="2" spans="1:13" x14ac:dyDescent="0.2">
      <c r="G2" s="145"/>
    </row>
    <row r="3" spans="1:13" x14ac:dyDescent="0.2">
      <c r="A3" s="27" t="s">
        <v>126</v>
      </c>
      <c r="B3" s="160" t="s">
        <v>102</v>
      </c>
      <c r="C3" s="161"/>
      <c r="D3" s="161"/>
      <c r="E3" s="162"/>
      <c r="F3" s="11"/>
      <c r="G3" s="75" t="s">
        <v>110</v>
      </c>
      <c r="H3" s="75" t="s">
        <v>105</v>
      </c>
      <c r="I3" s="75" t="s">
        <v>106</v>
      </c>
      <c r="J3" s="75" t="s">
        <v>107</v>
      </c>
      <c r="K3" s="75" t="s">
        <v>108</v>
      </c>
      <c r="L3" s="75" t="s">
        <v>113</v>
      </c>
      <c r="M3" s="75" t="s">
        <v>109</v>
      </c>
    </row>
    <row r="4" spans="1:13" x14ac:dyDescent="0.2">
      <c r="A4" s="27"/>
      <c r="B4" s="235" t="s">
        <v>167</v>
      </c>
      <c r="C4" s="65"/>
      <c r="D4" s="70"/>
      <c r="E4" s="236">
        <f>Assumptions!F16</f>
        <v>0.19</v>
      </c>
      <c r="G4" s="137"/>
      <c r="H4" s="138"/>
      <c r="I4" s="78"/>
      <c r="J4" s="79"/>
      <c r="K4" s="140"/>
      <c r="L4" s="151">
        <f>E4</f>
        <v>0.19</v>
      </c>
      <c r="M4" s="141">
        <f>H4/((1+K4*(1-L4)))</f>
        <v>0</v>
      </c>
    </row>
    <row r="5" spans="1:13" x14ac:dyDescent="0.2">
      <c r="A5" s="27"/>
      <c r="B5" s="65" t="s">
        <v>95</v>
      </c>
      <c r="C5" s="65"/>
      <c r="D5" s="70"/>
      <c r="E5" s="136">
        <v>4.1000000000000002E-2</v>
      </c>
      <c r="G5" s="137"/>
      <c r="H5" s="138"/>
      <c r="I5" s="78"/>
      <c r="J5" s="79"/>
      <c r="K5" s="140"/>
      <c r="L5" s="151">
        <f>L4</f>
        <v>0.19</v>
      </c>
      <c r="M5" s="141">
        <f t="shared" ref="M5:M7" si="0">H5/((1+K5*(1-L5)))</f>
        <v>0</v>
      </c>
    </row>
    <row r="6" spans="1:13" x14ac:dyDescent="0.2">
      <c r="A6" s="27"/>
      <c r="B6" s="65" t="s">
        <v>96</v>
      </c>
      <c r="C6" s="65"/>
      <c r="D6" s="70"/>
      <c r="E6" s="136">
        <v>0.05</v>
      </c>
      <c r="G6" s="137"/>
      <c r="H6" s="139"/>
      <c r="I6" s="80"/>
      <c r="J6" s="79"/>
      <c r="K6" s="140"/>
      <c r="L6" s="151">
        <f t="shared" ref="L6:L7" si="1">L5</f>
        <v>0.19</v>
      </c>
      <c r="M6" s="141">
        <f t="shared" si="0"/>
        <v>0</v>
      </c>
    </row>
    <row r="7" spans="1:13" x14ac:dyDescent="0.2">
      <c r="A7" s="27"/>
      <c r="B7" s="65" t="s">
        <v>97</v>
      </c>
      <c r="C7" s="65"/>
      <c r="D7" s="70"/>
      <c r="E7" s="199">
        <f>0.98*0.66</f>
        <v>0.64680000000000004</v>
      </c>
      <c r="G7" s="137"/>
      <c r="H7" s="139"/>
      <c r="I7" s="80"/>
      <c r="J7" s="81"/>
      <c r="K7" s="140"/>
      <c r="L7" s="151">
        <f t="shared" si="1"/>
        <v>0.19</v>
      </c>
      <c r="M7" s="141">
        <f t="shared" si="0"/>
        <v>0</v>
      </c>
    </row>
    <row r="8" spans="1:13" x14ac:dyDescent="0.2">
      <c r="A8" s="27"/>
      <c r="B8" s="65" t="s">
        <v>98</v>
      </c>
      <c r="C8" s="65"/>
      <c r="D8" s="70"/>
      <c r="E8" s="136">
        <f>E5+E6*E7</f>
        <v>7.3340000000000002E-2</v>
      </c>
      <c r="L8" s="64"/>
    </row>
    <row r="9" spans="1:13" x14ac:dyDescent="0.2">
      <c r="A9" s="27"/>
      <c r="B9" s="66" t="s">
        <v>99</v>
      </c>
      <c r="C9" s="66"/>
      <c r="D9" s="71"/>
      <c r="E9" s="142">
        <f>1-E10</f>
        <v>0.75603092452376031</v>
      </c>
      <c r="G9" s="4" t="s">
        <v>111</v>
      </c>
      <c r="L9" s="27"/>
      <c r="M9" s="198">
        <f>AVERAGE(M4:M7)</f>
        <v>0</v>
      </c>
    </row>
    <row r="10" spans="1:13" x14ac:dyDescent="0.2">
      <c r="A10" s="27"/>
      <c r="B10" s="67" t="s">
        <v>100</v>
      </c>
      <c r="C10" s="67"/>
      <c r="D10" s="72"/>
      <c r="E10" s="143">
        <f>MAIN!F8/MAIN!F6</f>
        <v>0.24396907547623967</v>
      </c>
      <c r="M10" s="64"/>
    </row>
    <row r="11" spans="1:13" x14ac:dyDescent="0.2">
      <c r="A11" s="27"/>
      <c r="B11" s="159" t="s">
        <v>178</v>
      </c>
      <c r="C11" s="68"/>
      <c r="D11" s="73"/>
      <c r="E11" s="144">
        <f>Assumptions!F24</f>
        <v>3.8100000000000002E-2</v>
      </c>
      <c r="G11" s="4" t="s">
        <v>112</v>
      </c>
      <c r="L11" s="27"/>
      <c r="M11" s="198">
        <f>M9*(1+E10*(1-E4))</f>
        <v>0</v>
      </c>
    </row>
    <row r="12" spans="1:13" x14ac:dyDescent="0.2">
      <c r="A12" s="27"/>
      <c r="B12" s="69" t="s">
        <v>101</v>
      </c>
      <c r="C12" s="69"/>
      <c r="D12" s="74"/>
      <c r="E12" s="144">
        <f>E11*(1-E4)</f>
        <v>3.0861000000000003E-2</v>
      </c>
      <c r="M12" s="64"/>
    </row>
    <row r="13" spans="1:13" s="11" customFormat="1" x14ac:dyDescent="0.2">
      <c r="A13" s="24" t="s">
        <v>126</v>
      </c>
      <c r="B13" s="160" t="s">
        <v>102</v>
      </c>
      <c r="C13" s="161"/>
      <c r="D13" s="162"/>
      <c r="E13" s="156">
        <f>WACC!E8*WACC!E9+WACC!E12*WACC!E10</f>
        <v>6.2976437642844815E-2</v>
      </c>
      <c r="F13" s="4"/>
    </row>
    <row r="14" spans="1:13" s="11" customFormat="1" x14ac:dyDescent="0.2">
      <c r="A14" s="24"/>
      <c r="B14" s="75" t="s">
        <v>103</v>
      </c>
      <c r="C14" s="75"/>
      <c r="D14" s="112"/>
      <c r="E14" s="146">
        <v>2.5000000000000001E-2</v>
      </c>
      <c r="F14" s="4"/>
    </row>
    <row r="15" spans="1:13" x14ac:dyDescent="0.2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abSelected="1" zoomScale="133" zoomScaleNormal="100" workbookViewId="0">
      <selection activeCell="D3" sqref="D3"/>
    </sheetView>
  </sheetViews>
  <sheetFormatPr baseColWidth="10" defaultColWidth="9" defaultRowHeight="15" x14ac:dyDescent="0.2"/>
  <cols>
    <col min="1" max="1" width="2" style="4" customWidth="1"/>
    <col min="2" max="2" width="22.33203125" style="4" bestFit="1" customWidth="1"/>
    <col min="3" max="12" width="11.6640625" style="4" customWidth="1"/>
    <col min="13" max="16384" width="9" style="4"/>
  </cols>
  <sheetData>
    <row r="1" spans="1:14" ht="20" x14ac:dyDescent="0.25">
      <c r="A1" s="232" t="str">
        <f>CoName</f>
        <v>Starbucks Corp.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  <c r="M1" s="40"/>
    </row>
    <row r="2" spans="1:14" x14ac:dyDescent="0.2">
      <c r="A2" s="75" t="s">
        <v>114</v>
      </c>
      <c r="B2" s="19"/>
      <c r="C2" s="41"/>
      <c r="D2" s="75">
        <v>0.5</v>
      </c>
      <c r="E2" s="75">
        <f>D2+1</f>
        <v>1.5</v>
      </c>
      <c r="F2" s="75">
        <f t="shared" ref="F2:H2" si="0">E2+1</f>
        <v>2.5</v>
      </c>
      <c r="G2" s="75">
        <f t="shared" si="0"/>
        <v>3.5</v>
      </c>
      <c r="H2" s="75">
        <f t="shared" si="0"/>
        <v>4.5</v>
      </c>
      <c r="I2" s="75">
        <f t="shared" ref="I2" si="1">H2+1</f>
        <v>5.5</v>
      </c>
      <c r="J2" s="75">
        <f t="shared" ref="J2" si="2">I2+1</f>
        <v>6.5</v>
      </c>
      <c r="K2" s="157"/>
      <c r="L2" s="157"/>
      <c r="M2" s="157"/>
      <c r="N2" s="157"/>
    </row>
    <row r="3" spans="1:14" x14ac:dyDescent="0.2">
      <c r="B3" s="4" t="s">
        <v>182</v>
      </c>
      <c r="D3" s="8">
        <f>1/(1+$K$6)^D2</f>
        <v>0.96992506154867331</v>
      </c>
      <c r="E3" s="8">
        <f t="shared" ref="E3:J3" si="3">1/(1+$K$6)^E2</f>
        <v>0.91246148757491441</v>
      </c>
      <c r="F3" s="8">
        <f t="shared" si="3"/>
        <v>0.85840236458891028</v>
      </c>
      <c r="G3" s="8">
        <f t="shared" si="3"/>
        <v>0.80754599461529131</v>
      </c>
      <c r="H3" s="8">
        <f t="shared" si="3"/>
        <v>0.75970262935087096</v>
      </c>
      <c r="I3" s="8">
        <f t="shared" si="3"/>
        <v>0.71469376220183689</v>
      </c>
      <c r="J3" s="8">
        <f t="shared" si="3"/>
        <v>0.67235146226446341</v>
      </c>
      <c r="K3" s="8"/>
    </row>
    <row r="4" spans="1:14" x14ac:dyDescent="0.2">
      <c r="B4" s="4" t="s">
        <v>183</v>
      </c>
      <c r="D4" s="4">
        <f>D3*'Free Cash Flow'!F15</f>
        <v>2191.7863262064211</v>
      </c>
      <c r="E4" s="4">
        <f>E3*'Free Cash Flow'!G15</f>
        <v>2611.6403565942323</v>
      </c>
      <c r="F4" s="4">
        <f>F3*'Free Cash Flow'!H15</f>
        <v>2741.1678330127284</v>
      </c>
      <c r="G4" s="4">
        <f>G3*'Free Cash Flow'!I15</f>
        <v>3193.9279731088</v>
      </c>
      <c r="H4" s="4">
        <f>H3*'Free Cash Flow'!J15</f>
        <v>3723.2050667876933</v>
      </c>
      <c r="I4" s="4">
        <f>I3*'Free Cash Flow'!K15</f>
        <v>4310.6416570496513</v>
      </c>
      <c r="J4" s="4">
        <f>J3*'Free Cash Flow'!L15</f>
        <v>4859.4672626691154</v>
      </c>
    </row>
    <row r="5" spans="1:14" x14ac:dyDescent="0.2">
      <c r="G5" s="145"/>
      <c r="J5" s="4">
        <f>(J4*(1+K7))/(K6-K7)</f>
        <v>131159.06212899645</v>
      </c>
    </row>
    <row r="6" spans="1:14" x14ac:dyDescent="0.2">
      <c r="A6" s="75" t="s">
        <v>115</v>
      </c>
      <c r="B6" s="19"/>
      <c r="C6" s="41"/>
      <c r="D6" s="84"/>
      <c r="E6" s="75" t="s">
        <v>171</v>
      </c>
      <c r="F6" s="19"/>
      <c r="G6" s="41"/>
      <c r="I6" s="160" t="s">
        <v>102</v>
      </c>
      <c r="J6" s="161"/>
      <c r="K6" s="156">
        <f>WACC!E13</f>
        <v>6.2976437642844815E-2</v>
      </c>
    </row>
    <row r="7" spans="1:14" x14ac:dyDescent="0.2">
      <c r="B7" s="4" t="s">
        <v>116</v>
      </c>
      <c r="C7" s="4">
        <f>SUM(D4:J4)</f>
        <v>23631.836475428645</v>
      </c>
      <c r="E7" s="4" t="s">
        <v>116</v>
      </c>
      <c r="G7" s="4">
        <f>C7</f>
        <v>23631.836475428645</v>
      </c>
      <c r="I7" s="75" t="s">
        <v>103</v>
      </c>
      <c r="J7" s="75"/>
      <c r="K7" s="146">
        <v>2.5000000000000001E-2</v>
      </c>
    </row>
    <row r="8" spans="1:14" x14ac:dyDescent="0.2">
      <c r="B8" s="4" t="s">
        <v>117</v>
      </c>
      <c r="C8" s="4">
        <f>J5*J3</f>
        <v>88184.987211666361</v>
      </c>
      <c r="E8" s="4" t="s">
        <v>172</v>
      </c>
      <c r="G8" s="4">
        <f>G10*J3*IncState!L23</f>
        <v>115445.0092175515</v>
      </c>
    </row>
    <row r="9" spans="1:14" x14ac:dyDescent="0.2">
      <c r="B9" s="4" t="s">
        <v>118</v>
      </c>
      <c r="C9" s="4">
        <f>SUM(C7:C8)</f>
        <v>111816.82368709501</v>
      </c>
      <c r="E9" s="4" t="s">
        <v>118</v>
      </c>
      <c r="G9" s="4">
        <f>SUM(G7:G8)</f>
        <v>139076.84569298016</v>
      </c>
    </row>
    <row r="10" spans="1:14" x14ac:dyDescent="0.2">
      <c r="C10" s="83"/>
      <c r="E10" s="4" t="s">
        <v>119</v>
      </c>
      <c r="G10" s="83">
        <v>15</v>
      </c>
    </row>
    <row r="11" spans="1:14" x14ac:dyDescent="0.2">
      <c r="I11" s="157"/>
    </row>
    <row r="12" spans="1:14" x14ac:dyDescent="0.2">
      <c r="B12" s="27" t="s">
        <v>120</v>
      </c>
      <c r="C12" s="36">
        <f>MAIN!F7</f>
        <v>4505.9000000000005</v>
      </c>
      <c r="E12" s="27" t="s">
        <v>120</v>
      </c>
      <c r="F12" s="154"/>
      <c r="G12" s="36">
        <f>C12</f>
        <v>4505.9000000000005</v>
      </c>
      <c r="I12" s="157"/>
    </row>
    <row r="13" spans="1:14" x14ac:dyDescent="0.2">
      <c r="B13" s="27" t="s">
        <v>121</v>
      </c>
      <c r="C13" s="36">
        <f>MAIN!F8</f>
        <v>23641.5</v>
      </c>
      <c r="E13" s="27" t="s">
        <v>121</v>
      </c>
      <c r="F13" s="154"/>
      <c r="G13" s="36">
        <f t="shared" ref="G13:G14" si="4">C13</f>
        <v>23641.5</v>
      </c>
    </row>
    <row r="14" spans="1:14" x14ac:dyDescent="0.2">
      <c r="B14" s="27" t="s">
        <v>122</v>
      </c>
      <c r="C14" s="77">
        <v>0</v>
      </c>
      <c r="E14" s="4" t="s">
        <v>122</v>
      </c>
      <c r="F14" s="27"/>
      <c r="G14" s="36">
        <f t="shared" si="4"/>
        <v>0</v>
      </c>
      <c r="I14" s="4" t="s">
        <v>236</v>
      </c>
      <c r="K14" s="4">
        <f>IncState!L36</f>
        <v>3855.9028601325435</v>
      </c>
    </row>
    <row r="15" spans="1:14" x14ac:dyDescent="0.2">
      <c r="B15" s="4" t="s">
        <v>123</v>
      </c>
      <c r="C15" s="64">
        <f>C9+C12-C13-C14</f>
        <v>92681.223687095</v>
      </c>
      <c r="E15" s="4" t="s">
        <v>123</v>
      </c>
      <c r="G15" s="64">
        <f>G9+G12-G13-G14</f>
        <v>119941.24569298016</v>
      </c>
      <c r="I15" s="4" t="s">
        <v>237</v>
      </c>
      <c r="K15" s="4">
        <f>K14/(K6-K7)</f>
        <v>101534.0853293289</v>
      </c>
    </row>
    <row r="17" spans="1:17" x14ac:dyDescent="0.2">
      <c r="B17" s="4" t="s">
        <v>124</v>
      </c>
      <c r="C17" s="4">
        <f>MAIN!F5</f>
        <v>1136.7</v>
      </c>
      <c r="E17" s="4" t="s">
        <v>124</v>
      </c>
      <c r="G17" s="4">
        <f>C17</f>
        <v>1136.7</v>
      </c>
      <c r="I17" s="4" t="s">
        <v>124</v>
      </c>
      <c r="K17" s="4">
        <v>1136.7</v>
      </c>
    </row>
    <row r="18" spans="1:17" x14ac:dyDescent="0.2">
      <c r="A18" s="4" t="s">
        <v>126</v>
      </c>
      <c r="B18" s="147" t="s">
        <v>125</v>
      </c>
      <c r="C18" s="155">
        <f>C15/C17</f>
        <v>81.535342383298143</v>
      </c>
      <c r="E18" s="147" t="s">
        <v>125</v>
      </c>
      <c r="F18" s="154"/>
      <c r="G18" s="155">
        <f>G15/G17</f>
        <v>105.51706315912743</v>
      </c>
      <c r="I18" s="147" t="s">
        <v>125</v>
      </c>
      <c r="J18" s="154"/>
      <c r="K18" s="155">
        <f>K15/K17</f>
        <v>89.323555317435464</v>
      </c>
    </row>
    <row r="19" spans="1:17" x14ac:dyDescent="0.2">
      <c r="C19" s="21"/>
    </row>
    <row r="20" spans="1:17" x14ac:dyDescent="0.2">
      <c r="A20" s="113" t="s">
        <v>146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195"/>
      <c r="M20" s="195"/>
      <c r="N20" s="195"/>
    </row>
    <row r="21" spans="1:17" x14ac:dyDescent="0.2">
      <c r="B21" s="114"/>
      <c r="C21" s="114"/>
      <c r="D21" s="114"/>
      <c r="E21" s="114"/>
      <c r="F21" s="114"/>
      <c r="G21" s="114"/>
      <c r="H21" s="114"/>
      <c r="I21" s="114"/>
    </row>
    <row r="22" spans="1:17" x14ac:dyDescent="0.2">
      <c r="B22" s="114"/>
      <c r="C22" s="114" t="s">
        <v>147</v>
      </c>
      <c r="D22" s="114"/>
      <c r="E22" s="115">
        <v>5.0000000000000001E-3</v>
      </c>
      <c r="F22" s="114"/>
      <c r="G22" s="114"/>
      <c r="I22" s="114" t="s">
        <v>147</v>
      </c>
      <c r="J22" s="114"/>
      <c r="K22" s="115">
        <v>5.0000000000000001E-3</v>
      </c>
    </row>
    <row r="23" spans="1:17" x14ac:dyDescent="0.2">
      <c r="B23" s="114"/>
      <c r="C23" s="114" t="s">
        <v>148</v>
      </c>
      <c r="D23" s="114"/>
      <c r="E23" s="148">
        <v>2.5000000000000001E-3</v>
      </c>
      <c r="F23" s="114"/>
      <c r="G23" s="114"/>
      <c r="I23" s="114" t="s">
        <v>170</v>
      </c>
      <c r="J23" s="114"/>
      <c r="K23" s="153">
        <v>2</v>
      </c>
    </row>
    <row r="24" spans="1:17" x14ac:dyDescent="0.2">
      <c r="B24" s="114"/>
      <c r="C24" s="114"/>
      <c r="D24" s="114"/>
      <c r="E24" s="165"/>
      <c r="F24" s="114"/>
      <c r="G24" s="114"/>
      <c r="J24" s="114"/>
      <c r="K24" s="164"/>
    </row>
    <row r="25" spans="1:17" x14ac:dyDescent="0.2">
      <c r="B25" s="114"/>
      <c r="C25" s="114"/>
      <c r="D25" s="114"/>
      <c r="E25" s="114"/>
      <c r="F25" s="114"/>
      <c r="H25" s="114"/>
      <c r="P25" s="167"/>
    </row>
    <row r="26" spans="1:17" x14ac:dyDescent="0.2">
      <c r="B26" s="157"/>
      <c r="C26" s="223"/>
      <c r="D26" s="218"/>
      <c r="E26" s="218" t="s">
        <v>233</v>
      </c>
      <c r="F26" s="218"/>
      <c r="G26" s="217"/>
      <c r="I26" s="167"/>
      <c r="J26" s="167"/>
      <c r="K26" s="167" t="s">
        <v>234</v>
      </c>
      <c r="L26" s="167"/>
    </row>
    <row r="27" spans="1:17" x14ac:dyDescent="0.2">
      <c r="B27" s="157"/>
      <c r="C27" s="280">
        <f>C18</f>
        <v>81.535342383298143</v>
      </c>
      <c r="D27" s="205">
        <f>E27-E23</f>
        <v>2.2500000000000003E-2</v>
      </c>
      <c r="E27" s="219">
        <v>2.5000000000000001E-2</v>
      </c>
      <c r="F27" s="219">
        <f>E27+E23</f>
        <v>2.75E-2</v>
      </c>
      <c r="G27" s="219"/>
      <c r="H27" s="219"/>
      <c r="I27" s="277">
        <f>G18</f>
        <v>105.51706315912743</v>
      </c>
      <c r="J27" s="278">
        <f>K27-K23</f>
        <v>13</v>
      </c>
      <c r="K27" s="204">
        <v>15</v>
      </c>
      <c r="L27" s="204">
        <f>K27+K23</f>
        <v>17</v>
      </c>
      <c r="N27" s="220"/>
      <c r="P27" s="167"/>
    </row>
    <row r="28" spans="1:17" x14ac:dyDescent="0.2">
      <c r="B28" s="157"/>
      <c r="C28" s="207">
        <f>C29+$E$22</f>
        <v>7.2976437642844824E-2</v>
      </c>
      <c r="D28" s="275">
        <f t="dataTable" ref="D28:F32" dt2D="1" dtr="1" r1="K7" r2="K6" ca="1"/>
        <v>54.742514554507167</v>
      </c>
      <c r="E28" s="279">
        <v>57.561465642616795</v>
      </c>
      <c r="F28" s="275">
        <v>60.690352076833442</v>
      </c>
      <c r="G28" s="167"/>
      <c r="H28" s="205"/>
      <c r="I28" s="207">
        <f t="shared" ref="I28:I29" si="5">C28</f>
        <v>7.2976437642844824E-2</v>
      </c>
      <c r="J28" s="275">
        <f t="dataTable" ref="J28:L32" dt2D="1" dtr="1" r1="G10" r2="K6"/>
        <v>86.012737666390279</v>
      </c>
      <c r="K28" s="276">
        <v>98.754675527615603</v>
      </c>
      <c r="L28" s="275">
        <v>111.49661338884091</v>
      </c>
      <c r="N28" s="221"/>
      <c r="O28" s="46"/>
      <c r="P28" s="46"/>
      <c r="Q28" s="46"/>
    </row>
    <row r="29" spans="1:17" x14ac:dyDescent="0.2">
      <c r="C29" s="207">
        <f>C30+$E$22</f>
        <v>6.797643764284482E-2</v>
      </c>
      <c r="D29" s="275">
        <v>64.37000347171103</v>
      </c>
      <c r="E29" s="281">
        <v>68.064281281717228</v>
      </c>
      <c r="F29" s="275">
        <v>72.214908269806244</v>
      </c>
      <c r="G29" s="222"/>
      <c r="H29" s="223"/>
      <c r="I29" s="207">
        <f t="shared" si="5"/>
        <v>6.797643764284482E-2</v>
      </c>
      <c r="J29" s="275">
        <v>88.94316114445364</v>
      </c>
      <c r="K29" s="276">
        <v>102.07788127114914</v>
      </c>
      <c r="L29" s="275">
        <v>115.21260139784467</v>
      </c>
      <c r="N29" s="224"/>
      <c r="O29" s="163"/>
      <c r="P29" s="163"/>
      <c r="Q29" s="163"/>
    </row>
    <row r="30" spans="1:17" x14ac:dyDescent="0.2">
      <c r="C30" s="207">
        <v>6.2976437642844815E-2</v>
      </c>
      <c r="D30" s="276">
        <v>76.56614446679626</v>
      </c>
      <c r="E30" s="276">
        <v>81.535342383298143</v>
      </c>
      <c r="F30" s="276">
        <v>87.204892173701381</v>
      </c>
      <c r="G30" s="223"/>
      <c r="H30" s="206"/>
      <c r="I30" s="207">
        <f>C30</f>
        <v>6.2976437642844815E-2</v>
      </c>
      <c r="J30" s="276">
        <v>91.975523706612663</v>
      </c>
      <c r="K30" s="279">
        <v>105.51706315912743</v>
      </c>
      <c r="L30" s="276">
        <v>119.0586026116422</v>
      </c>
      <c r="M30" s="46"/>
      <c r="N30" s="163"/>
      <c r="O30" s="83"/>
      <c r="P30" s="83"/>
      <c r="Q30" s="83"/>
    </row>
    <row r="31" spans="1:17" x14ac:dyDescent="0.2">
      <c r="C31" s="207">
        <f>C30-$E$22</f>
        <v>5.7976437642844818E-2</v>
      </c>
      <c r="D31" s="275">
        <v>92.435543572894616</v>
      </c>
      <c r="E31" s="276">
        <v>99.344791340673837</v>
      </c>
      <c r="F31" s="275">
        <v>107.38757837717422</v>
      </c>
      <c r="G31" s="223"/>
      <c r="H31" s="206"/>
      <c r="I31" s="207">
        <f>C31</f>
        <v>5.7976437642844818E-2</v>
      </c>
      <c r="J31" s="275">
        <v>95.113914666994205</v>
      </c>
      <c r="K31" s="279">
        <v>109.07688175792744</v>
      </c>
      <c r="L31" s="275">
        <v>123.03984884886063</v>
      </c>
      <c r="M31" s="46"/>
      <c r="N31" s="163"/>
      <c r="O31" s="83"/>
      <c r="P31" s="83"/>
      <c r="Q31" s="83"/>
    </row>
    <row r="32" spans="1:17" x14ac:dyDescent="0.2">
      <c r="C32" s="207">
        <f>C31-$E$22</f>
        <v>5.297643764284482E-2</v>
      </c>
      <c r="D32" s="275">
        <v>113.80953171615093</v>
      </c>
      <c r="E32" s="276">
        <v>123.84426892397434</v>
      </c>
      <c r="F32" s="275">
        <v>135.84842143006296</v>
      </c>
      <c r="G32" s="223"/>
      <c r="H32" s="206"/>
      <c r="I32" s="207">
        <f>C32</f>
        <v>5.297643764284482E-2</v>
      </c>
      <c r="J32" s="275">
        <v>98.362608550877894</v>
      </c>
      <c r="K32" s="279">
        <v>112.76220895250444</v>
      </c>
      <c r="L32" s="275">
        <v>127.16180935413102</v>
      </c>
      <c r="M32" s="46"/>
      <c r="N32" s="163"/>
      <c r="O32" s="83"/>
      <c r="P32" s="83"/>
      <c r="Q32" s="83"/>
    </row>
    <row r="33" spans="2:17" x14ac:dyDescent="0.2">
      <c r="D33" s="46"/>
      <c r="E33" s="201"/>
      <c r="F33" s="205"/>
      <c r="G33" s="223"/>
      <c r="H33" s="206"/>
      <c r="I33" s="206"/>
      <c r="J33" s="206"/>
      <c r="K33" s="220"/>
      <c r="M33" s="46"/>
      <c r="N33" s="163"/>
      <c r="O33" s="83"/>
      <c r="P33" s="83"/>
      <c r="Q33" s="83"/>
    </row>
    <row r="34" spans="2:17" x14ac:dyDescent="0.2">
      <c r="D34" s="46"/>
      <c r="E34" s="201"/>
      <c r="F34" s="205"/>
      <c r="G34" s="223"/>
      <c r="H34" s="206"/>
      <c r="I34" s="206"/>
      <c r="J34" s="206"/>
      <c r="K34" s="220"/>
      <c r="M34" s="46"/>
      <c r="N34" s="163"/>
      <c r="O34" s="83"/>
      <c r="P34" s="83"/>
      <c r="Q34" s="83"/>
    </row>
    <row r="35" spans="2:17" x14ac:dyDescent="0.2">
      <c r="B35" s="225"/>
      <c r="C35" s="225"/>
      <c r="D35" s="225"/>
      <c r="E35" s="226"/>
      <c r="F35" s="227"/>
      <c r="G35" s="226"/>
    </row>
    <row r="36" spans="2:17" x14ac:dyDescent="0.2">
      <c r="B36" s="114"/>
      <c r="C36" s="114"/>
      <c r="D36" s="114"/>
      <c r="E36" s="114"/>
      <c r="F36" s="218"/>
      <c r="G36" s="218"/>
      <c r="H36" s="218"/>
      <c r="I36" s="167"/>
      <c r="J36" s="167"/>
      <c r="P36" s="167"/>
    </row>
    <row r="37" spans="2:17" x14ac:dyDescent="0.2">
      <c r="F37" s="207"/>
      <c r="G37" s="207"/>
      <c r="H37" s="205"/>
      <c r="I37" s="205"/>
      <c r="J37" s="205"/>
      <c r="M37" s="167"/>
      <c r="O37" s="83"/>
      <c r="P37" s="83"/>
      <c r="Q37" s="83"/>
    </row>
    <row r="38" spans="2:17" x14ac:dyDescent="0.2">
      <c r="E38" s="46"/>
      <c r="F38" s="204"/>
      <c r="G38" s="228"/>
      <c r="H38" s="223"/>
      <c r="I38" s="223"/>
      <c r="J38" s="223"/>
      <c r="L38" s="83"/>
      <c r="M38" s="83"/>
      <c r="N38" s="229"/>
      <c r="O38" s="166"/>
      <c r="P38" s="166"/>
      <c r="Q38" s="166"/>
    </row>
    <row r="39" spans="2:17" x14ac:dyDescent="0.2">
      <c r="E39" s="46"/>
      <c r="F39" s="205"/>
      <c r="G39" s="223"/>
      <c r="H39" s="204"/>
      <c r="I39" s="204"/>
      <c r="J39" s="204"/>
      <c r="K39" s="46"/>
      <c r="M39" s="46"/>
      <c r="N39" s="163"/>
      <c r="O39" s="230"/>
      <c r="P39" s="230"/>
      <c r="Q39" s="230"/>
    </row>
    <row r="40" spans="2:17" x14ac:dyDescent="0.2">
      <c r="D40" s="8"/>
      <c r="E40" s="46"/>
      <c r="F40" s="205"/>
      <c r="G40" s="223"/>
      <c r="H40" s="204"/>
      <c r="I40" s="204"/>
      <c r="J40" s="204"/>
      <c r="K40" s="8"/>
      <c r="L40" s="46"/>
      <c r="M40" s="46"/>
      <c r="N40" s="163"/>
      <c r="O40" s="230"/>
      <c r="P40" s="230"/>
      <c r="Q40" s="230"/>
    </row>
    <row r="41" spans="2:17" x14ac:dyDescent="0.2">
      <c r="D41" s="8"/>
      <c r="E41" s="145"/>
      <c r="F41" s="205"/>
      <c r="G41" s="223"/>
      <c r="H41" s="204"/>
      <c r="I41" s="204"/>
      <c r="J41" s="204"/>
      <c r="K41" s="8"/>
      <c r="L41" s="145"/>
      <c r="M41" s="46"/>
      <c r="N41" s="163"/>
      <c r="O41" s="230"/>
      <c r="P41" s="230"/>
      <c r="Q41" s="230"/>
    </row>
    <row r="42" spans="2:17" x14ac:dyDescent="0.2">
      <c r="D42" s="8"/>
      <c r="E42" s="46"/>
      <c r="F42" s="205"/>
      <c r="G42" s="223"/>
      <c r="H42" s="204"/>
      <c r="I42" s="204"/>
      <c r="J42" s="204"/>
      <c r="K42" s="8"/>
      <c r="L42" s="46"/>
      <c r="M42" s="46"/>
      <c r="N42" s="163"/>
      <c r="O42" s="230"/>
      <c r="P42" s="230"/>
      <c r="Q42" s="230"/>
    </row>
    <row r="43" spans="2:17" x14ac:dyDescent="0.2">
      <c r="D43" s="8"/>
      <c r="E43" s="8"/>
      <c r="F43" s="205"/>
      <c r="G43" s="223"/>
      <c r="H43" s="204"/>
      <c r="I43" s="204"/>
      <c r="J43" s="204"/>
      <c r="K43" s="8"/>
      <c r="L43" s="46"/>
      <c r="M43" s="46"/>
      <c r="N43" s="163"/>
      <c r="O43" s="230"/>
      <c r="P43" s="230"/>
      <c r="Q43" s="230"/>
    </row>
    <row r="44" spans="2:17" x14ac:dyDescent="0.2">
      <c r="D44" s="8"/>
      <c r="E44" s="8"/>
      <c r="F44" s="83"/>
      <c r="G44" s="83"/>
      <c r="H44" s="83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8a26cf8-717e-46a4-ac0d-03f11284dc6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2025-12-16T20:24:24Z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