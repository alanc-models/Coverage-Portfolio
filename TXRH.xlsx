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D540FFDF-D6A8-4AC9-AC88-7A8D32D1EE7A}" xr6:coauthVersionLast="47" xr6:coauthVersionMax="47" xr10:uidLastSave="{00000000-0000-0000-0000-000000000000}"/>
  <bookViews>
    <workbookView xWindow="-105" yWindow="0" windowWidth="14610" windowHeight="163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3" l="1"/>
  <c r="H17" i="13"/>
  <c r="I17" i="13"/>
  <c r="J17" i="13"/>
  <c r="F17" i="13"/>
  <c r="K5" i="3"/>
  <c r="K6" i="3"/>
  <c r="I26" i="12"/>
  <c r="K26" i="12"/>
  <c r="C31" i="12"/>
  <c r="H31" i="12" s="1"/>
  <c r="C30" i="12"/>
  <c r="H30" i="12" s="1"/>
  <c r="C27" i="12"/>
  <c r="H27" i="12" s="1"/>
  <c r="C28" i="12"/>
  <c r="D26" i="12"/>
  <c r="F26" i="12"/>
  <c r="G14" i="12"/>
  <c r="C17" i="12"/>
  <c r="G17" i="12" s="1"/>
  <c r="C13" i="12"/>
  <c r="G13" i="12" s="1"/>
  <c r="C12" i="12"/>
  <c r="G12" i="12" s="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8" i="10"/>
  <c r="H8" i="10"/>
  <c r="I8" i="10"/>
  <c r="J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15" i="10"/>
  <c r="H15" i="10"/>
  <c r="I15" i="10"/>
  <c r="J15" i="10"/>
  <c r="F13" i="10"/>
  <c r="F12" i="10"/>
  <c r="F11" i="10"/>
  <c r="F10" i="10"/>
  <c r="F9" i="10"/>
  <c r="F8" i="10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1" i="9"/>
  <c r="H11" i="9"/>
  <c r="I11" i="9"/>
  <c r="J11" i="9"/>
  <c r="G12" i="9"/>
  <c r="H12" i="9"/>
  <c r="I12" i="9"/>
  <c r="J12" i="9"/>
  <c r="G15" i="9"/>
  <c r="H15" i="9"/>
  <c r="I15" i="9"/>
  <c r="J15" i="9"/>
  <c r="G16" i="9"/>
  <c r="H16" i="9"/>
  <c r="I16" i="9"/>
  <c r="J16" i="9"/>
  <c r="G16" i="8"/>
  <c r="H16" i="8"/>
  <c r="I16" i="8"/>
  <c r="J16" i="8"/>
  <c r="G18" i="8"/>
  <c r="G20" i="5" s="1"/>
  <c r="H18" i="8"/>
  <c r="H20" i="5" s="1"/>
  <c r="I18" i="8"/>
  <c r="J18" i="8"/>
  <c r="G19" i="8"/>
  <c r="H19" i="8"/>
  <c r="I19" i="8"/>
  <c r="J19" i="8"/>
  <c r="G20" i="8"/>
  <c r="H20" i="8"/>
  <c r="I20" i="8"/>
  <c r="J20" i="8"/>
  <c r="G23" i="8"/>
  <c r="H23" i="8"/>
  <c r="I23" i="8"/>
  <c r="J23" i="8"/>
  <c r="G24" i="8"/>
  <c r="H24" i="8"/>
  <c r="I24" i="8"/>
  <c r="J24" i="8"/>
  <c r="G25" i="8"/>
  <c r="H25" i="8"/>
  <c r="I25" i="8"/>
  <c r="J25" i="8"/>
  <c r="G26" i="8"/>
  <c r="H26" i="8"/>
  <c r="I26" i="8"/>
  <c r="J26" i="8"/>
  <c r="G31" i="8"/>
  <c r="H31" i="8"/>
  <c r="I31" i="8"/>
  <c r="J31" i="8"/>
  <c r="G32" i="8"/>
  <c r="H32" i="8"/>
  <c r="I32" i="8"/>
  <c r="J32" i="8"/>
  <c r="G35" i="8"/>
  <c r="H35" i="8"/>
  <c r="I35" i="8"/>
  <c r="I37" i="8" s="1"/>
  <c r="J35" i="8"/>
  <c r="J37" i="8" s="1"/>
  <c r="G36" i="8"/>
  <c r="H36" i="8"/>
  <c r="I36" i="8"/>
  <c r="J36" i="8"/>
  <c r="G37" i="8"/>
  <c r="H37" i="8"/>
  <c r="G16" i="7"/>
  <c r="G7" i="5" s="1"/>
  <c r="G9" i="5" s="1"/>
  <c r="H6" i="5" s="1"/>
  <c r="H16" i="7"/>
  <c r="H7" i="5" s="1"/>
  <c r="I16" i="7"/>
  <c r="I7" i="5" s="1"/>
  <c r="J16" i="7"/>
  <c r="J7" i="5" s="1"/>
  <c r="G17" i="7"/>
  <c r="H17" i="7"/>
  <c r="I17" i="7"/>
  <c r="J17" i="7"/>
  <c r="G18" i="7"/>
  <c r="H18" i="7"/>
  <c r="I18" i="7"/>
  <c r="J18" i="7"/>
  <c r="G19" i="7"/>
  <c r="H19" i="7"/>
  <c r="I19" i="7"/>
  <c r="J19" i="7"/>
  <c r="G21" i="7"/>
  <c r="G22" i="7"/>
  <c r="H22" i="7"/>
  <c r="I22" i="7"/>
  <c r="J22" i="7"/>
  <c r="G23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1" i="7"/>
  <c r="I31" i="7"/>
  <c r="J31" i="7"/>
  <c r="G33" i="7"/>
  <c r="G34" i="7" s="1"/>
  <c r="J33" i="7"/>
  <c r="J34" i="7"/>
  <c r="G38" i="7"/>
  <c r="H38" i="7"/>
  <c r="I38" i="7"/>
  <c r="J38" i="7"/>
  <c r="G39" i="7"/>
  <c r="H39" i="7"/>
  <c r="I39" i="7"/>
  <c r="J39" i="7"/>
  <c r="G13" i="6"/>
  <c r="H13" i="6"/>
  <c r="I13" i="6"/>
  <c r="J13" i="6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6" i="6"/>
  <c r="G30" i="6"/>
  <c r="H30" i="6"/>
  <c r="I30" i="6"/>
  <c r="J30" i="6"/>
  <c r="G32" i="6"/>
  <c r="H32" i="6"/>
  <c r="I32" i="6"/>
  <c r="J32" i="6"/>
  <c r="G6" i="5"/>
  <c r="G8" i="5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I20" i="5"/>
  <c r="J20" i="5"/>
  <c r="G21" i="5"/>
  <c r="H21" i="5"/>
  <c r="I21" i="5"/>
  <c r="J21" i="5"/>
  <c r="G22" i="5"/>
  <c r="H22" i="5"/>
  <c r="I22" i="5"/>
  <c r="J22" i="5"/>
  <c r="G23" i="5"/>
  <c r="H23" i="5"/>
  <c r="I23" i="5"/>
  <c r="J23" i="5"/>
  <c r="G24" i="5"/>
  <c r="H24" i="5"/>
  <c r="I24" i="5"/>
  <c r="J24" i="5"/>
  <c r="F29" i="7"/>
  <c r="F28" i="7"/>
  <c r="F21" i="9"/>
  <c r="E23" i="9"/>
  <c r="B22" i="9"/>
  <c r="E25" i="5"/>
  <c r="E24" i="5"/>
  <c r="E23" i="5"/>
  <c r="E22" i="5"/>
  <c r="E21" i="5"/>
  <c r="E20" i="5"/>
  <c r="E19" i="5"/>
  <c r="F17" i="6"/>
  <c r="E20" i="6"/>
  <c r="F13" i="5"/>
  <c r="E17" i="5"/>
  <c r="C32" i="13"/>
  <c r="F32" i="13" s="1"/>
  <c r="D32" i="13"/>
  <c r="E32" i="13"/>
  <c r="H6" i="13"/>
  <c r="I6" i="13" s="1"/>
  <c r="J6" i="13" s="1"/>
  <c r="C32" i="8"/>
  <c r="C24" i="8"/>
  <c r="C23" i="8"/>
  <c r="C20" i="8"/>
  <c r="E36" i="8"/>
  <c r="D36" i="8"/>
  <c r="E32" i="8"/>
  <c r="D32" i="8"/>
  <c r="D24" i="8"/>
  <c r="E24" i="8"/>
  <c r="D23" i="8"/>
  <c r="E23" i="8"/>
  <c r="E9" i="5" s="1"/>
  <c r="F6" i="5" s="1"/>
  <c r="D20" i="8"/>
  <c r="D16" i="8"/>
  <c r="D17" i="8" s="1"/>
  <c r="C16" i="8"/>
  <c r="C17" i="8" s="1"/>
  <c r="E16" i="8"/>
  <c r="E17" i="8" s="1"/>
  <c r="D36" i="7"/>
  <c r="C36" i="7"/>
  <c r="E36" i="7"/>
  <c r="C17" i="7"/>
  <c r="D17" i="7"/>
  <c r="E17" i="7"/>
  <c r="F8" i="3"/>
  <c r="H28" i="12"/>
  <c r="H29" i="12"/>
  <c r="E2" i="6"/>
  <c r="F2" i="6" s="1"/>
  <c r="G2" i="6" s="1"/>
  <c r="H2" i="6" s="1"/>
  <c r="I2" i="6" s="1"/>
  <c r="J2" i="6" s="1"/>
  <c r="D2" i="6"/>
  <c r="H31" i="7" l="1"/>
  <c r="H33" i="7" s="1"/>
  <c r="H34" i="7" s="1"/>
  <c r="I33" i="7"/>
  <c r="I34" i="7" s="1"/>
  <c r="G19" i="5"/>
  <c r="G25" i="5" s="1"/>
  <c r="H19" i="5"/>
  <c r="H25" i="5" s="1"/>
  <c r="I19" i="5"/>
  <c r="I25" i="5" s="1"/>
  <c r="J19" i="5"/>
  <c r="J25" i="5" s="1"/>
  <c r="G14" i="5"/>
  <c r="G41" i="7"/>
  <c r="G40" i="7"/>
  <c r="J40" i="7"/>
  <c r="J41" i="7"/>
  <c r="J14" i="5"/>
  <c r="I17" i="6"/>
  <c r="I20" i="6" s="1"/>
  <c r="H26" i="6"/>
  <c r="H22" i="6"/>
  <c r="H8" i="5"/>
  <c r="D17" i="13"/>
  <c r="C17" i="13"/>
  <c r="E14" i="13"/>
  <c r="D40" i="13"/>
  <c r="D14" i="13"/>
  <c r="E47" i="13"/>
  <c r="F47" i="13" s="1"/>
  <c r="F11" i="8" s="1"/>
  <c r="E12" i="13"/>
  <c r="F12" i="13" s="1"/>
  <c r="G12" i="13" s="1"/>
  <c r="H12" i="13" s="1"/>
  <c r="I12" i="13" s="1"/>
  <c r="J12" i="13" s="1"/>
  <c r="D10" i="13"/>
  <c r="E10" i="13"/>
  <c r="D33" i="13"/>
  <c r="E33" i="13"/>
  <c r="F33" i="13" s="1"/>
  <c r="G33" i="13" s="1"/>
  <c r="H33" i="13" s="1"/>
  <c r="I33" i="13" s="1"/>
  <c r="J33" i="13" s="1"/>
  <c r="E49" i="13"/>
  <c r="D49" i="13"/>
  <c r="E48" i="13"/>
  <c r="D48" i="13"/>
  <c r="C48" i="13"/>
  <c r="C47" i="13"/>
  <c r="E43" i="13"/>
  <c r="D43" i="13"/>
  <c r="C43" i="13"/>
  <c r="E41" i="13"/>
  <c r="F41" i="13" s="1"/>
  <c r="D41" i="13"/>
  <c r="C41" i="13"/>
  <c r="C40" i="13"/>
  <c r="E39" i="13"/>
  <c r="D39" i="13"/>
  <c r="C39" i="13"/>
  <c r="E38" i="13"/>
  <c r="D38" i="13"/>
  <c r="C38" i="13"/>
  <c r="E17" i="13"/>
  <c r="E15" i="13"/>
  <c r="D15" i="13"/>
  <c r="C15" i="13"/>
  <c r="C14" i="13"/>
  <c r="E13" i="13"/>
  <c r="F13" i="13" s="1"/>
  <c r="F7" i="7" s="1"/>
  <c r="F22" i="7" s="1"/>
  <c r="D13" i="13"/>
  <c r="C13" i="13"/>
  <c r="D12" i="13"/>
  <c r="C12" i="13"/>
  <c r="C11" i="13"/>
  <c r="E19" i="13"/>
  <c r="D19" i="13"/>
  <c r="C19" i="13"/>
  <c r="E18" i="13"/>
  <c r="D18" i="13"/>
  <c r="C18" i="13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5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C36" i="8" s="1"/>
  <c r="D33" i="8"/>
  <c r="D37" i="8"/>
  <c r="D40" i="8" s="1"/>
  <c r="E37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C11" i="6"/>
  <c r="C30" i="6" s="1"/>
  <c r="F24" i="13"/>
  <c r="F23" i="13"/>
  <c r="F4" i="6" s="1"/>
  <c r="F13" i="6" s="1"/>
  <c r="F25" i="13"/>
  <c r="F6" i="6" s="1"/>
  <c r="F32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F26" i="7" s="1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B21" i="5"/>
  <c r="F9" i="6"/>
  <c r="F19" i="6" s="1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F25" i="7" s="1"/>
  <c r="I14" i="5" l="1"/>
  <c r="I41" i="7"/>
  <c r="I40" i="7"/>
  <c r="H26" i="5"/>
  <c r="G26" i="5"/>
  <c r="I26" i="5"/>
  <c r="J26" i="5"/>
  <c r="H14" i="5"/>
  <c r="H41" i="7"/>
  <c r="H40" i="7"/>
  <c r="H9" i="5"/>
  <c r="I6" i="5" s="1"/>
  <c r="H21" i="7"/>
  <c r="H23" i="7" s="1"/>
  <c r="J17" i="6"/>
  <c r="J20" i="6" s="1"/>
  <c r="I26" i="6"/>
  <c r="I22" i="6"/>
  <c r="I8" i="5"/>
  <c r="F24" i="8"/>
  <c r="F5" i="9"/>
  <c r="F18" i="6"/>
  <c r="F20" i="6" s="1"/>
  <c r="F15" i="9"/>
  <c r="F16" i="9"/>
  <c r="F16" i="5"/>
  <c r="C49" i="13"/>
  <c r="C37" i="8"/>
  <c r="C40" i="8"/>
  <c r="G24" i="13"/>
  <c r="E11" i="11"/>
  <c r="C23" i="7"/>
  <c r="C34" i="7"/>
  <c r="F11" i="7"/>
  <c r="F35" i="7" s="1"/>
  <c r="D11" i="13"/>
  <c r="D47" i="13"/>
  <c r="D19" i="7"/>
  <c r="D23" i="7" s="1"/>
  <c r="E40" i="13"/>
  <c r="F40" i="13" s="1"/>
  <c r="F6" i="8" s="1"/>
  <c r="E11" i="13"/>
  <c r="F11" i="13" s="1"/>
  <c r="G11" i="13" s="1"/>
  <c r="H11" i="13" s="1"/>
  <c r="I11" i="13" s="1"/>
  <c r="J11" i="13" s="1"/>
  <c r="E10" i="11"/>
  <c r="E9" i="11" s="1"/>
  <c r="F9" i="3"/>
  <c r="D21" i="13"/>
  <c r="D30" i="13" s="1"/>
  <c r="D36" i="13" s="1"/>
  <c r="D45" i="13" s="1"/>
  <c r="F2" i="13"/>
  <c r="E21" i="13"/>
  <c r="E30" i="13" s="1"/>
  <c r="E36" i="13" s="1"/>
  <c r="E45" i="13" s="1"/>
  <c r="F2" i="8"/>
  <c r="F11" i="6"/>
  <c r="F30" i="6" s="1"/>
  <c r="E11" i="6"/>
  <c r="F5" i="6"/>
  <c r="F21" i="6" s="1"/>
  <c r="G25" i="13"/>
  <c r="G6" i="6" s="1"/>
  <c r="G47" i="13"/>
  <c r="G13" i="13"/>
  <c r="G23" i="13"/>
  <c r="G4" i="6" s="1"/>
  <c r="D10" i="5"/>
  <c r="D18" i="5" s="1"/>
  <c r="E10" i="5"/>
  <c r="E18" i="5" s="1"/>
  <c r="F2" i="5"/>
  <c r="D30" i="6"/>
  <c r="D28" i="8"/>
  <c r="D42" i="8" s="1"/>
  <c r="C16" i="6"/>
  <c r="C24" i="6" s="1"/>
  <c r="E40" i="8"/>
  <c r="E28" i="8"/>
  <c r="C28" i="8"/>
  <c r="G32" i="13"/>
  <c r="F4" i="5"/>
  <c r="F7" i="8"/>
  <c r="G41" i="13"/>
  <c r="F38" i="13"/>
  <c r="F48" i="13"/>
  <c r="F39" i="13"/>
  <c r="E19" i="7"/>
  <c r="E23" i="7" s="1"/>
  <c r="F43" i="13"/>
  <c r="F49" i="13"/>
  <c r="I9" i="5" l="1"/>
  <c r="J6" i="5" s="1"/>
  <c r="I21" i="7"/>
  <c r="I23" i="7" s="1"/>
  <c r="J26" i="6"/>
  <c r="J22" i="6"/>
  <c r="J8" i="5"/>
  <c r="F35" i="8"/>
  <c r="F26" i="6"/>
  <c r="F22" i="6"/>
  <c r="G4" i="5"/>
  <c r="H4" i="5" s="1"/>
  <c r="I4" i="5" s="1"/>
  <c r="J4" i="5" s="1"/>
  <c r="F8" i="5"/>
  <c r="G5" i="6"/>
  <c r="H24" i="13"/>
  <c r="C42" i="8"/>
  <c r="C40" i="7"/>
  <c r="C41" i="7"/>
  <c r="E16" i="6"/>
  <c r="E24" i="6" s="1"/>
  <c r="E30" i="6"/>
  <c r="D31" i="7"/>
  <c r="G40" i="13"/>
  <c r="H40" i="13" s="1"/>
  <c r="H6" i="8" s="1"/>
  <c r="G2" i="13"/>
  <c r="F21" i="13"/>
  <c r="F30" i="13" s="1"/>
  <c r="F36" i="13" s="1"/>
  <c r="F45" i="13" s="1"/>
  <c r="F15" i="8"/>
  <c r="G2" i="8"/>
  <c r="G11" i="6"/>
  <c r="F16" i="6"/>
  <c r="F24" i="6" s="1"/>
  <c r="E42" i="8"/>
  <c r="H25" i="13"/>
  <c r="I25" i="13" s="1"/>
  <c r="H23" i="13"/>
  <c r="H13" i="13"/>
  <c r="G7" i="7"/>
  <c r="G11" i="8"/>
  <c r="H47" i="13"/>
  <c r="G2" i="5"/>
  <c r="F10" i="5"/>
  <c r="F18" i="5" s="1"/>
  <c r="H32" i="13"/>
  <c r="G3" i="5"/>
  <c r="H4" i="6"/>
  <c r="I23" i="13"/>
  <c r="F5" i="8"/>
  <c r="G39" i="13"/>
  <c r="G38" i="13"/>
  <c r="H38" i="13" s="1"/>
  <c r="I38" i="13" s="1"/>
  <c r="J38" i="13" s="1"/>
  <c r="F4" i="8"/>
  <c r="F13" i="8"/>
  <c r="G49" i="13"/>
  <c r="G43" i="13"/>
  <c r="F9" i="8"/>
  <c r="E31" i="7"/>
  <c r="F12" i="8"/>
  <c r="G48" i="13"/>
  <c r="G7" i="8"/>
  <c r="H41" i="13"/>
  <c r="J9" i="5" l="1"/>
  <c r="J21" i="7"/>
  <c r="J23" i="7" s="1"/>
  <c r="H5" i="6"/>
  <c r="I24" i="13"/>
  <c r="F21" i="7"/>
  <c r="G11" i="7"/>
  <c r="G35" i="7" s="1"/>
  <c r="G36" i="7" s="1"/>
  <c r="I40" i="13"/>
  <c r="G6" i="8"/>
  <c r="D34" i="7"/>
  <c r="D16" i="13"/>
  <c r="E34" i="7"/>
  <c r="E16" i="13"/>
  <c r="H2" i="13"/>
  <c r="G21" i="13"/>
  <c r="G30" i="13" s="1"/>
  <c r="G36" i="13" s="1"/>
  <c r="G45" i="13" s="1"/>
  <c r="G15" i="8"/>
  <c r="H2" i="8"/>
  <c r="H11" i="6"/>
  <c r="H6" i="6"/>
  <c r="J24" i="13"/>
  <c r="I5" i="6"/>
  <c r="H11" i="8"/>
  <c r="I47" i="13"/>
  <c r="G5" i="7"/>
  <c r="I13" i="13"/>
  <c r="H7" i="7"/>
  <c r="G6" i="7"/>
  <c r="H2" i="5"/>
  <c r="I4" i="6"/>
  <c r="J23" i="13"/>
  <c r="I32" i="13"/>
  <c r="H3" i="5"/>
  <c r="J25" i="13"/>
  <c r="I6" i="6"/>
  <c r="H48" i="13"/>
  <c r="G12" i="8"/>
  <c r="F5" i="7"/>
  <c r="H43" i="13"/>
  <c r="G9" i="8"/>
  <c r="H49" i="13"/>
  <c r="G13" i="8"/>
  <c r="I41" i="13"/>
  <c r="H7" i="8"/>
  <c r="F6" i="7"/>
  <c r="G4" i="8"/>
  <c r="H39" i="13"/>
  <c r="G5" i="8"/>
  <c r="G14" i="9" l="1"/>
  <c r="G17" i="9" s="1"/>
  <c r="G15" i="5"/>
  <c r="F4" i="9"/>
  <c r="D40" i="7"/>
  <c r="D41" i="7"/>
  <c r="E41" i="7"/>
  <c r="E40" i="7"/>
  <c r="H11" i="7"/>
  <c r="H35" i="7" s="1"/>
  <c r="H36" i="7" s="1"/>
  <c r="J40" i="13"/>
  <c r="J6" i="8" s="1"/>
  <c r="I6" i="8"/>
  <c r="G16" i="13"/>
  <c r="F5" i="10"/>
  <c r="E4" i="11"/>
  <c r="L4" i="11" s="1"/>
  <c r="L5" i="11" s="1"/>
  <c r="L6" i="11" s="1"/>
  <c r="L7" i="11" s="1"/>
  <c r="I2" i="13"/>
  <c r="H21" i="13"/>
  <c r="H30" i="13" s="1"/>
  <c r="H36" i="13" s="1"/>
  <c r="H45" i="13" s="1"/>
  <c r="I2" i="8"/>
  <c r="H15" i="8"/>
  <c r="J11" i="6"/>
  <c r="I11" i="6"/>
  <c r="J5" i="6"/>
  <c r="H6" i="7"/>
  <c r="J13" i="13"/>
  <c r="I7" i="7"/>
  <c r="H5" i="7"/>
  <c r="J47" i="13"/>
  <c r="I11" i="8"/>
  <c r="I2" i="5"/>
  <c r="I3" i="5"/>
  <c r="J32" i="13"/>
  <c r="J4" i="6"/>
  <c r="J6" i="6"/>
  <c r="F18" i="13"/>
  <c r="J41" i="13"/>
  <c r="I7" i="8"/>
  <c r="H13" i="8"/>
  <c r="I49" i="13"/>
  <c r="I43" i="13"/>
  <c r="H9" i="8"/>
  <c r="I39" i="13"/>
  <c r="H5" i="8"/>
  <c r="H4" i="8"/>
  <c r="I48" i="13"/>
  <c r="H12" i="8"/>
  <c r="H14" i="9" l="1"/>
  <c r="H17" i="9" s="1"/>
  <c r="H15" i="5"/>
  <c r="I11" i="7"/>
  <c r="I35" i="7" s="1"/>
  <c r="I36" i="7" s="1"/>
  <c r="J11" i="7"/>
  <c r="J35" i="7" s="1"/>
  <c r="J36" i="7" s="1"/>
  <c r="G10" i="7"/>
  <c r="H16" i="13"/>
  <c r="J2" i="13"/>
  <c r="J21" i="13" s="1"/>
  <c r="J30" i="13" s="1"/>
  <c r="J36" i="13" s="1"/>
  <c r="J45" i="13" s="1"/>
  <c r="I21" i="13"/>
  <c r="I30" i="13" s="1"/>
  <c r="I36" i="13" s="1"/>
  <c r="I45" i="13" s="1"/>
  <c r="G18" i="13"/>
  <c r="I15" i="8"/>
  <c r="J2" i="8"/>
  <c r="J15" i="8" s="1"/>
  <c r="J11" i="8"/>
  <c r="I5" i="7"/>
  <c r="J7" i="7"/>
  <c r="I6" i="7"/>
  <c r="J2" i="5"/>
  <c r="J3" i="5"/>
  <c r="I4" i="8"/>
  <c r="F19" i="13"/>
  <c r="I5" i="8"/>
  <c r="J39" i="13"/>
  <c r="J43" i="13"/>
  <c r="I9" i="8"/>
  <c r="I13" i="8"/>
  <c r="J49" i="13"/>
  <c r="J7" i="8"/>
  <c r="J48" i="13"/>
  <c r="I12" i="8"/>
  <c r="F10" i="7"/>
  <c r="E12" i="11"/>
  <c r="F12" i="7"/>
  <c r="F38" i="7" s="1"/>
  <c r="F36" i="7" s="1"/>
  <c r="I14" i="9" l="1"/>
  <c r="I17" i="9" s="1"/>
  <c r="I15" i="5"/>
  <c r="J14" i="9"/>
  <c r="J17" i="9" s="1"/>
  <c r="J15" i="5"/>
  <c r="F14" i="9"/>
  <c r="F17" i="9" s="1"/>
  <c r="F15" i="5"/>
  <c r="H10" i="7"/>
  <c r="I16" i="13"/>
  <c r="G12" i="7"/>
  <c r="G19" i="13"/>
  <c r="H18" i="13"/>
  <c r="G13" i="7"/>
  <c r="J6" i="7"/>
  <c r="J5" i="7"/>
  <c r="J9" i="8"/>
  <c r="M4" i="11"/>
  <c r="J13" i="8"/>
  <c r="J12" i="8"/>
  <c r="J5" i="8"/>
  <c r="F13" i="7"/>
  <c r="F39" i="7" s="1"/>
  <c r="J4" i="8"/>
  <c r="I18" i="13" l="1"/>
  <c r="H19" i="13"/>
  <c r="H12" i="7"/>
  <c r="J16" i="13"/>
  <c r="J10" i="7" s="1"/>
  <c r="I10" i="7"/>
  <c r="J18" i="13"/>
  <c r="I12" i="7"/>
  <c r="M5" i="11"/>
  <c r="I19" i="13" l="1"/>
  <c r="H13" i="7"/>
  <c r="J12" i="7"/>
  <c r="J19" i="13"/>
  <c r="I13" i="7"/>
  <c r="G3" i="9"/>
  <c r="G9" i="9" s="1"/>
  <c r="G19" i="9" s="1"/>
  <c r="G22" i="9" s="1"/>
  <c r="M6" i="11"/>
  <c r="M7" i="11"/>
  <c r="J13" i="7" l="1"/>
  <c r="M9" i="11"/>
  <c r="M11" i="11" s="1"/>
  <c r="E8" i="11" s="1"/>
  <c r="E13" i="11" s="1"/>
  <c r="K17" i="12" s="1"/>
  <c r="H3" i="9"/>
  <c r="H9" i="9" s="1"/>
  <c r="H19" i="9" s="1"/>
  <c r="H22" i="9" s="1"/>
  <c r="E3" i="12" l="1"/>
  <c r="E4" i="12" s="1"/>
  <c r="F3" i="12"/>
  <c r="F4" i="12" s="1"/>
  <c r="G3" i="12"/>
  <c r="G4" i="12" s="1"/>
  <c r="H3" i="12"/>
  <c r="D3" i="12"/>
  <c r="D4" i="12" s="1"/>
  <c r="J3" i="9"/>
  <c r="J9" i="9" s="1"/>
  <c r="J19" i="9" s="1"/>
  <c r="J22" i="9" s="1"/>
  <c r="I3" i="9"/>
  <c r="I9" i="9" s="1"/>
  <c r="I19" i="9" s="1"/>
  <c r="I22" i="9" s="1"/>
  <c r="G8" i="12" l="1"/>
  <c r="H4" i="12"/>
  <c r="H5" i="12" l="1"/>
  <c r="C8" i="12" s="1"/>
  <c r="C7" i="12"/>
  <c r="G7" i="12" s="1"/>
  <c r="G9" i="12" s="1"/>
  <c r="G15" i="12" s="1"/>
  <c r="G18" i="12" s="1"/>
  <c r="H26" i="12" l="1"/>
  <c r="J5" i="3"/>
  <c r="J6" i="3" s="1"/>
  <c r="C9" i="12"/>
  <c r="C15" i="12" s="1"/>
  <c r="C18" i="12" s="1"/>
  <c r="C26" i="12" l="1"/>
  <c r="I5" i="3"/>
  <c r="I6" i="3" l="1"/>
  <c r="L5" i="3"/>
  <c r="L6" i="3" s="1"/>
  <c r="F10" i="13" l="1"/>
  <c r="F4" i="7" l="1"/>
  <c r="F16" i="7" s="1"/>
  <c r="F18" i="7" l="1"/>
  <c r="F19" i="7" s="1"/>
  <c r="F17" i="7"/>
  <c r="F25" i="8"/>
  <c r="F7" i="9" s="1"/>
  <c r="F36" i="8"/>
  <c r="F32" i="8"/>
  <c r="F24" i="5" s="1"/>
  <c r="F18" i="8"/>
  <c r="F20" i="5" s="1"/>
  <c r="F16" i="8"/>
  <c r="F20" i="8"/>
  <c r="F22" i="5" s="1"/>
  <c r="F7" i="5"/>
  <c r="F3" i="10"/>
  <c r="F23" i="7" l="1"/>
  <c r="F31" i="7"/>
  <c r="F33" i="7" s="1"/>
  <c r="F34" i="7" s="1"/>
  <c r="F4" i="10"/>
  <c r="F7" i="10" s="1"/>
  <c r="F15" i="10" s="1"/>
  <c r="F19" i="8"/>
  <c r="F21" i="5" s="1"/>
  <c r="F31" i="8"/>
  <c r="F23" i="5" s="1"/>
  <c r="F37" i="8"/>
  <c r="F8" i="9"/>
  <c r="F19" i="5"/>
  <c r="F25" i="5" s="1"/>
  <c r="F26" i="5" s="1"/>
  <c r="F6" i="9" s="1"/>
  <c r="F9" i="5"/>
  <c r="F23" i="8" s="1"/>
  <c r="F26" i="8" s="1"/>
  <c r="F11" i="9"/>
  <c r="F12" i="9" s="1"/>
  <c r="F3" i="9" l="1"/>
  <c r="F9" i="9" s="1"/>
  <c r="F19" i="9" s="1"/>
  <c r="F22" i="9" s="1"/>
  <c r="F23" i="9" s="1"/>
  <c r="G21" i="9" s="1"/>
  <c r="G23" i="9" s="1"/>
  <c r="F40" i="7"/>
  <c r="F41" i="7"/>
  <c r="F14" i="5"/>
  <c r="F17" i="5" s="1"/>
  <c r="G30" i="8" l="1"/>
  <c r="H21" i="9"/>
  <c r="H23" i="9" s="1"/>
  <c r="G17" i="8"/>
  <c r="F39" i="8"/>
  <c r="G13" i="5"/>
  <c r="G17" i="5" s="1"/>
  <c r="F17" i="8"/>
  <c r="F30" i="8"/>
  <c r="G33" i="8" l="1"/>
  <c r="G12" i="6"/>
  <c r="H17" i="8"/>
  <c r="I21" i="9"/>
  <c r="I23" i="9" s="1"/>
  <c r="H30" i="8"/>
  <c r="G31" i="6"/>
  <c r="G33" i="6" s="1"/>
  <c r="G21" i="8"/>
  <c r="G28" i="8" s="1"/>
  <c r="H13" i="5"/>
  <c r="H17" i="5" s="1"/>
  <c r="G39" i="8"/>
  <c r="F31" i="6"/>
  <c r="F33" i="6" s="1"/>
  <c r="F21" i="8"/>
  <c r="F28" i="8" s="1"/>
  <c r="F12" i="6"/>
  <c r="F33" i="8"/>
  <c r="F40" i="8" s="1"/>
  <c r="G40" i="8" l="1"/>
  <c r="G42" i="8" s="1"/>
  <c r="G14" i="6"/>
  <c r="G28" i="6" s="1"/>
  <c r="G25" i="6"/>
  <c r="G27" i="6" s="1"/>
  <c r="H31" i="6"/>
  <c r="H33" i="6" s="1"/>
  <c r="H21" i="8"/>
  <c r="H28" i="8" s="1"/>
  <c r="I30" i="8"/>
  <c r="J21" i="9"/>
  <c r="J23" i="9" s="1"/>
  <c r="I17" i="8"/>
  <c r="H33" i="8"/>
  <c r="H12" i="6"/>
  <c r="H39" i="8"/>
  <c r="I13" i="5"/>
  <c r="I17" i="5" s="1"/>
  <c r="F42" i="8"/>
  <c r="F14" i="6"/>
  <c r="F28" i="6" s="1"/>
  <c r="F25" i="6"/>
  <c r="F27" i="6" s="1"/>
  <c r="I33" i="8" l="1"/>
  <c r="I40" i="8" s="1"/>
  <c r="I12" i="6"/>
  <c r="J30" i="8"/>
  <c r="J17" i="8"/>
  <c r="I21" i="8"/>
  <c r="I28" i="8" s="1"/>
  <c r="I31" i="6"/>
  <c r="I33" i="6" s="1"/>
  <c r="H14" i="6"/>
  <c r="H28" i="6" s="1"/>
  <c r="H25" i="6"/>
  <c r="H27" i="6" s="1"/>
  <c r="J13" i="5"/>
  <c r="J17" i="5" s="1"/>
  <c r="J39" i="8" s="1"/>
  <c r="I39" i="8"/>
  <c r="H40" i="8"/>
  <c r="H42" i="8" s="1"/>
  <c r="I42" i="8" l="1"/>
  <c r="I14" i="6"/>
  <c r="I28" i="6" s="1"/>
  <c r="I25" i="6"/>
  <c r="I27" i="6" s="1"/>
  <c r="J33" i="8"/>
  <c r="J40" i="8" s="1"/>
  <c r="J12" i="6"/>
  <c r="J31" i="6"/>
  <c r="J33" i="6" s="1"/>
  <c r="J21" i="8"/>
  <c r="J28" i="8" s="1"/>
  <c r="J25" i="6" l="1"/>
  <c r="J27" i="6" s="1"/>
  <c r="J14" i="6"/>
  <c r="J28" i="6" s="1"/>
  <c r="J4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<sst xmlns="http://schemas.openxmlformats.org/spreadsheetml/2006/main" count="336" uniqueCount="201">
  <si>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</si>
  <si>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</si>
  <si>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</si>
  <si>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</si>
  <si>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</si>
  <si>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</si>
  <si>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</si>
  <si>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</si>
  <si>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</si>
  <si>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</si>
  <si>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</si>
  <si>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</si>
  <si>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</si>
  <si>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</si>
  <si>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</si>
  <si>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</si>
  <si>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</si>
  <si>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</si>
  <si>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</si>
  <si>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</si>
  <si>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</si>
  <si>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</si>
  <si>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</si>
  <si>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</si>
  <si>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</si>
  <si>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</si>
  <si>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</si>
  <si>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</si>
  <si>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</si>
  <si>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</si>
  <si>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</si>
  <si>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</si>
  <si>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</si>
  <si>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</si>
  <si>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</si>
  <si>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</si>
  <si>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</si>
  <si>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</si>
  <si>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</si>
  <si>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</si>
  <si>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</si>
  <si>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</si>
  <si>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</si>
  <si>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</si>
  <si>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</si>
  <si>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</si>
  <si>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</si>
  <si>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</si>
  <si>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</si>
  <si>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</si>
  <si>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</si>
  <si>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</si>
  <si>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</si>
  <si>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</si>
  <si>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</si>
  <si>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</si>
  <si>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</si>
  <si>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</si>
  <si>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</si>
  <si>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</si>
  <si>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</si>
  <si>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</si>
  <si>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</si>
  <si>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</si>
  <si>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</si>
  <si>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</si>
  <si>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</si>
  <si>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</si>
  <si>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</si>
  <si>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</si>
  <si>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</si>
  <si>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</si>
  <si>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</si>
  <si>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</si>
  <si>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</si>
  <si>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</si>
  <si>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</si>
  <si>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</si>
  <si>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</si>
  <si>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</si>
  <si>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</si>
  <si>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</si>
  <si>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</si>
  <si>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</si>
  <si>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</si>
  <si>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</si>
  <si>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</si>
  <si>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</si>
  <si>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</si>
  <si>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</si>
  <si>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</si>
  <si>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</si>
  <si>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</si>
  <si>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</si>
  <si>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</si>
  <si>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</si>
  <si>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</si>
  <si>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</si>
  <si>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</si>
  <si>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</si>
  <si>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</si>
  <si>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</si>
  <si>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</si>
  <si>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</si>
  <si>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</si>
  <si>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</si>
  <si>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</si>
  <si>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</si>
  <si>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</si>
  <si>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</si>
  <si>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</si>
  <si>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</si>
  <si>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</si>
  <si>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</si>
  <si>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</si>
  <si>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</si>
  <si>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</si>
  <si>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</si>
  <si>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</si>
  <si>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</si>
  <si>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</si>
  <si>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</si>
  <si>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</si>
  <si>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</si>
  <si>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</si>
  <si>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</si>
  <si>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</si>
  <si>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</si>
  <si>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</si>
  <si>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</si>
  <si>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</si>
  <si>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</si>
  <si>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</si>
  <si>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</si>
  <si>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</si>
  <si>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</si>
  <si>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</si>
  <si>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</si>
  <si>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</si>
  <si>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</si>
  <si>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</si>
  <si>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</si>
  <si>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</si>
  <si>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</si>
  <si>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</si>
  <si>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</si>
  <si>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</si>
  <si>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</si>
  <si>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</si>
  <si>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</si>
  <si>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</si>
  <si>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</si>
  <si>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</si>
  <si>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</si>
  <si>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</si>
  <si>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</si>
  <si>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</si>
  <si>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</si>
  <si>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</si>
  <si>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</si>
  <si>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</si>
  <si>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</si>
  <si>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</si>
  <si>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</si>
  <si>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</si>
  <si>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</si>
  <si>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</si>
  <si>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</si>
  <si>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</si>
  <si>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</si>
  <si>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</si>
  <si>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</si>
  <si>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</si>
  <si>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</si>
  <si>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</si>
  <si>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</si>
  <si>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</si>
  <si>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</si>
  <si>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</si>
  <si>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</si>
  <si>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</si>
  <si>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</si>
  <si>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</si>
  <si>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</si>
  <si>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</si>
  <si>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</si>
  <si>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LTGR</t>
  </si>
  <si>
    <t>Exit Mult.</t>
  </si>
  <si>
    <t>Texas Roadhouse Inc</t>
  </si>
  <si>
    <t>(inc) / dec in LT Assets</t>
  </si>
  <si>
    <t>inc / (dec) in LT liabilities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</si>
  <si>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</si>
  <si>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</si>
  <si>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</si>
  <si>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</si>
  <si>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</si>
  <si>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</si>
  <si>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</si>
  <si>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</si>
  <si>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>DDM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</si>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</sst>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5" formatCode="&quot;$&quot;#,##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79" fontId="37" fillId="0" borderId="0" xfId="0" applyNumberFormat="1" applyFont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81" fontId="37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85" fontId="39" fillId="0" borderId="0" xfId="0" applyNumberFormat="1" applyFont="1" applyAlignment="1">
      <alignment horizontal="center"/>
    </xf>
    <xf numFmtId="172" fontId="37" fillId="0" borderId="15" xfId="3" applyNumberFormat="1" applyFont="1" applyFill="1" applyBorder="1" applyAlignment="1" applyProtection="1">
      <alignment horizontal="center"/>
    </xf>
    <xf numFmtId="176" fontId="37" fillId="0" borderId="15" xfId="3" applyNumberFormat="1" applyFont="1" applyFill="1" applyBorder="1" applyAlignment="1" applyProtection="1">
      <alignment horizontal="center"/>
    </xf>
    <xf numFmtId="167" fontId="33" fillId="0" borderId="0" xfId="0" applyFont="1" applyAlignment="1">
      <alignment horizontal="center"/>
    </xf>
    <xf numFmtId="180" fontId="39" fillId="0" borderId="0" xfId="0" applyNumberFormat="1" applyFont="1" applyBorder="1" applyAlignment="1">
      <alignment horizontal="center"/>
    </xf>
    <xf numFmtId="173" fontId="39" fillId="0" borderId="18" xfId="0" applyNumberFormat="1" applyFont="1" applyBorder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76" fontId="35" fillId="0" borderId="0" xfId="59" applyNumberFormat="1" applyFont="1" applyAlignment="1" applyProtection="1">
      <alignment horizontal="center"/>
    </xf>
    <xf numFmtId="10" fontId="39" fillId="0" borderId="0" xfId="4" applyNumberFormat="1" applyFont="1" applyFill="1" applyBorder="1" applyAlignment="1" applyProtection="1">
      <alignment horizontal="center"/>
    </xf>
    <xf numFmtId="9" fontId="45" fillId="0" borderId="0" xfId="0" applyNumberFormat="1" applyFont="1"/>
    <xf numFmtId="9" fontId="39" fillId="0" borderId="18" xfId="4" applyNumberFormat="1" applyFont="1" applyFill="1" applyBorder="1"/>
    <xf numFmtId="166" fontId="39" fillId="0" borderId="0" xfId="57" applyFont="1" applyFill="1"/>
    <xf numFmtId="10" fontId="39" fillId="0" borderId="0" xfId="59" applyNumberFormat="1" applyFont="1" applyBorder="1" applyAlignment="1" applyProtection="1">
      <alignment horizontal="center"/>
    </xf>
    <xf numFmtId="167" fontId="39" fillId="0" borderId="0" xfId="0" applyFont="1" applyBorder="1" applyAlignment="1">
      <alignment horizontal="center"/>
    </xf>
    <xf numFmtId="166" fontId="39" fillId="0" borderId="0" xfId="59" applyFont="1" applyBorder="1" applyAlignment="1" applyProtection="1">
      <alignment horizontal="center"/>
    </xf>
    <xf numFmtId="185" fontId="39" fillId="0" borderId="20" xfId="0" applyNumberFormat="1" applyFont="1" applyBorder="1" applyAlignment="1">
      <alignment horizontal="center"/>
    </xf>
    <xf numFmtId="185" fontId="39" fillId="0" borderId="15" xfId="59" applyNumberFormat="1" applyFont="1" applyBorder="1" applyAlignment="1" applyProtection="1">
      <alignment horizontal="center"/>
    </xf>
    <xf numFmtId="176" fontId="39" fillId="0" borderId="0" xfId="59" applyNumberFormat="1" applyFont="1" applyBorder="1" applyAlignment="1" applyProtection="1">
      <alignment horizontal="center"/>
    </xf>
    <xf numFmtId="185" fontId="45" fillId="0" borderId="15" xfId="59" applyNumberFormat="1" applyFont="1" applyBorder="1" applyAlignment="1" applyProtection="1">
      <alignment horizontal="center"/>
    </xf>
    <xf numFmtId="185" fontId="45" fillId="0" borderId="0" xfId="59" applyNumberFormat="1" applyFont="1" applyAlignment="1" applyProtection="1">
      <alignment horizontal="center"/>
    </xf>
    <xf numFmtId="185" fontId="45" fillId="0" borderId="0" xfId="4" applyNumberFormat="1" applyFont="1" applyFill="1" applyBorder="1" applyAlignment="1" applyProtection="1">
      <alignment horizontal="center"/>
    </xf>
    <xf numFmtId="185" fontId="45" fillId="0" borderId="0" xfId="0" applyNumberFormat="1" applyFont="1" applyAlignment="1">
      <alignment horizontal="center"/>
    </xf>
    <xf numFmtId="9" fontId="68" fillId="33" borderId="1" xfId="3" applyNumberFormat="1" applyFont="1" applyAlignment="1">
      <alignment horizontal="center"/>
    </xf>
    <xf numFmtId="167" fontId="33" fillId="0" borderId="0" xfId="0" applyFont="1" applyFill="1"/>
    <xf numFmtId="167" fontId="39" fillId="0" borderId="0" xfId="0" applyFont="1" applyFill="1"/>
    <xf numFmtId="167" fontId="35" fillId="0" borderId="0" xfId="0" applyFont="1" applyFill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A5" sqref="A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9.5703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46" t="str">
        <f>CoName</f>
        <v>Texas Roadhouse Inc</v>
      </c>
      <c r="B1" s="2"/>
      <c r="C1" s="2"/>
      <c r="D1" s="153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4" t="s">
        <v>182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4" spans="1:15" x14ac:dyDescent="0.25">
      <c r="B4" s="4" t="s">
        <v>3</v>
      </c>
      <c r="C4" s="50" t="s">
        <v>188</v>
      </c>
      <c r="E4" s="4" t="s">
        <v>169</v>
      </c>
      <c r="F4" s="220">
        <v>170</v>
      </c>
      <c r="H4" s="167" t="s">
        <v>183</v>
      </c>
      <c r="I4" s="166" t="s">
        <v>180</v>
      </c>
      <c r="J4" s="166" t="s">
        <v>181</v>
      </c>
      <c r="K4" s="166" t="s">
        <v>199</v>
      </c>
      <c r="L4" s="166" t="s">
        <v>200</v>
      </c>
    </row>
    <row r="5" spans="1:15" x14ac:dyDescent="0.25">
      <c r="B5" s="4" t="s">
        <v>4</v>
      </c>
      <c r="C5" s="51">
        <v>247.43</v>
      </c>
      <c r="E5" s="4" t="s">
        <v>174</v>
      </c>
      <c r="F5" s="159">
        <v>66146</v>
      </c>
      <c r="H5" s="166" t="s">
        <v>176</v>
      </c>
      <c r="I5" s="226">
        <f>'DCF Model'!C18</f>
        <v>187.20703487900317</v>
      </c>
      <c r="J5" s="225">
        <f>'DCF Model'!G18</f>
        <v>286.15222434712973</v>
      </c>
      <c r="K5" s="225">
        <f>'DCF Model'!H18</f>
        <v>0</v>
      </c>
      <c r="L5" s="225">
        <f>AVERAGE(I5:K5)</f>
        <v>157.7864197420443</v>
      </c>
    </row>
    <row r="6" spans="1:15" x14ac:dyDescent="0.25">
      <c r="B6" s="4" t="s">
        <v>5</v>
      </c>
      <c r="C6" s="50" t="s">
        <v>9</v>
      </c>
      <c r="E6" s="4" t="s">
        <v>104</v>
      </c>
      <c r="F6" s="159">
        <f>F5*F4</f>
        <v>11244820</v>
      </c>
      <c r="H6" s="166" t="s">
        <v>177</v>
      </c>
      <c r="I6" s="290">
        <f>I5/$F$4-1</f>
        <v>0.10121785222943047</v>
      </c>
      <c r="J6" s="290">
        <f>J5/$F$4-1</f>
        <v>0.68324837851252784</v>
      </c>
      <c r="K6" s="290">
        <f t="shared" ref="K6:L6" si="0">K5/$F$4-1</f>
        <v>-1</v>
      </c>
      <c r="L6" s="290">
        <f t="shared" si="0"/>
        <v>-7.1844589752680599E-2</v>
      </c>
    </row>
    <row r="7" spans="1:15" x14ac:dyDescent="0.25">
      <c r="B7" s="4" t="s">
        <v>6</v>
      </c>
      <c r="C7" s="50" t="s">
        <v>8</v>
      </c>
      <c r="E7" s="4" t="s">
        <v>175</v>
      </c>
      <c r="F7" s="50">
        <v>108172</v>
      </c>
    </row>
    <row r="8" spans="1:15" x14ac:dyDescent="0.25">
      <c r="B8" s="4" t="s">
        <v>2</v>
      </c>
      <c r="C8" s="50" t="s">
        <v>87</v>
      </c>
      <c r="E8" s="4" t="s">
        <v>146</v>
      </c>
      <c r="F8" s="50">
        <f>903788+29956</f>
        <v>933744</v>
      </c>
    </row>
    <row r="9" spans="1:15" x14ac:dyDescent="0.25">
      <c r="B9" s="4" t="s">
        <v>7</v>
      </c>
      <c r="C9" s="50">
        <v>0</v>
      </c>
      <c r="E9" s="4" t="s">
        <v>118</v>
      </c>
      <c r="F9" s="50">
        <f>F6-F7+F8</f>
        <v>12070392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46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topLeftCell="B1" zoomScaleNormal="100" workbookViewId="0">
      <selection activeCell="F17" sqref="F17:J1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20" x14ac:dyDescent="0.25">
      <c r="A2" s="63" t="s">
        <v>126</v>
      </c>
      <c r="B2" s="254" t="s">
        <v>127</v>
      </c>
      <c r="C2" s="254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193"/>
      <c r="L2" s="193"/>
    </row>
    <row r="3" spans="1:20" x14ac:dyDescent="0.25">
      <c r="A3" s="85"/>
      <c r="B3" s="158"/>
      <c r="C3" s="193"/>
      <c r="D3" s="193"/>
      <c r="E3" s="193"/>
      <c r="F3" s="193"/>
      <c r="G3" s="193"/>
      <c r="H3" s="193"/>
      <c r="I3" s="193"/>
      <c r="J3" s="193"/>
      <c r="K3" s="193"/>
      <c r="L3" s="193"/>
    </row>
    <row r="4" spans="1:20" x14ac:dyDescent="0.25">
      <c r="B4" s="93" t="s">
        <v>133</v>
      </c>
      <c r="C4"/>
      <c r="D4" s="251">
        <v>1</v>
      </c>
      <c r="E4"/>
      <c r="F4"/>
      <c r="G4" s="88"/>
      <c r="H4" s="88"/>
      <c r="I4" s="88"/>
      <c r="J4" s="88"/>
      <c r="K4" s="88"/>
      <c r="M4" s="227"/>
      <c r="N4" s="228"/>
      <c r="O4" s="228"/>
    </row>
    <row r="5" spans="1:20" x14ac:dyDescent="0.25">
      <c r="B5" s="87"/>
      <c r="C5" s="89"/>
      <c r="D5" s="112" t="s">
        <v>128</v>
      </c>
      <c r="E5" s="90"/>
      <c r="K5" s="88"/>
      <c r="M5" s="229"/>
      <c r="N5" s="230"/>
      <c r="O5" s="230"/>
    </row>
    <row r="6" spans="1:20" x14ac:dyDescent="0.25">
      <c r="B6" s="91" t="s">
        <v>134</v>
      </c>
      <c r="D6" s="100">
        <v>0</v>
      </c>
      <c r="E6" s="92"/>
      <c r="F6" s="100">
        <v>9.7000000000000003E-2</v>
      </c>
      <c r="G6" s="100">
        <v>0.106</v>
      </c>
      <c r="H6" s="100">
        <f>G6-0.005</f>
        <v>0.10099999999999999</v>
      </c>
      <c r="I6" s="100">
        <f t="shared" ref="I6:J6" si="1">H6-0.005</f>
        <v>9.5999999999999988E-2</v>
      </c>
      <c r="J6" s="100">
        <f t="shared" si="1"/>
        <v>9.0999999999999984E-2</v>
      </c>
      <c r="K6" s="168"/>
      <c r="M6" s="168"/>
      <c r="N6" s="231"/>
      <c r="O6" s="231"/>
      <c r="P6" s="231"/>
      <c r="Q6" s="231"/>
      <c r="R6" s="231"/>
      <c r="S6" s="231"/>
      <c r="T6" s="231"/>
    </row>
    <row r="7" spans="1:20" x14ac:dyDescent="0.25">
      <c r="B7" s="4" t="s">
        <v>130</v>
      </c>
      <c r="D7" s="100">
        <v>2.5000000000000001E-2</v>
      </c>
      <c r="E7" s="92"/>
      <c r="F7" s="100">
        <f>F6+$D$7</f>
        <v>0.122</v>
      </c>
      <c r="G7" s="100">
        <f t="shared" ref="G7:J7" si="2">G6+$D$7</f>
        <v>0.13100000000000001</v>
      </c>
      <c r="H7" s="100">
        <f t="shared" si="2"/>
        <v>0.126</v>
      </c>
      <c r="I7" s="100">
        <f t="shared" si="2"/>
        <v>0.121</v>
      </c>
      <c r="J7" s="100">
        <f t="shared" si="2"/>
        <v>0.11599999999999999</v>
      </c>
      <c r="K7" s="168"/>
      <c r="M7" s="168"/>
      <c r="N7" s="168"/>
      <c r="O7" s="168"/>
      <c r="P7" s="168"/>
      <c r="Q7" s="168"/>
      <c r="R7" s="168"/>
      <c r="S7" s="168"/>
      <c r="T7" s="168"/>
    </row>
    <row r="8" spans="1:20" x14ac:dyDescent="0.25">
      <c r="B8" s="4" t="s">
        <v>129</v>
      </c>
      <c r="D8" s="100">
        <v>-2.5000000000000001E-2</v>
      </c>
      <c r="E8" s="92"/>
      <c r="F8" s="100">
        <f>F6+$D$8</f>
        <v>7.2000000000000008E-2</v>
      </c>
      <c r="G8" s="100">
        <f t="shared" ref="G8:J8" si="3">G6+$D$8</f>
        <v>8.0999999999999989E-2</v>
      </c>
      <c r="H8" s="100">
        <f t="shared" si="3"/>
        <v>7.5999999999999984E-2</v>
      </c>
      <c r="I8" s="100">
        <f t="shared" si="3"/>
        <v>7.099999999999998E-2</v>
      </c>
      <c r="J8" s="100">
        <f t="shared" si="3"/>
        <v>6.5999999999999975E-2</v>
      </c>
      <c r="K8" s="168"/>
    </row>
    <row r="9" spans="1:20" x14ac:dyDescent="0.25">
      <c r="K9" s="29"/>
      <c r="L9" s="29"/>
      <c r="M9" s="168"/>
      <c r="N9" s="168"/>
    </row>
    <row r="10" spans="1:20" x14ac:dyDescent="0.25">
      <c r="B10" s="117" t="s">
        <v>151</v>
      </c>
      <c r="C10" s="188"/>
      <c r="D10" s="266">
        <f>IncState!D16/IncState!C16-1</f>
        <v>0.15361530332243323</v>
      </c>
      <c r="E10" s="189">
        <f>IncState!E16/IncState!D16-1</f>
        <v>0.16012791924816794</v>
      </c>
      <c r="F10" s="104">
        <f t="shared" ref="F10" si="4">CHOOSE(ScenarioREV,F6,F7,F8)</f>
        <v>9.7000000000000003E-2</v>
      </c>
      <c r="G10" s="104">
        <f t="shared" ref="G10:J10" si="5">CHOOSE(ScenarioREV,G6,G7,G8)</f>
        <v>0.106</v>
      </c>
      <c r="H10" s="104">
        <f t="shared" si="5"/>
        <v>0.10099999999999999</v>
      </c>
      <c r="I10" s="104">
        <f t="shared" si="5"/>
        <v>9.5999999999999988E-2</v>
      </c>
      <c r="J10" s="104">
        <f t="shared" si="5"/>
        <v>9.0999999999999984E-2</v>
      </c>
      <c r="K10" s="28"/>
      <c r="L10" s="28"/>
      <c r="M10" s="168"/>
      <c r="N10" s="168"/>
    </row>
    <row r="11" spans="1:20" x14ac:dyDescent="0.25">
      <c r="B11" s="4" t="s">
        <v>135</v>
      </c>
      <c r="C11" s="8">
        <f>IncState!C17/IncState!C16</f>
        <v>0.8768321353432037</v>
      </c>
      <c r="D11" s="8">
        <f>IncState!D17/IncState!D16</f>
        <v>0.88068110177059167</v>
      </c>
      <c r="E11" s="8">
        <f>IncState!E17/IncState!E16</f>
        <v>0.86209506503599631</v>
      </c>
      <c r="F11" s="100">
        <f>E11-0.01</f>
        <v>0.8520950650359963</v>
      </c>
      <c r="G11" s="100">
        <f t="shared" ref="G11:J11" si="6">F11-0.01</f>
        <v>0.84209506503599629</v>
      </c>
      <c r="H11" s="100">
        <f t="shared" si="6"/>
        <v>0.83209506503599628</v>
      </c>
      <c r="I11" s="100">
        <f t="shared" si="6"/>
        <v>0.82209506503599628</v>
      </c>
      <c r="J11" s="100">
        <f t="shared" si="6"/>
        <v>0.81209506503599627</v>
      </c>
      <c r="K11" s="168"/>
      <c r="L11" s="168"/>
      <c r="M11" s="168"/>
      <c r="N11" s="168"/>
    </row>
    <row r="12" spans="1:20" x14ac:dyDescent="0.25">
      <c r="B12" s="4" t="s">
        <v>45</v>
      </c>
      <c r="C12" s="8">
        <f>IncState!C18/IncState!C16</f>
        <v>4.301755527321971E-2</v>
      </c>
      <c r="D12" s="8">
        <f>IncState!D18/IncState!D16</f>
        <v>4.2831616746609E-2</v>
      </c>
      <c r="E12" s="8">
        <f>IncState!E18/IncState!E16</f>
        <v>4.1550382518705339E-2</v>
      </c>
      <c r="F12" s="100">
        <f>E12-0.0005</f>
        <v>4.1050382518705339E-2</v>
      </c>
      <c r="G12" s="100">
        <f t="shared" ref="G12:J12" si="7">F12-0.0005</f>
        <v>4.0550382518705338E-2</v>
      </c>
      <c r="H12" s="100">
        <f t="shared" si="7"/>
        <v>4.0050382518705338E-2</v>
      </c>
      <c r="I12" s="100">
        <f t="shared" si="7"/>
        <v>3.9550382518705338E-2</v>
      </c>
      <c r="J12" s="100">
        <f t="shared" si="7"/>
        <v>3.9050382518705337E-2</v>
      </c>
      <c r="K12" s="168"/>
      <c r="L12" s="168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1">
        <f>E13</f>
        <v>0</v>
      </c>
      <c r="G13" s="101">
        <f t="shared" ref="G13:J13" si="8">F13</f>
        <v>0</v>
      </c>
      <c r="H13" s="101">
        <f t="shared" si="8"/>
        <v>0</v>
      </c>
      <c r="I13" s="101">
        <f t="shared" si="8"/>
        <v>0</v>
      </c>
      <c r="J13" s="101">
        <f t="shared" si="8"/>
        <v>0</v>
      </c>
      <c r="K13" s="194"/>
      <c r="L13" s="194"/>
    </row>
    <row r="14" spans="1:20" x14ac:dyDescent="0.25">
      <c r="B14" s="4" t="s">
        <v>138</v>
      </c>
      <c r="C14" s="4">
        <f>IncState!C25</f>
        <v>-1600</v>
      </c>
      <c r="D14" s="4">
        <f>IncState!D25</f>
        <v>-275</v>
      </c>
      <c r="E14" s="4">
        <f>IncState!E25</f>
        <v>-1226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94"/>
      <c r="L14" s="194"/>
    </row>
    <row r="15" spans="1:20" x14ac:dyDescent="0.25">
      <c r="B15" s="4" t="s">
        <v>140</v>
      </c>
      <c r="C15" s="4">
        <f>IncState!C26</f>
        <v>1239</v>
      </c>
      <c r="D15" s="4">
        <f>IncState!D26</f>
        <v>1351</v>
      </c>
      <c r="E15" s="4">
        <f>IncState!E26</f>
        <v>1197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94"/>
      <c r="L15" s="194"/>
    </row>
    <row r="16" spans="1:20" x14ac:dyDescent="0.25">
      <c r="B16" s="4" t="s">
        <v>48</v>
      </c>
      <c r="C16" s="8">
        <f>IncState!C33/IncState!C31</f>
        <v>0.13537744029333068</v>
      </c>
      <c r="D16" s="8">
        <f>IncState!D33/IncState!D31</f>
        <v>0.12450954966410949</v>
      </c>
      <c r="E16" s="8">
        <f>IncState!E33/IncState!E31</f>
        <v>0.15280558256592119</v>
      </c>
      <c r="F16" s="100">
        <v>0.21</v>
      </c>
      <c r="G16" s="100">
        <f t="shared" ref="G16:J16" si="9">F16</f>
        <v>0.21</v>
      </c>
      <c r="H16" s="100">
        <f t="shared" si="9"/>
        <v>0.21</v>
      </c>
      <c r="I16" s="100">
        <f t="shared" si="9"/>
        <v>0.21</v>
      </c>
      <c r="J16" s="100">
        <f t="shared" si="9"/>
        <v>0.21</v>
      </c>
      <c r="K16" s="168"/>
      <c r="L16" s="168"/>
    </row>
    <row r="17" spans="1:12" s="257" customFormat="1" x14ac:dyDescent="0.25">
      <c r="B17" s="257" t="s">
        <v>141</v>
      </c>
      <c r="C17" s="257">
        <f>IncState!C35</f>
        <v>1.84</v>
      </c>
      <c r="D17" s="257">
        <f>IncState!D35</f>
        <v>2.2000000000000002</v>
      </c>
      <c r="E17" s="257">
        <f>IncState!E35</f>
        <v>2.44</v>
      </c>
      <c r="F17" s="258">
        <f>E17+0.5</f>
        <v>2.94</v>
      </c>
      <c r="G17" s="258">
        <f t="shared" ref="G17:J17" si="10">F17+0.5</f>
        <v>3.44</v>
      </c>
      <c r="H17" s="258">
        <f t="shared" si="10"/>
        <v>3.94</v>
      </c>
      <c r="I17" s="258">
        <f t="shared" si="10"/>
        <v>4.4399999999999995</v>
      </c>
      <c r="J17" s="258">
        <f t="shared" si="10"/>
        <v>4.9399999999999995</v>
      </c>
      <c r="K17" s="259"/>
      <c r="L17" s="259"/>
    </row>
    <row r="18" spans="1:12" x14ac:dyDescent="0.25">
      <c r="B18" s="4" t="s">
        <v>49</v>
      </c>
      <c r="C18" s="4">
        <f>IncState!C38</f>
        <v>67643</v>
      </c>
      <c r="D18" s="4">
        <f>IncState!D38</f>
        <v>66893</v>
      </c>
      <c r="E18" s="4">
        <f>IncState!E38</f>
        <v>66752</v>
      </c>
      <c r="F18" s="101">
        <f>E18</f>
        <v>66752</v>
      </c>
      <c r="G18" s="101">
        <f t="shared" ref="G18:J18" si="11">F18</f>
        <v>66752</v>
      </c>
      <c r="H18" s="101">
        <f t="shared" si="11"/>
        <v>66752</v>
      </c>
      <c r="I18" s="101">
        <f t="shared" si="11"/>
        <v>66752</v>
      </c>
      <c r="J18" s="101">
        <f t="shared" si="11"/>
        <v>66752</v>
      </c>
      <c r="K18" s="194"/>
      <c r="L18" s="194"/>
    </row>
    <row r="19" spans="1:12" x14ac:dyDescent="0.25">
      <c r="B19" s="4" t="s">
        <v>50</v>
      </c>
      <c r="C19" s="4">
        <f>IncState!C39</f>
        <v>67920</v>
      </c>
      <c r="D19" s="4">
        <f>IncState!D39</f>
        <v>67149</v>
      </c>
      <c r="E19" s="4">
        <f>IncState!E39</f>
        <v>67011</v>
      </c>
      <c r="F19" s="101">
        <f>E19</f>
        <v>67011</v>
      </c>
      <c r="G19" s="101">
        <f t="shared" ref="G19:J19" si="12">F19</f>
        <v>67011</v>
      </c>
      <c r="H19" s="101">
        <f t="shared" si="12"/>
        <v>67011</v>
      </c>
      <c r="I19" s="101">
        <f t="shared" si="12"/>
        <v>67011</v>
      </c>
      <c r="J19" s="101">
        <f t="shared" si="12"/>
        <v>67011</v>
      </c>
      <c r="K19" s="194"/>
      <c r="L19" s="194"/>
    </row>
    <row r="20" spans="1:12" x14ac:dyDescent="0.25">
      <c r="F20" s="103"/>
      <c r="G20" s="103"/>
      <c r="H20" s="103"/>
      <c r="I20" s="103"/>
      <c r="J20" s="103"/>
      <c r="K20" s="168"/>
      <c r="L20" s="168"/>
    </row>
    <row r="21" spans="1:12" x14ac:dyDescent="0.25">
      <c r="A21" s="63" t="s">
        <v>126</v>
      </c>
      <c r="B21" s="106" t="s">
        <v>146</v>
      </c>
      <c r="C21" s="254">
        <f>C2</f>
        <v>2022</v>
      </c>
      <c r="D21" s="254">
        <f>D2</f>
        <v>2023</v>
      </c>
      <c r="E21" s="254">
        <f>E2</f>
        <v>2024</v>
      </c>
      <c r="F21" s="254">
        <f>F2</f>
        <v>2025</v>
      </c>
      <c r="G21" s="254">
        <f>G2</f>
        <v>2026</v>
      </c>
      <c r="H21" s="254">
        <f>H2</f>
        <v>2027</v>
      </c>
      <c r="I21" s="254">
        <f>I2</f>
        <v>2028</v>
      </c>
      <c r="J21" s="254">
        <f>J2</f>
        <v>2029</v>
      </c>
      <c r="K21" s="195"/>
      <c r="L21" s="195"/>
    </row>
    <row r="22" spans="1:12" x14ac:dyDescent="0.25">
      <c r="A22" s="85"/>
      <c r="B22" s="158"/>
      <c r="C22" s="193"/>
      <c r="D22" s="193"/>
      <c r="E22" s="193"/>
      <c r="F22" s="195"/>
      <c r="G22" s="195"/>
      <c r="H22" s="195"/>
      <c r="I22" s="195"/>
      <c r="J22" s="195"/>
      <c r="K22" s="195"/>
      <c r="L22" s="195"/>
    </row>
    <row r="23" spans="1:12" x14ac:dyDescent="0.25">
      <c r="B23" s="4" t="s">
        <v>139</v>
      </c>
      <c r="E23" s="8">
        <v>0.05</v>
      </c>
      <c r="F23" s="100">
        <f>E23</f>
        <v>0.05</v>
      </c>
      <c r="G23" s="100">
        <f t="shared" ref="G23:J23" si="13">F23</f>
        <v>0.05</v>
      </c>
      <c r="H23" s="100">
        <f t="shared" si="13"/>
        <v>0.05</v>
      </c>
      <c r="I23" s="100">
        <f t="shared" si="13"/>
        <v>0.05</v>
      </c>
      <c r="J23" s="100">
        <f t="shared" si="13"/>
        <v>0.05</v>
      </c>
      <c r="K23" s="168"/>
      <c r="L23" s="168"/>
    </row>
    <row r="24" spans="1:12" x14ac:dyDescent="0.25">
      <c r="B24" s="4" t="s">
        <v>26</v>
      </c>
      <c r="E24" s="8">
        <v>0.04</v>
      </c>
      <c r="F24" s="100">
        <f>E24</f>
        <v>0.04</v>
      </c>
      <c r="G24" s="100">
        <f t="shared" ref="G24:J24" si="14">F24</f>
        <v>0.04</v>
      </c>
      <c r="H24" s="100">
        <f t="shared" si="14"/>
        <v>0.04</v>
      </c>
      <c r="I24" s="100">
        <f t="shared" si="14"/>
        <v>0.04</v>
      </c>
      <c r="J24" s="100">
        <f t="shared" si="14"/>
        <v>0.04</v>
      </c>
      <c r="K24" s="168"/>
      <c r="L24" s="168"/>
    </row>
    <row r="25" spans="1:12" x14ac:dyDescent="0.25">
      <c r="B25" s="4" t="s">
        <v>27</v>
      </c>
      <c r="C25" s="8"/>
      <c r="D25" s="8"/>
      <c r="E25" s="8">
        <v>0.04</v>
      </c>
      <c r="F25" s="126">
        <f>E25</f>
        <v>0.04</v>
      </c>
      <c r="G25" s="126">
        <f t="shared" ref="G25:J25" si="15">F25</f>
        <v>0.04</v>
      </c>
      <c r="H25" s="126">
        <f t="shared" si="15"/>
        <v>0.04</v>
      </c>
      <c r="I25" s="126">
        <f t="shared" si="15"/>
        <v>0.04</v>
      </c>
      <c r="J25" s="126">
        <f t="shared" si="15"/>
        <v>0.04</v>
      </c>
      <c r="K25" s="168"/>
      <c r="L25" s="168"/>
    </row>
    <row r="26" spans="1:12" x14ac:dyDescent="0.25">
      <c r="F26" s="103"/>
      <c r="G26" s="103"/>
      <c r="H26" s="103"/>
      <c r="I26" s="103"/>
      <c r="J26" s="103"/>
      <c r="K26" s="168"/>
      <c r="L26" s="168"/>
    </row>
    <row r="27" spans="1:12" x14ac:dyDescent="0.25">
      <c r="B27" s="4" t="s">
        <v>28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94"/>
      <c r="L27" s="194"/>
    </row>
    <row r="28" spans="1:12" x14ac:dyDescent="0.25">
      <c r="B28" s="4" t="s">
        <v>29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94"/>
      <c r="L28" s="194"/>
    </row>
    <row r="29" spans="1:12" x14ac:dyDescent="0.25">
      <c r="F29" s="103"/>
      <c r="G29" s="103"/>
      <c r="H29" s="103"/>
      <c r="I29" s="103"/>
      <c r="J29" s="103"/>
      <c r="K29" s="168"/>
      <c r="L29" s="168"/>
    </row>
    <row r="30" spans="1:12" x14ac:dyDescent="0.25">
      <c r="A30" s="63" t="s">
        <v>126</v>
      </c>
      <c r="B30" s="106" t="s">
        <v>143</v>
      </c>
      <c r="C30" s="254">
        <f>C21</f>
        <v>2022</v>
      </c>
      <c r="D30" s="254">
        <f t="shared" ref="D30:J30" si="16">D21</f>
        <v>2023</v>
      </c>
      <c r="E30" s="254">
        <f t="shared" si="16"/>
        <v>2024</v>
      </c>
      <c r="F30" s="254">
        <f t="shared" si="16"/>
        <v>2025</v>
      </c>
      <c r="G30" s="254">
        <f t="shared" si="16"/>
        <v>2026</v>
      </c>
      <c r="H30" s="254">
        <f t="shared" si="16"/>
        <v>2027</v>
      </c>
      <c r="I30" s="254">
        <f t="shared" si="16"/>
        <v>2028</v>
      </c>
      <c r="J30" s="254">
        <f t="shared" si="16"/>
        <v>2029</v>
      </c>
      <c r="K30" s="196"/>
      <c r="L30" s="196"/>
    </row>
    <row r="31" spans="1:12" x14ac:dyDescent="0.25">
      <c r="A31" s="85"/>
      <c r="B31" s="158"/>
      <c r="C31" s="193"/>
      <c r="D31" s="193"/>
      <c r="E31" s="193"/>
      <c r="F31" s="195"/>
      <c r="G31" s="195"/>
      <c r="H31" s="195"/>
      <c r="I31" s="195"/>
      <c r="J31" s="195"/>
      <c r="K31" s="196"/>
      <c r="L31" s="196"/>
    </row>
    <row r="32" spans="1:12" x14ac:dyDescent="0.25">
      <c r="B32" s="4" t="s">
        <v>144</v>
      </c>
      <c r="C32" s="8">
        <f>246121/IncState!C16</f>
        <v>6.1301610318913034E-2</v>
      </c>
      <c r="D32" s="8">
        <f>347034/IncState!D16</f>
        <v>7.4926290117262193E-2</v>
      </c>
      <c r="E32" s="8">
        <f>354341/IncState!E16</f>
        <v>6.5944371202077218E-2</v>
      </c>
      <c r="F32" s="219">
        <f>AVERAGE(C32:E32)</f>
        <v>6.7390757212750813E-2</v>
      </c>
      <c r="G32" s="219">
        <f t="shared" ref="G32:J32" si="17">F32</f>
        <v>6.7390757212750813E-2</v>
      </c>
      <c r="H32" s="219">
        <f t="shared" si="17"/>
        <v>6.7390757212750813E-2</v>
      </c>
      <c r="I32" s="219">
        <f t="shared" si="17"/>
        <v>6.7390757212750813E-2</v>
      </c>
      <c r="J32" s="219">
        <f t="shared" si="17"/>
        <v>6.7390757212750813E-2</v>
      </c>
      <c r="K32" s="168"/>
      <c r="L32" s="168"/>
    </row>
    <row r="33" spans="1:12" x14ac:dyDescent="0.25">
      <c r="B33" s="4" t="s">
        <v>157</v>
      </c>
      <c r="D33" s="8">
        <f>IncState!D21/BalSheet!C23</f>
        <v>8.060687980208428E-2</v>
      </c>
      <c r="E33" s="8">
        <f>IncState!E21/BalSheet!D23</f>
        <v>8.2147850176323908E-2</v>
      </c>
      <c r="F33" s="100">
        <f>E33</f>
        <v>8.2147850176323908E-2</v>
      </c>
      <c r="G33" s="100">
        <f t="shared" ref="G33:J33" si="18">F33</f>
        <v>8.2147850176323908E-2</v>
      </c>
      <c r="H33" s="100">
        <f t="shared" si="18"/>
        <v>8.2147850176323908E-2</v>
      </c>
      <c r="I33" s="100">
        <f t="shared" si="18"/>
        <v>8.2147850176323908E-2</v>
      </c>
      <c r="J33" s="100">
        <f t="shared" si="18"/>
        <v>8.2147850176323908E-2</v>
      </c>
      <c r="K33" s="168"/>
      <c r="L33" s="168"/>
    </row>
    <row r="34" spans="1:12" x14ac:dyDescent="0.25">
      <c r="B34" s="4" t="s">
        <v>145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97"/>
      <c r="L34" s="197"/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3" t="s">
        <v>126</v>
      </c>
      <c r="B36" s="106" t="s">
        <v>131</v>
      </c>
      <c r="C36" s="254">
        <f>C30</f>
        <v>2022</v>
      </c>
      <c r="D36" s="254">
        <f t="shared" ref="D36:J36" si="19">D30</f>
        <v>2023</v>
      </c>
      <c r="E36" s="254">
        <f t="shared" si="19"/>
        <v>2024</v>
      </c>
      <c r="F36" s="254">
        <f t="shared" si="19"/>
        <v>2025</v>
      </c>
      <c r="G36" s="254">
        <f t="shared" si="19"/>
        <v>2026</v>
      </c>
      <c r="H36" s="254">
        <f t="shared" si="19"/>
        <v>2027</v>
      </c>
      <c r="I36" s="254">
        <f t="shared" si="19"/>
        <v>2028</v>
      </c>
      <c r="J36" s="254">
        <f t="shared" si="19"/>
        <v>2029</v>
      </c>
      <c r="K36" s="196"/>
      <c r="L36" s="196"/>
    </row>
    <row r="37" spans="1:12" x14ac:dyDescent="0.25">
      <c r="A37" s="85"/>
      <c r="B37" s="158"/>
      <c r="C37" s="193"/>
      <c r="D37" s="193"/>
      <c r="E37" s="193"/>
      <c r="F37" s="252"/>
      <c r="G37" s="252"/>
      <c r="H37" s="252"/>
      <c r="I37" s="252"/>
      <c r="J37" s="252"/>
      <c r="K37" s="196"/>
      <c r="L37" s="196"/>
    </row>
    <row r="38" spans="1:12" x14ac:dyDescent="0.25">
      <c r="B38" s="4" t="s">
        <v>142</v>
      </c>
      <c r="C38" s="8">
        <f>BalSheet!C16/IncState!C16</f>
        <v>0.01</v>
      </c>
      <c r="D38" s="8">
        <f>BalSheet!D16/IncState!D16</f>
        <v>0.01</v>
      </c>
      <c r="E38" s="8">
        <f>BalSheet!E16/IncState!E16</f>
        <v>0.01</v>
      </c>
      <c r="F38" s="100">
        <f>E38</f>
        <v>0.01</v>
      </c>
      <c r="G38" s="100">
        <f t="shared" ref="G38:J38" si="20">F38</f>
        <v>0.01</v>
      </c>
      <c r="H38" s="100">
        <f t="shared" si="20"/>
        <v>0.01</v>
      </c>
      <c r="I38" s="100">
        <f t="shared" si="20"/>
        <v>0.01</v>
      </c>
      <c r="J38" s="100">
        <f t="shared" si="20"/>
        <v>0.01</v>
      </c>
      <c r="K38" s="168"/>
      <c r="L38" s="168"/>
    </row>
    <row r="39" spans="1:12" x14ac:dyDescent="0.25">
      <c r="B39" s="4" t="s">
        <v>155</v>
      </c>
      <c r="C39" s="8">
        <f>BalSheet!C18/IncState!C16</f>
        <v>3.7426408851585796E-2</v>
      </c>
      <c r="D39" s="8">
        <f>BalSheet!D18/IncState!D16</f>
        <v>3.7885670660616724E-2</v>
      </c>
      <c r="E39" s="8">
        <f>BalSheet!E18/IncState!E16</f>
        <v>3.5949760781578355E-2</v>
      </c>
      <c r="F39" s="100">
        <f>E39</f>
        <v>3.5949760781578355E-2</v>
      </c>
      <c r="G39" s="100">
        <f t="shared" ref="G39:J39" si="21">F39</f>
        <v>3.5949760781578355E-2</v>
      </c>
      <c r="H39" s="100">
        <f t="shared" si="21"/>
        <v>3.5949760781578355E-2</v>
      </c>
      <c r="I39" s="100">
        <f t="shared" si="21"/>
        <v>3.5949760781578355E-2</v>
      </c>
      <c r="J39" s="100">
        <f t="shared" si="21"/>
        <v>3.5949760781578355E-2</v>
      </c>
      <c r="K39" s="168"/>
      <c r="L39" s="168"/>
    </row>
    <row r="40" spans="1:12" x14ac:dyDescent="0.25">
      <c r="B40" s="4" t="s">
        <v>65</v>
      </c>
      <c r="C40" s="8">
        <f>BalSheet!C19/IncState!C17</f>
        <v>1.0798458134137785E-2</v>
      </c>
      <c r="D40" s="8">
        <f>BalSheet!D19/IncState!D17</f>
        <v>9.3943995453816664E-3</v>
      </c>
      <c r="E40" s="8">
        <f>BalSheet!E19/IncState!E17</f>
        <v>8.7981775018710906E-3</v>
      </c>
      <c r="F40" s="100">
        <f t="shared" ref="F40:J40" si="22">E40</f>
        <v>8.7981775018710906E-3</v>
      </c>
      <c r="G40" s="100">
        <f t="shared" si="22"/>
        <v>8.7981775018710906E-3</v>
      </c>
      <c r="H40" s="100">
        <f t="shared" si="22"/>
        <v>8.7981775018710906E-3</v>
      </c>
      <c r="I40" s="100">
        <f t="shared" si="22"/>
        <v>8.7981775018710906E-3</v>
      </c>
      <c r="J40" s="100">
        <f t="shared" si="22"/>
        <v>8.7981775018710906E-3</v>
      </c>
      <c r="K40" s="168"/>
      <c r="L40" s="168"/>
    </row>
    <row r="41" spans="1:12" x14ac:dyDescent="0.25">
      <c r="B41" s="4" t="s">
        <v>66</v>
      </c>
      <c r="C41" s="8">
        <f>BalSheet!C20/IncState!C16</f>
        <v>8.6430137195793993E-3</v>
      </c>
      <c r="D41" s="8">
        <f>BalSheet!D20/IncState!D16</f>
        <v>8.2980832839631129E-3</v>
      </c>
      <c r="E41" s="8">
        <f>BalSheet!E20/IncState!E16</f>
        <v>6.9634632663680565E-3</v>
      </c>
      <c r="F41" s="100">
        <f t="shared" ref="F41:J41" si="23">E41</f>
        <v>6.9634632663680565E-3</v>
      </c>
      <c r="G41" s="100">
        <f t="shared" si="23"/>
        <v>6.9634632663680565E-3</v>
      </c>
      <c r="H41" s="100">
        <f t="shared" si="23"/>
        <v>6.9634632663680565E-3</v>
      </c>
      <c r="I41" s="100">
        <f t="shared" si="23"/>
        <v>6.9634632663680565E-3</v>
      </c>
      <c r="J41" s="100">
        <f t="shared" si="23"/>
        <v>6.9634632663680565E-3</v>
      </c>
      <c r="K41" s="168"/>
      <c r="L41" s="168"/>
    </row>
    <row r="42" spans="1:12" x14ac:dyDescent="0.25">
      <c r="E42" s="8"/>
      <c r="F42" s="103"/>
      <c r="G42" s="103"/>
      <c r="H42" s="103"/>
      <c r="I42" s="103"/>
      <c r="J42" s="103"/>
      <c r="K42" s="168"/>
      <c r="L42" s="168"/>
    </row>
    <row r="43" spans="1:12" x14ac:dyDescent="0.25">
      <c r="B43" s="4" t="s">
        <v>67</v>
      </c>
      <c r="C43" s="8">
        <f>BalSheet!C25/IncState!C16</f>
        <v>1.8400869357513814E-2</v>
      </c>
      <c r="D43" s="8">
        <f>BalSheet!D25/IncState!D16</f>
        <v>2.0510735647947437E-2</v>
      </c>
      <c r="E43" s="8">
        <f>BalSheet!E25/IncState!E16</f>
        <v>2.1536729909858537E-2</v>
      </c>
      <c r="F43" s="100">
        <f>E43</f>
        <v>2.1536729909858537E-2</v>
      </c>
      <c r="G43" s="100">
        <f t="shared" ref="G43:J43" si="24">F43</f>
        <v>2.1536729909858537E-2</v>
      </c>
      <c r="H43" s="100">
        <f t="shared" si="24"/>
        <v>2.1536729909858537E-2</v>
      </c>
      <c r="I43" s="100">
        <f t="shared" si="24"/>
        <v>2.1536729909858537E-2</v>
      </c>
      <c r="J43" s="100">
        <f t="shared" si="24"/>
        <v>2.1536729909858537E-2</v>
      </c>
      <c r="K43" s="168"/>
      <c r="L43" s="168"/>
    </row>
    <row r="44" spans="1:12" x14ac:dyDescent="0.25">
      <c r="F44" s="29"/>
      <c r="G44" s="29"/>
      <c r="H44" s="29"/>
      <c r="I44" s="29"/>
      <c r="J44" s="29"/>
      <c r="K44" s="29"/>
      <c r="L44" s="29"/>
    </row>
    <row r="45" spans="1:12" x14ac:dyDescent="0.25">
      <c r="A45" s="63" t="s">
        <v>126</v>
      </c>
      <c r="B45" s="106" t="s">
        <v>132</v>
      </c>
      <c r="C45" s="254">
        <f>C36</f>
        <v>2022</v>
      </c>
      <c r="D45" s="254">
        <f>D36</f>
        <v>2023</v>
      </c>
      <c r="E45" s="254">
        <f>E36</f>
        <v>2024</v>
      </c>
      <c r="F45" s="254">
        <f>F36</f>
        <v>2025</v>
      </c>
      <c r="G45" s="254">
        <f>G36</f>
        <v>2026</v>
      </c>
      <c r="H45" s="254">
        <f>H36</f>
        <v>2027</v>
      </c>
      <c r="I45" s="254">
        <f>I36</f>
        <v>2028</v>
      </c>
      <c r="J45" s="254">
        <f>J36</f>
        <v>2029</v>
      </c>
      <c r="K45" s="196"/>
      <c r="L45" s="196"/>
    </row>
    <row r="46" spans="1:12" x14ac:dyDescent="0.25">
      <c r="A46" s="85"/>
      <c r="B46" s="158"/>
      <c r="C46" s="193"/>
      <c r="D46" s="193"/>
      <c r="E46" s="193"/>
      <c r="F46" s="252"/>
      <c r="G46" s="252"/>
      <c r="H46" s="252"/>
      <c r="I46" s="252"/>
      <c r="J46" s="252"/>
      <c r="K46" s="196"/>
      <c r="L46" s="196"/>
    </row>
    <row r="47" spans="1:12" x14ac:dyDescent="0.25">
      <c r="B47" s="4" t="s">
        <v>156</v>
      </c>
      <c r="C47" s="8">
        <f>BalSheet!C31/IncState!C17</f>
        <v>2.9985143775867015E-2</v>
      </c>
      <c r="D47" s="8">
        <f>BalSheet!D31/IncState!D17</f>
        <v>3.2271919816152191E-2</v>
      </c>
      <c r="E47" s="8">
        <f>BalSheet!E31/IncState!E17</f>
        <v>3.1256671868520394E-2</v>
      </c>
      <c r="F47" s="100">
        <f t="shared" ref="F47:J47" si="25">E47</f>
        <v>3.1256671868520394E-2</v>
      </c>
      <c r="G47" s="100">
        <f t="shared" si="25"/>
        <v>3.1256671868520394E-2</v>
      </c>
      <c r="H47" s="100">
        <f t="shared" si="25"/>
        <v>3.1256671868520394E-2</v>
      </c>
      <c r="I47" s="100">
        <f t="shared" si="25"/>
        <v>3.1256671868520394E-2</v>
      </c>
      <c r="J47" s="100">
        <f t="shared" si="25"/>
        <v>3.1256671868520394E-2</v>
      </c>
      <c r="K47" s="168"/>
      <c r="L47" s="168"/>
    </row>
    <row r="48" spans="1:12" x14ac:dyDescent="0.25">
      <c r="B48" s="4" t="s">
        <v>68</v>
      </c>
      <c r="C48" s="8">
        <f>BalSheet!C32/IncState!C16</f>
        <v>0.13610486288764481</v>
      </c>
      <c r="D48" s="8">
        <f>BalSheet!D32/IncState!D16</f>
        <v>0.13252147388675192</v>
      </c>
      <c r="E48" s="8">
        <f>BalSheet!E32/IncState!E16</f>
        <v>0.1271723020278665</v>
      </c>
      <c r="F48" s="100">
        <f t="shared" ref="F48:J48" si="26">E48</f>
        <v>0.1271723020278665</v>
      </c>
      <c r="G48" s="100">
        <f t="shared" si="26"/>
        <v>0.1271723020278665</v>
      </c>
      <c r="H48" s="100">
        <f t="shared" si="26"/>
        <v>0.1271723020278665</v>
      </c>
      <c r="I48" s="100">
        <f t="shared" si="26"/>
        <v>0.1271723020278665</v>
      </c>
      <c r="J48" s="100">
        <f t="shared" si="26"/>
        <v>0.1271723020278665</v>
      </c>
      <c r="K48" s="168"/>
      <c r="L48" s="168"/>
    </row>
    <row r="49" spans="2:12" x14ac:dyDescent="0.25">
      <c r="B49" s="4" t="s">
        <v>69</v>
      </c>
      <c r="C49" s="8">
        <f>BalSheet!C36/IncState!C16</f>
        <v>0.21071234562889066</v>
      </c>
      <c r="D49" s="8">
        <f>BalSheet!D36/IncState!D16</f>
        <v>0.1922482852844502</v>
      </c>
      <c r="E49" s="8">
        <f>BalSheet!E36/IncState!E16</f>
        <v>0.18404334591646301</v>
      </c>
      <c r="F49" s="100">
        <f t="shared" ref="F49:J49" si="27">E49</f>
        <v>0.18404334591646301</v>
      </c>
      <c r="G49" s="100">
        <f t="shared" si="27"/>
        <v>0.18404334591646301</v>
      </c>
      <c r="H49" s="100">
        <f t="shared" si="27"/>
        <v>0.18404334591646301</v>
      </c>
      <c r="I49" s="100">
        <f t="shared" si="27"/>
        <v>0.18404334591646301</v>
      </c>
      <c r="J49" s="100">
        <f t="shared" si="27"/>
        <v>0.18404334591646301</v>
      </c>
      <c r="K49" s="168"/>
      <c r="L49" s="168"/>
    </row>
    <row r="50" spans="2:12" x14ac:dyDescent="0.25">
      <c r="F50" s="121"/>
      <c r="G50" s="29"/>
      <c r="H50" s="29"/>
      <c r="I50" s="29"/>
      <c r="J50" s="29"/>
    </row>
    <row r="51" spans="2:12" x14ac:dyDescent="0.25">
      <c r="F51" s="122"/>
      <c r="G51" s="94"/>
      <c r="H51" s="94"/>
      <c r="I51" s="94"/>
      <c r="J51" s="94"/>
    </row>
    <row r="52" spans="2:12" x14ac:dyDescent="0.25">
      <c r="F52" s="94"/>
      <c r="G52" s="94"/>
      <c r="H52" s="94"/>
      <c r="I52" s="94"/>
      <c r="J52" s="94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F22:L29 K30:L30 F31:L34 K45:L49 F47:J49 F51:J52 F6:K8 K36:L43 F38:J43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topLeftCell="C4" zoomScaleNormal="100" workbookViewId="0">
      <selection activeCell="F26" sqref="F6:J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x14ac:dyDescent="0.25">
      <c r="A2" s="20" t="s">
        <v>11</v>
      </c>
      <c r="B2" s="19"/>
      <c r="C2" s="190">
        <v>2022</v>
      </c>
      <c r="D2" s="245">
        <f>C2+1</f>
        <v>2023</v>
      </c>
      <c r="E2" s="245">
        <f t="shared" ref="E2:J2" si="0">D2+1</f>
        <v>2024</v>
      </c>
      <c r="F2" s="245">
        <f t="shared" si="0"/>
        <v>2025</v>
      </c>
      <c r="G2" s="245">
        <f t="shared" si="0"/>
        <v>2026</v>
      </c>
      <c r="H2" s="245">
        <f t="shared" si="0"/>
        <v>2027</v>
      </c>
      <c r="I2" s="245">
        <f t="shared" si="0"/>
        <v>2028</v>
      </c>
      <c r="J2" s="245">
        <f t="shared" si="0"/>
        <v>2029</v>
      </c>
      <c r="K2" s="191"/>
      <c r="L2" s="191"/>
      <c r="M2" s="191"/>
    </row>
    <row r="3" spans="1:13" x14ac:dyDescent="0.25">
      <c r="B3" s="4" t="s">
        <v>12</v>
      </c>
      <c r="C3" s="28"/>
      <c r="D3" s="28"/>
      <c r="E3" s="39"/>
      <c r="F3" s="200">
        <f>Assumptions!F32</f>
        <v>6.7390757212750813E-2</v>
      </c>
      <c r="G3" s="200">
        <f>Assumptions!G32</f>
        <v>6.7390757212750813E-2</v>
      </c>
      <c r="H3" s="200">
        <f>Assumptions!H32</f>
        <v>6.7390757212750813E-2</v>
      </c>
      <c r="I3" s="200">
        <f>Assumptions!I32</f>
        <v>6.7390757212750813E-2</v>
      </c>
      <c r="J3" s="200">
        <f>Assumptions!J32</f>
        <v>6.7390757212750813E-2</v>
      </c>
      <c r="K3" s="198"/>
      <c r="L3" s="198"/>
    </row>
    <row r="4" spans="1:13" x14ac:dyDescent="0.25">
      <c r="B4" s="4" t="s">
        <v>136</v>
      </c>
      <c r="C4" s="28"/>
      <c r="D4" s="28"/>
      <c r="E4" s="39"/>
      <c r="F4" s="200">
        <f>Assumptions!F33</f>
        <v>8.2147850176323908E-2</v>
      </c>
      <c r="G4" s="200">
        <f>F4</f>
        <v>8.2147850176323908E-2</v>
      </c>
      <c r="H4" s="200">
        <f t="shared" ref="H4:J4" si="1">G4</f>
        <v>8.2147850176323908E-2</v>
      </c>
      <c r="I4" s="200">
        <f t="shared" si="1"/>
        <v>8.2147850176323908E-2</v>
      </c>
      <c r="J4" s="200">
        <f t="shared" si="1"/>
        <v>8.2147850176323908E-2</v>
      </c>
      <c r="K4" s="198"/>
      <c r="L4" s="198"/>
    </row>
    <row r="5" spans="1:13" x14ac:dyDescent="0.25">
      <c r="E5" s="27"/>
      <c r="F5" s="77"/>
      <c r="G5" s="65"/>
      <c r="H5" s="83"/>
      <c r="I5" s="65"/>
      <c r="J5" s="65"/>
    </row>
    <row r="6" spans="1:13" x14ac:dyDescent="0.25">
      <c r="B6" s="4" t="s">
        <v>13</v>
      </c>
      <c r="E6" s="27"/>
      <c r="F6" s="4">
        <f>E9</f>
        <v>2387538</v>
      </c>
      <c r="G6" s="4">
        <f t="shared" ref="G6:J6" si="2">F9</f>
        <v>2588644.7508080686</v>
      </c>
      <c r="H6" s="4">
        <f t="shared" si="2"/>
        <v>2815338.2280418775</v>
      </c>
      <c r="I6" s="4">
        <f t="shared" si="2"/>
        <v>3067783.1763886083</v>
      </c>
      <c r="J6" s="4">
        <f t="shared" si="2"/>
        <v>3345927.3323455434</v>
      </c>
    </row>
    <row r="7" spans="1:13" x14ac:dyDescent="0.25">
      <c r="B7" s="4" t="s">
        <v>14</v>
      </c>
      <c r="C7" s="12"/>
      <c r="D7" s="12"/>
      <c r="E7" s="127"/>
      <c r="F7" s="4">
        <f>F3*IncState!F16</f>
        <v>397237.86472234869</v>
      </c>
      <c r="G7" s="4">
        <f>G3*IncState!G16</f>
        <v>439345.07838291768</v>
      </c>
      <c r="H7" s="4">
        <f>H3*IncState!H16</f>
        <v>483718.93129959237</v>
      </c>
      <c r="I7" s="4">
        <f>I3*IncState!I16</f>
        <v>530155.9487043533</v>
      </c>
      <c r="J7" s="4">
        <f>J3*IncState!J16</f>
        <v>578400.14003644942</v>
      </c>
    </row>
    <row r="8" spans="1:13" x14ac:dyDescent="0.25">
      <c r="B8" s="4" t="s">
        <v>15</v>
      </c>
      <c r="E8" s="27"/>
      <c r="F8" s="4">
        <f>F6*F4</f>
        <v>196131.11391428002</v>
      </c>
      <c r="G8" s="4">
        <f t="shared" ref="G8:J8" si="3">G6*G4</f>
        <v>212651.60114910855</v>
      </c>
      <c r="H8" s="4">
        <f t="shared" si="3"/>
        <v>231273.98295286138</v>
      </c>
      <c r="I8" s="4">
        <f t="shared" si="3"/>
        <v>252011.79274741845</v>
      </c>
      <c r="J8" s="4">
        <f t="shared" si="3"/>
        <v>274860.73719838884</v>
      </c>
    </row>
    <row r="9" spans="1:13" x14ac:dyDescent="0.25">
      <c r="B9" s="4" t="s">
        <v>16</v>
      </c>
      <c r="E9" s="27">
        <f>BalSheet!E23</f>
        <v>2387538</v>
      </c>
      <c r="F9" s="4">
        <f>F6+F7-F8</f>
        <v>2588644.7508080686</v>
      </c>
      <c r="G9" s="4">
        <f t="shared" ref="G9:J9" si="4">G6+G7-G8</f>
        <v>2815338.2280418775</v>
      </c>
      <c r="H9" s="4">
        <f t="shared" si="4"/>
        <v>3067783.1763886083</v>
      </c>
      <c r="I9" s="4">
        <f t="shared" si="4"/>
        <v>3345927.3323455434</v>
      </c>
      <c r="J9" s="4">
        <f t="shared" si="4"/>
        <v>3649466.7351836041</v>
      </c>
    </row>
    <row r="10" spans="1:13" x14ac:dyDescent="0.25">
      <c r="A10" s="20" t="s">
        <v>17</v>
      </c>
      <c r="B10" s="41"/>
      <c r="C10" s="232">
        <f t="shared" ref="C10:J10" si="5">C2</f>
        <v>2022</v>
      </c>
      <c r="D10" s="232">
        <f t="shared" si="5"/>
        <v>2023</v>
      </c>
      <c r="E10" s="232">
        <f t="shared" si="5"/>
        <v>2024</v>
      </c>
      <c r="F10" s="232">
        <f t="shared" si="5"/>
        <v>2025</v>
      </c>
      <c r="G10" s="232">
        <f t="shared" ref="G10:J10" si="6">G2</f>
        <v>2026</v>
      </c>
      <c r="H10" s="232">
        <f t="shared" si="6"/>
        <v>2027</v>
      </c>
      <c r="I10" s="232">
        <f t="shared" si="6"/>
        <v>2028</v>
      </c>
      <c r="J10" s="232">
        <f t="shared" si="6"/>
        <v>2029</v>
      </c>
      <c r="K10" s="193"/>
      <c r="L10" s="193"/>
    </row>
    <row r="11" spans="1:13" x14ac:dyDescent="0.25">
      <c r="B11" s="4" t="s">
        <v>18</v>
      </c>
      <c r="E11" s="27"/>
      <c r="F11" s="247">
        <f>Assumptions!F34</f>
        <v>0</v>
      </c>
      <c r="G11" s="247">
        <f>Assumptions!G34</f>
        <v>0</v>
      </c>
      <c r="H11" s="247">
        <f>Assumptions!H34</f>
        <v>0</v>
      </c>
      <c r="I11" s="247">
        <f>Assumptions!I34</f>
        <v>0</v>
      </c>
      <c r="J11" s="247">
        <f>Assumptions!J34</f>
        <v>0</v>
      </c>
      <c r="K11" s="199"/>
      <c r="L11" s="199"/>
    </row>
    <row r="12" spans="1:13" x14ac:dyDescent="0.25">
      <c r="E12" s="27"/>
      <c r="F12" s="77"/>
      <c r="G12" s="77"/>
      <c r="H12" s="77"/>
      <c r="I12" s="77"/>
      <c r="J12" s="77"/>
    </row>
    <row r="13" spans="1:13" x14ac:dyDescent="0.25">
      <c r="B13" s="4" t="s">
        <v>19</v>
      </c>
      <c r="E13" s="27"/>
      <c r="F13" s="4">
        <f>E17</f>
        <v>1373723</v>
      </c>
      <c r="G13" s="4">
        <f t="shared" ref="G13:J13" si="7">F17</f>
        <v>1675060.72181718</v>
      </c>
      <c r="H13" s="4">
        <f t="shared" si="7"/>
        <v>2049844.984655682</v>
      </c>
      <c r="I13" s="4">
        <f t="shared" si="7"/>
        <v>2511838.8152216733</v>
      </c>
      <c r="J13" s="4">
        <f t="shared" si="7"/>
        <v>3075312.2163636754</v>
      </c>
    </row>
    <row r="14" spans="1:13" x14ac:dyDescent="0.25">
      <c r="B14" s="4" t="s">
        <v>20</v>
      </c>
      <c r="E14" s="27"/>
      <c r="F14" s="4">
        <f>IncState!F34</f>
        <v>497588.60181717988</v>
      </c>
      <c r="G14" s="4">
        <f>IncState!G34</f>
        <v>604411.14283850184</v>
      </c>
      <c r="H14" s="4">
        <f>IncState!H34</f>
        <v>724996.71056599123</v>
      </c>
      <c r="I14" s="4">
        <f>IncState!I34</f>
        <v>859852.28114200209</v>
      </c>
      <c r="J14" s="4">
        <f>IncState!J34</f>
        <v>1009293.0107465142</v>
      </c>
    </row>
    <row r="15" spans="1:13" x14ac:dyDescent="0.25">
      <c r="B15" s="4" t="s">
        <v>21</v>
      </c>
      <c r="E15" s="27"/>
      <c r="F15" s="4">
        <f>-IncState!F36</f>
        <v>-196250.88</v>
      </c>
      <c r="G15" s="4">
        <f>-IncState!G36</f>
        <v>-229626.88</v>
      </c>
      <c r="H15" s="4">
        <f>-IncState!H36</f>
        <v>-263002.88</v>
      </c>
      <c r="I15" s="4">
        <f>-IncState!I36</f>
        <v>-296378.87999999995</v>
      </c>
      <c r="J15" s="4">
        <f>-IncState!J36</f>
        <v>-329754.87999999995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BalSheet!E39</f>
        <v>1373723</v>
      </c>
      <c r="F17" s="4">
        <f>SUM(F13:F16)</f>
        <v>1675060.72181718</v>
      </c>
      <c r="G17" s="4">
        <f t="shared" ref="G17:J17" si="9">SUM(G13:G16)</f>
        <v>2049844.984655682</v>
      </c>
      <c r="H17" s="4">
        <f t="shared" si="9"/>
        <v>2511838.8152216733</v>
      </c>
      <c r="I17" s="4">
        <f t="shared" si="9"/>
        <v>3075312.2163636754</v>
      </c>
      <c r="J17" s="4">
        <f t="shared" si="9"/>
        <v>3754850.3471101895</v>
      </c>
    </row>
    <row r="18" spans="1:12" x14ac:dyDescent="0.25">
      <c r="A18" s="20" t="s">
        <v>24</v>
      </c>
      <c r="B18" s="41"/>
      <c r="C18" s="232">
        <f>C10</f>
        <v>2022</v>
      </c>
      <c r="D18" s="232">
        <f t="shared" ref="D18:J18" si="10">D10</f>
        <v>2023</v>
      </c>
      <c r="E18" s="232">
        <f t="shared" si="10"/>
        <v>2024</v>
      </c>
      <c r="F18" s="232">
        <f t="shared" si="10"/>
        <v>2025</v>
      </c>
      <c r="G18" s="232">
        <f t="shared" ref="G18:J18" si="11">G10</f>
        <v>2026</v>
      </c>
      <c r="H18" s="232">
        <f t="shared" si="11"/>
        <v>2027</v>
      </c>
      <c r="I18" s="232">
        <f t="shared" si="11"/>
        <v>2028</v>
      </c>
      <c r="J18" s="232">
        <f t="shared" si="11"/>
        <v>2029</v>
      </c>
      <c r="K18" s="193"/>
      <c r="L18" s="193"/>
    </row>
    <row r="19" spans="1:12" x14ac:dyDescent="0.25">
      <c r="A19" s="86"/>
      <c r="B19" s="170" t="s">
        <v>160</v>
      </c>
      <c r="C19" s="193"/>
      <c r="D19" s="193"/>
      <c r="E19" s="214">
        <f>BalSheet!E16</f>
        <v>53733.32</v>
      </c>
      <c r="F19" s="215">
        <f>BalSheet!F16</f>
        <v>58945.452040000004</v>
      </c>
      <c r="G19" s="215">
        <f>BalSheet!G16</f>
        <v>65193.669956240003</v>
      </c>
      <c r="H19" s="215">
        <f>BalSheet!H16</f>
        <v>71778.230621820243</v>
      </c>
      <c r="I19" s="215">
        <f>BalSheet!I16</f>
        <v>78668.940761514983</v>
      </c>
      <c r="J19" s="215">
        <f>BalSheet!J16</f>
        <v>85827.814370812848</v>
      </c>
      <c r="K19" s="193"/>
      <c r="L19" s="193"/>
    </row>
    <row r="20" spans="1:12" x14ac:dyDescent="0.25">
      <c r="B20" s="4" t="str">
        <f>BalSheet!B18</f>
        <v>Accounts receivable</v>
      </c>
      <c r="D20" s="97"/>
      <c r="E20" s="214">
        <f>BalSheet!E18</f>
        <v>193170</v>
      </c>
      <c r="F20" s="97">
        <f>BalSheet!F18</f>
        <v>211907.49</v>
      </c>
      <c r="G20" s="97">
        <f>BalSheet!G18</f>
        <v>234369.68393999999</v>
      </c>
      <c r="H20" s="97">
        <f>BalSheet!H18</f>
        <v>258041.02201793998</v>
      </c>
      <c r="I20" s="97">
        <f>BalSheet!I18</f>
        <v>282812.9601316622</v>
      </c>
      <c r="J20" s="97">
        <f>BalSheet!J18</f>
        <v>308548.93950364349</v>
      </c>
      <c r="K20" s="97"/>
      <c r="L20" s="97"/>
    </row>
    <row r="21" spans="1:12" x14ac:dyDescent="0.25">
      <c r="B21" s="4" t="str">
        <f>BalSheet!B19</f>
        <v>Inventories</v>
      </c>
      <c r="C21" s="97"/>
      <c r="D21" s="97"/>
      <c r="E21" s="214">
        <f>BalSheet!E19</f>
        <v>40756</v>
      </c>
      <c r="F21" s="97">
        <f>BalSheet!F19</f>
        <v>44190.719450024051</v>
      </c>
      <c r="G21" s="97">
        <f>BalSheet!G19</f>
        <v>48301.350231453202</v>
      </c>
      <c r="H21" s="97">
        <f>BalSheet!H19</f>
        <v>52548.26899104895</v>
      </c>
      <c r="I21" s="97">
        <f>BalSheet!I19</f>
        <v>56900.759509485666</v>
      </c>
      <c r="J21" s="97">
        <f>BalSheet!J19</f>
        <v>61323.600279416802</v>
      </c>
      <c r="K21" s="97"/>
      <c r="L21" s="97"/>
    </row>
    <row r="22" spans="1:12" x14ac:dyDescent="0.25">
      <c r="B22" s="4" t="s">
        <v>72</v>
      </c>
      <c r="C22" s="97"/>
      <c r="D22" s="97"/>
      <c r="E22" s="214">
        <f>BalSheet!E20</f>
        <v>37417</v>
      </c>
      <c r="F22" s="97">
        <f>BalSheet!F20</f>
        <v>41046.449000000001</v>
      </c>
      <c r="G22" s="97">
        <f>BalSheet!G20</f>
        <v>45397.372594</v>
      </c>
      <c r="H22" s="97">
        <f>BalSheet!H20</f>
        <v>49982.507225994006</v>
      </c>
      <c r="I22" s="97">
        <f>BalSheet!I20</f>
        <v>54780.827919689429</v>
      </c>
      <c r="J22" s="97">
        <f>BalSheet!J20</f>
        <v>59765.883260381168</v>
      </c>
      <c r="K22" s="97"/>
      <c r="L22" s="97"/>
    </row>
    <row r="23" spans="1:12" x14ac:dyDescent="0.25">
      <c r="B23" s="4" t="s">
        <v>164</v>
      </c>
      <c r="C23" s="97"/>
      <c r="D23" s="97"/>
      <c r="E23" s="98">
        <f>BalSheet!E31</f>
        <v>144791</v>
      </c>
      <c r="F23" s="97">
        <f>BalSheet!F31</f>
        <v>156993.28834744412</v>
      </c>
      <c r="G23" s="97">
        <f>BalSheet!G31</f>
        <v>171596.83976254638</v>
      </c>
      <c r="H23" s="97">
        <f>BalSheet!H31</f>
        <v>186684.57197671433</v>
      </c>
      <c r="I23" s="97">
        <f>BalSheet!I31</f>
        <v>202147.36161885218</v>
      </c>
      <c r="J23" s="97">
        <f>BalSheet!J31</f>
        <v>217860.07969518693</v>
      </c>
      <c r="K23" s="97"/>
      <c r="L23" s="97"/>
    </row>
    <row r="24" spans="1:12" x14ac:dyDescent="0.25">
      <c r="B24" s="4" t="s">
        <v>78</v>
      </c>
      <c r="C24" s="97"/>
      <c r="D24" s="97"/>
      <c r="E24" s="98">
        <f>BalSheet!E32</f>
        <v>683339</v>
      </c>
      <c r="F24" s="97">
        <f>BalSheet!F32</f>
        <v>749622.88299999991</v>
      </c>
      <c r="G24" s="97">
        <f>BalSheet!G32</f>
        <v>829082.90859799995</v>
      </c>
      <c r="H24" s="97">
        <f>BalSheet!H32</f>
        <v>912820.28236639802</v>
      </c>
      <c r="I24" s="97">
        <f>BalSheet!I32</f>
        <v>1000451.0294735722</v>
      </c>
      <c r="J24" s="97">
        <f>BalSheet!J32</f>
        <v>1091492.0731556672</v>
      </c>
      <c r="K24" s="97"/>
      <c r="L24" s="97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-503053.68</v>
      </c>
      <c r="F25" s="18">
        <f>SUM(F19:F22)-SUM(F23:F24)</f>
        <v>-550526.06085741997</v>
      </c>
      <c r="G25" s="18">
        <f t="shared" ref="G25:J25" si="12">SUM(G19:G22)-SUM(G23:G24)</f>
        <v>-607417.67163885315</v>
      </c>
      <c r="H25" s="18">
        <f t="shared" si="12"/>
        <v>-667154.82548630913</v>
      </c>
      <c r="I25" s="18">
        <f t="shared" si="12"/>
        <v>-729434.90277007199</v>
      </c>
      <c r="J25" s="18">
        <f t="shared" si="12"/>
        <v>-793885.91543659987</v>
      </c>
      <c r="K25" s="11"/>
      <c r="L25" s="11"/>
    </row>
    <row r="26" spans="1:12" s="11" customFormat="1" x14ac:dyDescent="0.25">
      <c r="A26" s="24"/>
      <c r="B26" s="11" t="s">
        <v>152</v>
      </c>
      <c r="F26" s="11">
        <f>E25-F25</f>
        <v>47472.380857419979</v>
      </c>
      <c r="G26" s="11">
        <f t="shared" ref="G26:J26" si="13">F25-G25</f>
        <v>56891.610781433177</v>
      </c>
      <c r="H26" s="11">
        <f t="shared" si="13"/>
        <v>59737.153847455978</v>
      </c>
      <c r="I26" s="11">
        <f t="shared" si="13"/>
        <v>62280.077283762861</v>
      </c>
      <c r="J26" s="11">
        <f t="shared" si="13"/>
        <v>64451.01266652788</v>
      </c>
    </row>
    <row r="27" spans="1:12" x14ac:dyDescent="0.25">
      <c r="B27" s="65"/>
      <c r="C27" s="65"/>
      <c r="D27" s="65"/>
      <c r="E27" s="65"/>
      <c r="F27" s="65"/>
      <c r="G27" s="65"/>
      <c r="H27" s="83"/>
      <c r="I27" s="65"/>
      <c r="J27" s="65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topLeftCell="C1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s="2" customFormat="1" x14ac:dyDescent="0.25">
      <c r="A2" s="16" t="s">
        <v>10</v>
      </c>
      <c r="B2" s="192"/>
      <c r="C2" s="254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201"/>
      <c r="L2" s="201"/>
    </row>
    <row r="3" spans="1:13" s="2" customFormat="1" x14ac:dyDescent="0.25">
      <c r="A3" s="86"/>
      <c r="B3" s="11"/>
      <c r="C3" s="193"/>
      <c r="D3" s="193"/>
      <c r="E3" s="193"/>
      <c r="F3" s="193"/>
      <c r="G3" s="193"/>
      <c r="H3" s="193"/>
      <c r="I3" s="193"/>
      <c r="J3" s="193"/>
      <c r="K3" s="201"/>
      <c r="L3" s="201"/>
    </row>
    <row r="4" spans="1:13" s="2" customFormat="1" x14ac:dyDescent="0.25">
      <c r="A4" s="11"/>
      <c r="B4" s="4" t="s">
        <v>25</v>
      </c>
      <c r="C4" s="29"/>
      <c r="D4" s="55"/>
      <c r="E4" s="59"/>
      <c r="F4" s="110">
        <f>Assumptions!F23</f>
        <v>0.05</v>
      </c>
      <c r="G4" s="110">
        <f>Assumptions!G23</f>
        <v>0.05</v>
      </c>
      <c r="H4" s="110">
        <f>Assumptions!H23</f>
        <v>0.05</v>
      </c>
      <c r="I4" s="110">
        <f>Assumptions!I23</f>
        <v>0.05</v>
      </c>
      <c r="J4" s="110">
        <f>Assumptions!J23</f>
        <v>0.05</v>
      </c>
      <c r="K4" s="28"/>
      <c r="L4" s="28"/>
    </row>
    <row r="5" spans="1:13" s="2" customFormat="1" x14ac:dyDescent="0.25">
      <c r="A5" s="11"/>
      <c r="B5" s="4" t="s">
        <v>26</v>
      </c>
      <c r="C5" s="29"/>
      <c r="D5" s="56"/>
      <c r="E5" s="60"/>
      <c r="F5" s="110">
        <f>Assumptions!F24</f>
        <v>0.04</v>
      </c>
      <c r="G5" s="110">
        <f>Assumptions!G24</f>
        <v>0.04</v>
      </c>
      <c r="H5" s="110">
        <f>Assumptions!H24</f>
        <v>0.04</v>
      </c>
      <c r="I5" s="110">
        <f>Assumptions!I24</f>
        <v>0.04</v>
      </c>
      <c r="J5" s="110">
        <f>Assumptions!J24</f>
        <v>0.04</v>
      </c>
      <c r="K5" s="28"/>
      <c r="L5" s="28"/>
    </row>
    <row r="6" spans="1:13" s="2" customFormat="1" x14ac:dyDescent="0.25">
      <c r="A6" s="11"/>
      <c r="B6" s="4" t="s">
        <v>27</v>
      </c>
      <c r="C6" s="29"/>
      <c r="D6" s="55"/>
      <c r="E6" s="59"/>
      <c r="F6" s="110">
        <f>Assumptions!F25</f>
        <v>0.04</v>
      </c>
      <c r="G6" s="110">
        <f>Assumptions!G25</f>
        <v>0.04</v>
      </c>
      <c r="H6" s="110">
        <f>Assumptions!H25</f>
        <v>0.04</v>
      </c>
      <c r="I6" s="110">
        <f>Assumptions!I25</f>
        <v>0.04</v>
      </c>
      <c r="J6" s="110">
        <f>Assumptions!J25</f>
        <v>0.04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8"/>
      <c r="G7" s="108"/>
      <c r="H7" s="108"/>
      <c r="I7" s="109"/>
      <c r="J7" s="109"/>
      <c r="K7" s="202"/>
      <c r="L7" s="202"/>
    </row>
    <row r="8" spans="1:13" s="2" customFormat="1" x14ac:dyDescent="0.25">
      <c r="A8" s="11"/>
      <c r="B8" s="4" t="s">
        <v>28</v>
      </c>
      <c r="C8" s="29"/>
      <c r="D8" s="57"/>
      <c r="E8" s="61"/>
      <c r="F8" s="111">
        <f>Assumptions!F27</f>
        <v>0</v>
      </c>
      <c r="G8" s="111">
        <f>Assumptions!G27</f>
        <v>0</v>
      </c>
      <c r="H8" s="111">
        <f>Assumptions!H27</f>
        <v>0</v>
      </c>
      <c r="I8" s="111">
        <f>Assumptions!I27</f>
        <v>0</v>
      </c>
      <c r="J8" s="111">
        <f>Assumptions!J27</f>
        <v>0</v>
      </c>
      <c r="K8" s="203"/>
      <c r="L8" s="203"/>
    </row>
    <row r="9" spans="1:13" s="2" customFormat="1" x14ac:dyDescent="0.25">
      <c r="A9" s="11"/>
      <c r="B9" s="4" t="s">
        <v>29</v>
      </c>
      <c r="C9" s="29"/>
      <c r="D9" s="57"/>
      <c r="E9" s="61"/>
      <c r="F9" s="111">
        <f>Assumptions!F28</f>
        <v>0</v>
      </c>
      <c r="G9" s="111">
        <f>Assumptions!G28</f>
        <v>0</v>
      </c>
      <c r="H9" s="111">
        <f>Assumptions!H28</f>
        <v>0</v>
      </c>
      <c r="I9" s="111">
        <f>Assumptions!I28</f>
        <v>0</v>
      </c>
      <c r="J9" s="111">
        <f>Assumptions!J28</f>
        <v>0</v>
      </c>
      <c r="K9" s="203"/>
      <c r="L9" s="203"/>
    </row>
    <row r="10" spans="1:13" s="2" customFormat="1" ht="18.75" x14ac:dyDescent="0.3">
      <c r="A10" s="32"/>
      <c r="B10" s="3"/>
      <c r="C10" s="52"/>
      <c r="D10" s="52"/>
      <c r="E10" s="52"/>
      <c r="F10" s="107"/>
      <c r="G10" s="107"/>
      <c r="H10" s="107"/>
      <c r="I10" s="107"/>
      <c r="J10" s="107"/>
      <c r="K10" s="52"/>
      <c r="L10" s="52"/>
    </row>
    <row r="11" spans="1:13" x14ac:dyDescent="0.25">
      <c r="A11" s="20" t="s">
        <v>30</v>
      </c>
      <c r="B11" s="53"/>
      <c r="C11" s="245">
        <f>C2</f>
        <v>2022</v>
      </c>
      <c r="D11" s="245">
        <f t="shared" ref="D11:J11" si="1">D2</f>
        <v>2023</v>
      </c>
      <c r="E11" s="245">
        <f t="shared" si="1"/>
        <v>2024</v>
      </c>
      <c r="F11" s="245">
        <f t="shared" si="1"/>
        <v>2025</v>
      </c>
      <c r="G11" s="245">
        <f t="shared" si="1"/>
        <v>2026</v>
      </c>
      <c r="H11" s="245">
        <f t="shared" si="1"/>
        <v>2027</v>
      </c>
      <c r="I11" s="245">
        <f t="shared" si="1"/>
        <v>2028</v>
      </c>
      <c r="J11" s="245">
        <f t="shared" si="1"/>
        <v>2029</v>
      </c>
      <c r="K11" s="204"/>
      <c r="L11" s="204"/>
      <c r="M11" s="46"/>
    </row>
    <row r="12" spans="1:13" x14ac:dyDescent="0.25">
      <c r="B12" s="4" t="s">
        <v>31</v>
      </c>
      <c r="E12" s="27"/>
      <c r="F12" s="4">
        <f>BalSheet!F30</f>
        <v>0</v>
      </c>
      <c r="G12" s="4">
        <f>BalSheet!G30</f>
        <v>0</v>
      </c>
      <c r="H12" s="4">
        <f>BalSheet!H30</f>
        <v>0</v>
      </c>
      <c r="I12" s="4">
        <f>BalSheet!I30</f>
        <v>0</v>
      </c>
      <c r="J12" s="4">
        <f>BalSheet!J30</f>
        <v>0</v>
      </c>
      <c r="M12" s="46"/>
    </row>
    <row r="13" spans="1:13" s="188" customFormat="1" x14ac:dyDescent="0.25">
      <c r="A13" s="277"/>
      <c r="B13" s="188" t="s">
        <v>32</v>
      </c>
      <c r="E13" s="278"/>
      <c r="F13" s="188">
        <f>F4</f>
        <v>0.05</v>
      </c>
      <c r="G13" s="188">
        <f t="shared" ref="G13:J13" si="2">G4</f>
        <v>0.05</v>
      </c>
      <c r="H13" s="188">
        <f t="shared" si="2"/>
        <v>0.05</v>
      </c>
      <c r="I13" s="188">
        <f t="shared" si="2"/>
        <v>0.05</v>
      </c>
      <c r="J13" s="188">
        <f t="shared" si="2"/>
        <v>0.05</v>
      </c>
    </row>
    <row r="14" spans="1:13" x14ac:dyDescent="0.25">
      <c r="B14" s="4" t="s">
        <v>33</v>
      </c>
      <c r="E14" s="27"/>
      <c r="F14" s="4">
        <f>F12*-F13</f>
        <v>0</v>
      </c>
      <c r="G14" s="4">
        <f t="shared" ref="G14:J14" si="3">G12*-G13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M14" s="46"/>
    </row>
    <row r="15" spans="1:13" x14ac:dyDescent="0.25">
      <c r="E15" s="27"/>
      <c r="I15" s="4"/>
      <c r="J15" s="4"/>
      <c r="M15" s="46"/>
    </row>
    <row r="16" spans="1:13" x14ac:dyDescent="0.25">
      <c r="A16" s="253" t="s">
        <v>34</v>
      </c>
      <c r="B16" s="19"/>
      <c r="C16" s="245">
        <f t="shared" ref="C16:J16" si="4">C11</f>
        <v>2022</v>
      </c>
      <c r="D16" s="245">
        <f t="shared" si="4"/>
        <v>2023</v>
      </c>
      <c r="E16" s="245">
        <f t="shared" si="4"/>
        <v>2024</v>
      </c>
      <c r="F16" s="245">
        <f t="shared" si="4"/>
        <v>2025</v>
      </c>
      <c r="G16" s="245">
        <f t="shared" ref="G16:J16" si="5">G11</f>
        <v>2026</v>
      </c>
      <c r="H16" s="245">
        <f t="shared" si="5"/>
        <v>2027</v>
      </c>
      <c r="I16" s="245">
        <f t="shared" si="5"/>
        <v>2028</v>
      </c>
      <c r="J16" s="245">
        <f t="shared" si="5"/>
        <v>2029</v>
      </c>
      <c r="K16" s="201"/>
      <c r="L16" s="201"/>
      <c r="M16" s="46"/>
    </row>
    <row r="17" spans="1:13" x14ac:dyDescent="0.25">
      <c r="B17" s="4" t="s">
        <v>19</v>
      </c>
      <c r="E17" s="27"/>
      <c r="F17" s="4">
        <f>E20</f>
        <v>0</v>
      </c>
      <c r="G17" s="4">
        <f t="shared" ref="G17:J17" si="6">F20</f>
        <v>0</v>
      </c>
      <c r="H17" s="4">
        <f t="shared" si="6"/>
        <v>0</v>
      </c>
      <c r="I17" s="4">
        <f t="shared" si="6"/>
        <v>0</v>
      </c>
      <c r="J17" s="4">
        <f t="shared" si="6"/>
        <v>0</v>
      </c>
      <c r="M17" s="46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6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8">G9</f>
        <v>0</v>
      </c>
      <c r="H19" s="4">
        <f t="shared" si="8"/>
        <v>0</v>
      </c>
      <c r="I19" s="4">
        <f t="shared" si="8"/>
        <v>0</v>
      </c>
      <c r="J19" s="4">
        <f t="shared" si="8"/>
        <v>0</v>
      </c>
    </row>
    <row r="20" spans="1:13" x14ac:dyDescent="0.25">
      <c r="B20" s="4" t="s">
        <v>23</v>
      </c>
      <c r="C20" s="10"/>
      <c r="E20" s="27">
        <f>BalSheet!E30</f>
        <v>0</v>
      </c>
      <c r="F20" s="4">
        <f>SUM(F17:F19)</f>
        <v>0</v>
      </c>
      <c r="G20" s="4">
        <f t="shared" ref="G20:J20" si="9">SUM(G17:G19)</f>
        <v>0</v>
      </c>
      <c r="H20" s="4">
        <f t="shared" si="9"/>
        <v>0</v>
      </c>
      <c r="I20" s="4">
        <f t="shared" si="9"/>
        <v>0</v>
      </c>
      <c r="J20" s="4">
        <f t="shared" si="9"/>
        <v>0</v>
      </c>
    </row>
    <row r="21" spans="1:13" x14ac:dyDescent="0.25">
      <c r="B21" s="4" t="s">
        <v>32</v>
      </c>
      <c r="D21" s="47"/>
      <c r="E21" s="27"/>
      <c r="F21" s="8">
        <f>F5</f>
        <v>0.04</v>
      </c>
      <c r="G21" s="8">
        <f t="shared" ref="G21:J21" si="10">G5</f>
        <v>0.04</v>
      </c>
      <c r="H21" s="8">
        <f t="shared" si="10"/>
        <v>0.04</v>
      </c>
      <c r="I21" s="8">
        <f t="shared" si="10"/>
        <v>0.04</v>
      </c>
      <c r="J21" s="8">
        <f t="shared" si="10"/>
        <v>0.04</v>
      </c>
    </row>
    <row r="22" spans="1:13" x14ac:dyDescent="0.25">
      <c r="B22" s="4" t="s">
        <v>33</v>
      </c>
      <c r="E22" s="27"/>
      <c r="F22" s="4">
        <f>F20*-F21</f>
        <v>0</v>
      </c>
      <c r="G22" s="4">
        <f t="shared" ref="G22:J22" si="11">G20*-G21</f>
        <v>0</v>
      </c>
      <c r="H22" s="4">
        <f t="shared" si="11"/>
        <v>0</v>
      </c>
      <c r="I22" s="4">
        <f t="shared" si="11"/>
        <v>0</v>
      </c>
      <c r="J22" s="4">
        <f t="shared" si="11"/>
        <v>0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1"/>
      <c r="C24" s="245">
        <f>C16</f>
        <v>2022</v>
      </c>
      <c r="D24" s="245">
        <f t="shared" ref="D24:J24" si="12">D16</f>
        <v>2023</v>
      </c>
      <c r="E24" s="245">
        <f t="shared" si="12"/>
        <v>2024</v>
      </c>
      <c r="F24" s="245">
        <f t="shared" si="12"/>
        <v>2025</v>
      </c>
      <c r="G24" s="245">
        <f t="shared" ref="G24:J24" si="13">G16</f>
        <v>2026</v>
      </c>
      <c r="H24" s="245">
        <f t="shared" si="13"/>
        <v>2027</v>
      </c>
      <c r="I24" s="245">
        <f t="shared" si="13"/>
        <v>2028</v>
      </c>
      <c r="J24" s="245">
        <f t="shared" si="13"/>
        <v>2029</v>
      </c>
      <c r="K24" s="201"/>
      <c r="L24" s="201"/>
    </row>
    <row r="25" spans="1:13" x14ac:dyDescent="0.25">
      <c r="A25" s="7"/>
      <c r="B25" s="4" t="s">
        <v>30</v>
      </c>
      <c r="E25" s="27"/>
      <c r="F25" s="4">
        <f>F12</f>
        <v>0</v>
      </c>
      <c r="G25" s="4">
        <f t="shared" ref="G25:J25" si="14">G12</f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</row>
    <row r="26" spans="1:13" x14ac:dyDescent="0.25">
      <c r="A26" s="7"/>
      <c r="B26" s="4" t="s">
        <v>38</v>
      </c>
      <c r="E26" s="27"/>
      <c r="F26" s="4">
        <f>F20</f>
        <v>0</v>
      </c>
      <c r="G26" s="4">
        <f t="shared" ref="G26:J26" si="15">G20</f>
        <v>0</v>
      </c>
      <c r="H26" s="4">
        <f t="shared" si="15"/>
        <v>0</v>
      </c>
      <c r="I26" s="4">
        <f t="shared" si="15"/>
        <v>0</v>
      </c>
      <c r="J26" s="4">
        <f t="shared" si="15"/>
        <v>0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0</v>
      </c>
      <c r="G27" s="11">
        <f t="shared" ref="G27:J27" si="16">SUM(G25:G26)</f>
        <v>0</v>
      </c>
      <c r="H27" s="11">
        <f t="shared" si="16"/>
        <v>0</v>
      </c>
      <c r="I27" s="11">
        <f t="shared" si="16"/>
        <v>0</v>
      </c>
      <c r="J27" s="11">
        <f t="shared" si="16"/>
        <v>0</v>
      </c>
      <c r="K27" s="11"/>
      <c r="L27" s="11"/>
    </row>
    <row r="28" spans="1:13" x14ac:dyDescent="0.25">
      <c r="A28" s="7"/>
      <c r="B28" s="4" t="s">
        <v>40</v>
      </c>
      <c r="E28" s="27"/>
      <c r="F28" s="4">
        <f>SUM(F22,F14)</f>
        <v>0</v>
      </c>
      <c r="G28" s="4">
        <f t="shared" ref="G28:J28" si="17">SUM(G22,G14)</f>
        <v>0</v>
      </c>
      <c r="H28" s="4">
        <f t="shared" si="17"/>
        <v>0</v>
      </c>
      <c r="I28" s="4">
        <f t="shared" si="17"/>
        <v>0</v>
      </c>
      <c r="J28" s="4">
        <f t="shared" si="17"/>
        <v>0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1"/>
      <c r="C30" s="245">
        <f>C11</f>
        <v>2022</v>
      </c>
      <c r="D30" s="245">
        <f t="shared" ref="D30:J30" si="18">D11</f>
        <v>2023</v>
      </c>
      <c r="E30" s="245">
        <f t="shared" si="18"/>
        <v>2024</v>
      </c>
      <c r="F30" s="245">
        <f t="shared" si="18"/>
        <v>2025</v>
      </c>
      <c r="G30" s="245">
        <f t="shared" ref="G30:J30" si="19">G11</f>
        <v>2026</v>
      </c>
      <c r="H30" s="245">
        <f t="shared" si="19"/>
        <v>2027</v>
      </c>
      <c r="I30" s="245">
        <f t="shared" si="19"/>
        <v>2028</v>
      </c>
      <c r="J30" s="245">
        <f t="shared" si="19"/>
        <v>2029</v>
      </c>
      <c r="K30" s="201"/>
      <c r="L30" s="201"/>
    </row>
    <row r="31" spans="1:13" x14ac:dyDescent="0.25">
      <c r="A31" s="7"/>
      <c r="B31" s="4" t="s">
        <v>170</v>
      </c>
      <c r="E31" s="27"/>
      <c r="F31" s="4">
        <f>BalSheet!F17</f>
        <v>423895.6258665311</v>
      </c>
      <c r="G31" s="4">
        <f>BalSheet!G17</f>
        <v>730415.69721665699</v>
      </c>
      <c r="H31" s="4">
        <f>BalSheet!H17</f>
        <v>1106705.2004487375</v>
      </c>
      <c r="I31" s="4">
        <f>BalSheet!I17</f>
        <v>1566293.1215859866</v>
      </c>
      <c r="J31" s="4">
        <f>BalSheet!J17</f>
        <v>2123079.2946275664</v>
      </c>
    </row>
    <row r="32" spans="1:13" x14ac:dyDescent="0.25">
      <c r="B32" s="4" t="s">
        <v>32</v>
      </c>
      <c r="D32" s="47"/>
      <c r="E32" s="23"/>
      <c r="F32" s="5">
        <f>F6</f>
        <v>0.04</v>
      </c>
      <c r="G32" s="5">
        <f t="shared" ref="G32:J32" si="20">G6</f>
        <v>0.04</v>
      </c>
      <c r="H32" s="5">
        <f t="shared" si="20"/>
        <v>0.04</v>
      </c>
      <c r="I32" s="5">
        <f t="shared" si="20"/>
        <v>0.04</v>
      </c>
      <c r="J32" s="5">
        <f t="shared" si="20"/>
        <v>0.04</v>
      </c>
      <c r="K32" s="169"/>
      <c r="L32" s="169"/>
    </row>
    <row r="33" spans="2:10" x14ac:dyDescent="0.25">
      <c r="B33" s="4" t="s">
        <v>41</v>
      </c>
      <c r="E33" s="27"/>
      <c r="F33" s="4">
        <f>F31*F32</f>
        <v>16955.825034661244</v>
      </c>
      <c r="G33" s="4">
        <f t="shared" ref="G33:J33" si="21">G31*G32</f>
        <v>29216.62788866628</v>
      </c>
      <c r="H33" s="4">
        <f t="shared" si="21"/>
        <v>44268.208017949502</v>
      </c>
      <c r="I33" s="4">
        <f t="shared" si="21"/>
        <v>62651.724863439464</v>
      </c>
      <c r="J33" s="4">
        <f t="shared" si="21"/>
        <v>84923.171785102662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C4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15"/>
      <c r="C2" s="255">
        <v>2022</v>
      </c>
      <c r="D2" s="255">
        <f>C2+1</f>
        <v>2023</v>
      </c>
      <c r="E2" s="255">
        <f t="shared" ref="E2:J2" si="0">D2+1</f>
        <v>2024</v>
      </c>
      <c r="F2" s="255">
        <f t="shared" si="0"/>
        <v>2025</v>
      </c>
      <c r="G2" s="255">
        <f t="shared" si="0"/>
        <v>2026</v>
      </c>
      <c r="H2" s="255">
        <f t="shared" si="0"/>
        <v>2027</v>
      </c>
      <c r="I2" s="255">
        <f t="shared" si="0"/>
        <v>2028</v>
      </c>
      <c r="J2" s="255">
        <f t="shared" si="0"/>
        <v>2029</v>
      </c>
    </row>
    <row r="3" spans="1:12" x14ac:dyDescent="0.25">
      <c r="A3" s="86"/>
      <c r="C3" s="99"/>
      <c r="D3" s="99"/>
      <c r="E3" s="99"/>
    </row>
    <row r="4" spans="1:12" x14ac:dyDescent="0.25">
      <c r="B4" s="29" t="s">
        <v>43</v>
      </c>
      <c r="C4" s="30"/>
      <c r="D4" s="30"/>
      <c r="E4" s="31"/>
      <c r="F4" s="173">
        <f>Assumptions!F10</f>
        <v>9.7000000000000003E-2</v>
      </c>
      <c r="G4" s="173">
        <f>Assumptions!G10</f>
        <v>0.106</v>
      </c>
      <c r="H4" s="173">
        <f>Assumptions!H10</f>
        <v>0.10099999999999999</v>
      </c>
      <c r="I4" s="173">
        <f>Assumptions!I10</f>
        <v>9.5999999999999988E-2</v>
      </c>
      <c r="J4" s="173">
        <f>Assumptions!J10</f>
        <v>9.0999999999999984E-2</v>
      </c>
      <c r="K4" s="206"/>
      <c r="L4" s="206"/>
    </row>
    <row r="5" spans="1:12" x14ac:dyDescent="0.25">
      <c r="B5" s="29" t="s">
        <v>44</v>
      </c>
      <c r="C5" s="30"/>
      <c r="D5" s="30"/>
      <c r="E5" s="30"/>
      <c r="F5" s="173">
        <f>Assumptions!F11</f>
        <v>0.8520950650359963</v>
      </c>
      <c r="G5" s="173">
        <f>Assumptions!G11</f>
        <v>0.84209506503599629</v>
      </c>
      <c r="H5" s="173">
        <f>Assumptions!H11</f>
        <v>0.83209506503599628</v>
      </c>
      <c r="I5" s="173">
        <f>Assumptions!I11</f>
        <v>0.82209506503599628</v>
      </c>
      <c r="J5" s="173">
        <f>Assumptions!J11</f>
        <v>0.81209506503599627</v>
      </c>
      <c r="K5" s="206"/>
      <c r="L5" s="206"/>
    </row>
    <row r="6" spans="1:12" x14ac:dyDescent="0.25">
      <c r="B6" s="29" t="s">
        <v>45</v>
      </c>
      <c r="C6" s="30"/>
      <c r="D6" s="30"/>
      <c r="E6" s="30"/>
      <c r="F6" s="173">
        <f>Assumptions!F12</f>
        <v>4.1050382518705339E-2</v>
      </c>
      <c r="G6" s="173">
        <f>Assumptions!G12</f>
        <v>4.0550382518705338E-2</v>
      </c>
      <c r="H6" s="173">
        <f>Assumptions!H12</f>
        <v>4.0050382518705338E-2</v>
      </c>
      <c r="I6" s="173">
        <f>Assumptions!I12</f>
        <v>3.9550382518705338E-2</v>
      </c>
      <c r="J6" s="173">
        <f>Assumptions!J12</f>
        <v>3.9050382518705337E-2</v>
      </c>
      <c r="K6" s="206"/>
      <c r="L6" s="206"/>
    </row>
    <row r="7" spans="1:12" x14ac:dyDescent="0.25">
      <c r="A7" s="86"/>
      <c r="B7" s="4" t="s">
        <v>46</v>
      </c>
      <c r="C7" s="29"/>
      <c r="D7" s="29"/>
      <c r="E7" s="29"/>
      <c r="F7" s="174">
        <f>Assumptions!F13</f>
        <v>0</v>
      </c>
      <c r="G7" s="174">
        <f>Assumptions!G13</f>
        <v>0</v>
      </c>
      <c r="H7" s="174">
        <f>Assumptions!H13</f>
        <v>0</v>
      </c>
      <c r="I7" s="174">
        <f>Assumptions!I13</f>
        <v>0</v>
      </c>
      <c r="J7" s="174">
        <f>Assumptions!J13</f>
        <v>0</v>
      </c>
      <c r="K7" s="207"/>
      <c r="L7" s="207"/>
    </row>
    <row r="8" spans="1:12" x14ac:dyDescent="0.25">
      <c r="A8" s="86"/>
      <c r="B8" s="4" t="s">
        <v>47</v>
      </c>
      <c r="C8" s="29"/>
      <c r="D8" s="29"/>
      <c r="E8" s="29"/>
      <c r="F8" s="175">
        <f>Assumptions!F14</f>
        <v>0</v>
      </c>
      <c r="G8" s="175">
        <f>Assumptions!G14</f>
        <v>0</v>
      </c>
      <c r="H8" s="175">
        <f>Assumptions!H14</f>
        <v>0</v>
      </c>
      <c r="I8" s="175">
        <f>Assumptions!I14</f>
        <v>0</v>
      </c>
      <c r="J8" s="175">
        <f>Assumptions!J14</f>
        <v>0</v>
      </c>
      <c r="K8" s="208"/>
      <c r="L8" s="208"/>
    </row>
    <row r="9" spans="1:12" x14ac:dyDescent="0.25">
      <c r="B9" s="4" t="s">
        <v>147</v>
      </c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208"/>
      <c r="L9" s="208"/>
    </row>
    <row r="10" spans="1:12" x14ac:dyDescent="0.25">
      <c r="B10" s="29" t="s">
        <v>48</v>
      </c>
      <c r="C10" s="42"/>
      <c r="D10" s="42"/>
      <c r="E10" s="42"/>
      <c r="F10" s="173">
        <f>Assumptions!F16</f>
        <v>0.21</v>
      </c>
      <c r="G10" s="173">
        <f>Assumptions!G16</f>
        <v>0.21</v>
      </c>
      <c r="H10" s="173">
        <f>Assumptions!H16</f>
        <v>0.21</v>
      </c>
      <c r="I10" s="173">
        <f>Assumptions!I16</f>
        <v>0.21</v>
      </c>
      <c r="J10" s="173">
        <f>Assumptions!J16</f>
        <v>0.21</v>
      </c>
      <c r="K10" s="206"/>
      <c r="L10" s="206"/>
    </row>
    <row r="11" spans="1:12" s="257" customFormat="1" x14ac:dyDescent="0.25">
      <c r="A11" s="260"/>
      <c r="B11" s="257" t="s">
        <v>141</v>
      </c>
      <c r="E11" s="261"/>
      <c r="F11" s="262">
        <f>Assumptions!F17</f>
        <v>2.94</v>
      </c>
      <c r="G11" s="262">
        <f>Assumptions!G17</f>
        <v>3.44</v>
      </c>
      <c r="H11" s="262">
        <f>Assumptions!H17</f>
        <v>3.94</v>
      </c>
      <c r="I11" s="262">
        <f>Assumptions!I17</f>
        <v>4.4399999999999995</v>
      </c>
      <c r="J11" s="262">
        <f>Assumptions!J17</f>
        <v>4.9399999999999995</v>
      </c>
      <c r="K11" s="263"/>
      <c r="L11" s="263"/>
    </row>
    <row r="12" spans="1:12" x14ac:dyDescent="0.25">
      <c r="B12" s="4" t="s">
        <v>49</v>
      </c>
      <c r="C12" s="29"/>
      <c r="D12" s="29"/>
      <c r="E12" s="38"/>
      <c r="F12" s="175">
        <f>Assumptions!F18</f>
        <v>66752</v>
      </c>
      <c r="G12" s="175">
        <f>Assumptions!G18</f>
        <v>66752</v>
      </c>
      <c r="H12" s="175">
        <f>Assumptions!H18</f>
        <v>66752</v>
      </c>
      <c r="I12" s="175">
        <f>Assumptions!I18</f>
        <v>66752</v>
      </c>
      <c r="J12" s="175">
        <f>Assumptions!J18</f>
        <v>66752</v>
      </c>
      <c r="K12" s="208"/>
      <c r="L12" s="208"/>
    </row>
    <row r="13" spans="1:12" x14ac:dyDescent="0.25">
      <c r="B13" s="4" t="s">
        <v>50</v>
      </c>
      <c r="C13" s="29"/>
      <c r="D13" s="29"/>
      <c r="E13" s="38"/>
      <c r="F13" s="175">
        <f>Assumptions!F19</f>
        <v>67011</v>
      </c>
      <c r="G13" s="175">
        <f>Assumptions!G19</f>
        <v>67011</v>
      </c>
      <c r="H13" s="175">
        <f>Assumptions!H19</f>
        <v>67011</v>
      </c>
      <c r="I13" s="175">
        <f>Assumptions!I19</f>
        <v>67011</v>
      </c>
      <c r="J13" s="175">
        <f>Assumptions!J19</f>
        <v>67011</v>
      </c>
      <c r="K13" s="208"/>
      <c r="L13" s="208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6" t="s">
        <v>42</v>
      </c>
      <c r="B15" s="177"/>
      <c r="C15" s="150">
        <f>C37</f>
        <v>44926</v>
      </c>
      <c r="D15" s="150">
        <f t="shared" ref="D15:J15" si="1">D37</f>
        <v>45291</v>
      </c>
      <c r="E15" s="150">
        <f t="shared" si="1"/>
        <v>45657</v>
      </c>
      <c r="F15" s="150">
        <f t="shared" si="1"/>
        <v>46022</v>
      </c>
      <c r="G15" s="150">
        <f t="shared" si="1"/>
        <v>46022</v>
      </c>
      <c r="H15" s="150">
        <f t="shared" si="1"/>
        <v>46022</v>
      </c>
      <c r="I15" s="150">
        <f t="shared" si="1"/>
        <v>46022</v>
      </c>
      <c r="J15" s="150">
        <f t="shared" si="1"/>
        <v>46022</v>
      </c>
      <c r="K15" s="204"/>
      <c r="L15" s="204"/>
    </row>
    <row r="16" spans="1:12" x14ac:dyDescent="0.25">
      <c r="B16" s="4" t="s">
        <v>51</v>
      </c>
      <c r="C16" s="97">
        <v>4014919</v>
      </c>
      <c r="D16" s="123">
        <v>4631672</v>
      </c>
      <c r="E16" s="22">
        <v>5373332</v>
      </c>
      <c r="F16" s="4">
        <f>E16*(1+F4)</f>
        <v>5894545.2039999999</v>
      </c>
      <c r="G16" s="4">
        <f t="shared" ref="G16:J16" si="2">F16*(1+G4)</f>
        <v>6519366.9956240002</v>
      </c>
      <c r="H16" s="4">
        <f t="shared" si="2"/>
        <v>7177823.0621820241</v>
      </c>
      <c r="I16" s="4">
        <f t="shared" si="2"/>
        <v>7866894.0761514986</v>
      </c>
      <c r="J16" s="4">
        <f t="shared" si="2"/>
        <v>8582781.4370812848</v>
      </c>
    </row>
    <row r="17" spans="1:12" x14ac:dyDescent="0.25">
      <c r="B17" s="4" t="s">
        <v>159</v>
      </c>
      <c r="C17" s="123">
        <f>3694722-172712-1600</f>
        <v>3520410</v>
      </c>
      <c r="D17" s="123">
        <f>4277683-198382-275</f>
        <v>4079026</v>
      </c>
      <c r="E17" s="22">
        <f>4856813-223264-1226</f>
        <v>4632323</v>
      </c>
      <c r="F17" s="171">
        <f>F16*F5</f>
        <v>5022712.8789600004</v>
      </c>
      <c r="G17" s="171">
        <f t="shared" ref="G17:J17" si="3">G16*G5</f>
        <v>5489926.7741735205</v>
      </c>
      <c r="H17" s="171">
        <f t="shared" si="3"/>
        <v>5972631.1477432251</v>
      </c>
      <c r="I17" s="171">
        <f t="shared" si="3"/>
        <v>6467334.7971650604</v>
      </c>
      <c r="J17" s="171">
        <f t="shared" si="3"/>
        <v>6970034.4493362671</v>
      </c>
      <c r="K17" s="205"/>
      <c r="L17" s="205"/>
    </row>
    <row r="18" spans="1:12" x14ac:dyDescent="0.25">
      <c r="B18" s="4" t="s">
        <v>52</v>
      </c>
      <c r="C18" s="123">
        <v>172712</v>
      </c>
      <c r="D18" s="123">
        <v>198382</v>
      </c>
      <c r="E18" s="22">
        <v>223264</v>
      </c>
      <c r="F18" s="171">
        <f>F16*F6</f>
        <v>241973.335398</v>
      </c>
      <c r="G18" s="171">
        <f t="shared" ref="G18:J18" si="4">G16*G6</f>
        <v>264362.82545237598</v>
      </c>
      <c r="H18" s="171">
        <f t="shared" si="4"/>
        <v>287474.55929197493</v>
      </c>
      <c r="I18" s="171">
        <f t="shared" si="4"/>
        <v>311138.66994592879</v>
      </c>
      <c r="J18" s="171">
        <f t="shared" si="4"/>
        <v>335160.89819246769</v>
      </c>
      <c r="K18" s="205"/>
      <c r="L18" s="205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321797</v>
      </c>
      <c r="D19" s="18">
        <f>D16-SUM(D17:D18)</f>
        <v>354264</v>
      </c>
      <c r="E19" s="18">
        <f>E16-SUM(E17:E18)</f>
        <v>517745</v>
      </c>
      <c r="F19" s="18">
        <f>F16-SUM(F17:F18)</f>
        <v>629858.98964199983</v>
      </c>
      <c r="G19" s="18">
        <f t="shared" ref="G19:J19" si="5">G16-SUM(G17:G18)</f>
        <v>765077.39599810354</v>
      </c>
      <c r="H19" s="18">
        <f t="shared" si="5"/>
        <v>917717.35514682438</v>
      </c>
      <c r="I19" s="18">
        <f t="shared" si="5"/>
        <v>1088420.609040509</v>
      </c>
      <c r="J19" s="18">
        <f t="shared" si="5"/>
        <v>1277586.0895525496</v>
      </c>
    </row>
    <row r="20" spans="1:12" s="11" customFormat="1" x14ac:dyDescent="0.25">
      <c r="E20" s="34"/>
    </row>
    <row r="21" spans="1:12" s="11" customFormat="1" x14ac:dyDescent="0.25">
      <c r="B21" s="4" t="s">
        <v>15</v>
      </c>
      <c r="C21" s="124">
        <v>137237</v>
      </c>
      <c r="D21" s="124">
        <v>153202</v>
      </c>
      <c r="E21" s="25">
        <v>178157</v>
      </c>
      <c r="F21" s="4">
        <f>Calcs!F8</f>
        <v>196131.11391428002</v>
      </c>
      <c r="G21" s="4">
        <f>Calcs!G8</f>
        <v>212651.60114910855</v>
      </c>
      <c r="H21" s="4">
        <f>Calcs!H8</f>
        <v>231273.98295286138</v>
      </c>
      <c r="I21" s="4">
        <f>Calcs!I8</f>
        <v>252011.79274741845</v>
      </c>
      <c r="J21" s="4">
        <f>Calcs!J8</f>
        <v>274860.73719838884</v>
      </c>
      <c r="K21" s="4"/>
      <c r="L21" s="4"/>
    </row>
    <row r="22" spans="1:12" s="11" customFormat="1" x14ac:dyDescent="0.25">
      <c r="B22" s="4" t="s">
        <v>54</v>
      </c>
      <c r="C22" s="97">
        <v>0</v>
      </c>
      <c r="D22" s="97">
        <v>0</v>
      </c>
      <c r="E22" s="125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8" customFormat="1" x14ac:dyDescent="0.25">
      <c r="A23" s="128" t="s">
        <v>126</v>
      </c>
      <c r="B23" s="129" t="s">
        <v>53</v>
      </c>
      <c r="C23" s="130">
        <f>SUM(C19,C21:C22)</f>
        <v>459034</v>
      </c>
      <c r="D23" s="130">
        <f t="shared" ref="D23:F23" si="7">SUM(D19,D21:D22)</f>
        <v>507466</v>
      </c>
      <c r="E23" s="130">
        <f t="shared" si="7"/>
        <v>695902</v>
      </c>
      <c r="F23" s="130">
        <f t="shared" si="7"/>
        <v>825990.10355627979</v>
      </c>
      <c r="G23" s="130">
        <f t="shared" ref="G23:J23" si="8">SUM(G19,G21:G22)</f>
        <v>977728.99714721204</v>
      </c>
      <c r="H23" s="130">
        <f t="shared" si="8"/>
        <v>1148991.3380996857</v>
      </c>
      <c r="I23" s="130">
        <f t="shared" si="8"/>
        <v>1340432.4017879274</v>
      </c>
      <c r="J23" s="130">
        <f t="shared" si="8"/>
        <v>1552446.8267509385</v>
      </c>
    </row>
    <row r="24" spans="1:12" s="11" customFormat="1" x14ac:dyDescent="0.25">
      <c r="C24" s="13"/>
      <c r="D24" s="4"/>
      <c r="E24" s="35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5">
        <v>-1600</v>
      </c>
      <c r="D25" s="95">
        <v>-275</v>
      </c>
      <c r="E25" s="96">
        <v>-1226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5">
        <v>1239</v>
      </c>
      <c r="D26" s="95">
        <v>1351</v>
      </c>
      <c r="E26" s="96">
        <v>1197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/>
      <c r="D28" s="9">
        <v>2984</v>
      </c>
      <c r="E28" s="44">
        <v>6774</v>
      </c>
      <c r="F28" s="279">
        <f>IF(circ=1,Debt!F33,0)</f>
        <v>0</v>
      </c>
      <c r="G28" s="279">
        <f>IF(circ=1,Debt!G33,0)</f>
        <v>0</v>
      </c>
      <c r="H28" s="279">
        <f>IF(circ=1,Debt!H33,0)</f>
        <v>0</v>
      </c>
      <c r="I28" s="279">
        <f>IF(circ=1,Debt!I33,0)</f>
        <v>0</v>
      </c>
      <c r="J28" s="279">
        <f>IF(circ=1,Debt!J33,0)</f>
        <v>0</v>
      </c>
      <c r="K28" s="181"/>
      <c r="L28" s="181"/>
    </row>
    <row r="29" spans="1:12" x14ac:dyDescent="0.25">
      <c r="B29" s="4" t="s">
        <v>33</v>
      </c>
      <c r="C29" s="9">
        <v>-124</v>
      </c>
      <c r="D29" s="9"/>
      <c r="E29" s="44"/>
      <c r="F29" s="279">
        <f>IF(circ=1,Debt!F22,0)</f>
        <v>0</v>
      </c>
      <c r="G29" s="279">
        <f>IF(circ=1,Debt!G22,0)</f>
        <v>0</v>
      </c>
      <c r="H29" s="279">
        <f>IF(circ=1,Debt!H22,0)</f>
        <v>0</v>
      </c>
      <c r="I29" s="279">
        <f>IF(circ=1,Debt!I22,0)</f>
        <v>0</v>
      </c>
      <c r="J29" s="279">
        <f>IF(circ=1,Debt!J22,0)</f>
        <v>0</v>
      </c>
      <c r="K29" s="181"/>
      <c r="L29" s="181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1">C19+SUM(C26:C29)</f>
        <v>322912</v>
      </c>
      <c r="D31" s="18">
        <f t="shared" si="11"/>
        <v>358599</v>
      </c>
      <c r="E31" s="18">
        <f>E19+SUM(E25:E29)</f>
        <v>524490</v>
      </c>
      <c r="F31" s="18">
        <f>F19+SUM(F25:F29)</f>
        <v>629858.98964199983</v>
      </c>
      <c r="G31" s="18">
        <f t="shared" ref="G31:J31" si="12">G19+SUM(G25:G29)</f>
        <v>765077.39599810354</v>
      </c>
      <c r="H31" s="18">
        <f t="shared" si="12"/>
        <v>917717.35514682438</v>
      </c>
      <c r="I31" s="18">
        <f t="shared" si="12"/>
        <v>1088420.609040509</v>
      </c>
      <c r="J31" s="18">
        <f t="shared" si="12"/>
        <v>1277586.0895525496</v>
      </c>
    </row>
    <row r="32" spans="1:12" x14ac:dyDescent="0.25">
      <c r="E32" s="36"/>
      <c r="H32" s="4"/>
    </row>
    <row r="33" spans="1:12" x14ac:dyDescent="0.25">
      <c r="B33" s="4" t="s">
        <v>58</v>
      </c>
      <c r="C33" s="132">
        <v>43715</v>
      </c>
      <c r="D33" s="4">
        <v>44649</v>
      </c>
      <c r="E33" s="58">
        <v>80145</v>
      </c>
      <c r="F33" s="4">
        <f>F31*F10</f>
        <v>132270.38782481995</v>
      </c>
      <c r="G33" s="4">
        <f t="shared" ref="G33:J33" si="13">G31*G10</f>
        <v>160666.25315960174</v>
      </c>
      <c r="H33" s="4">
        <f t="shared" si="13"/>
        <v>192720.64458083312</v>
      </c>
      <c r="I33" s="4">
        <f t="shared" si="13"/>
        <v>228568.32789850689</v>
      </c>
      <c r="J33" s="4">
        <f t="shared" si="13"/>
        <v>268293.0788060354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279197</v>
      </c>
      <c r="D34" s="33">
        <f t="shared" ref="D34:F34" si="14">D31-D33</f>
        <v>313950</v>
      </c>
      <c r="E34" s="18">
        <f t="shared" si="14"/>
        <v>444345</v>
      </c>
      <c r="F34" s="18">
        <f t="shared" si="14"/>
        <v>497588.60181717988</v>
      </c>
      <c r="G34" s="18">
        <f t="shared" ref="G34:J34" si="15">G31-G33</f>
        <v>604411.14283850184</v>
      </c>
      <c r="H34" s="18">
        <f t="shared" si="15"/>
        <v>724996.71056599123</v>
      </c>
      <c r="I34" s="18">
        <f t="shared" si="15"/>
        <v>859852.28114200209</v>
      </c>
      <c r="J34" s="18">
        <f t="shared" si="15"/>
        <v>1009293.0107465142</v>
      </c>
    </row>
    <row r="35" spans="1:12" s="257" customFormat="1" x14ac:dyDescent="0.25">
      <c r="A35" s="260"/>
      <c r="B35" s="257" t="s">
        <v>178</v>
      </c>
      <c r="C35" s="264">
        <v>1.84</v>
      </c>
      <c r="D35" s="267">
        <v>2.2000000000000002</v>
      </c>
      <c r="E35" s="265">
        <v>2.44</v>
      </c>
      <c r="F35" s="257">
        <f>F11</f>
        <v>2.94</v>
      </c>
      <c r="G35" s="257">
        <f t="shared" ref="G35:J35" si="16">G11</f>
        <v>3.44</v>
      </c>
      <c r="H35" s="257">
        <f t="shared" si="16"/>
        <v>3.94</v>
      </c>
      <c r="I35" s="257">
        <f t="shared" si="16"/>
        <v>4.4399999999999995</v>
      </c>
      <c r="J35" s="257">
        <f t="shared" si="16"/>
        <v>4.9399999999999995</v>
      </c>
    </row>
    <row r="36" spans="1:12" x14ac:dyDescent="0.25">
      <c r="B36" s="4" t="s">
        <v>60</v>
      </c>
      <c r="C36" s="10">
        <f t="shared" ref="C36:D36" si="17">C35*C38</f>
        <v>124463.12000000001</v>
      </c>
      <c r="D36" s="10">
        <f t="shared" si="17"/>
        <v>147164.6</v>
      </c>
      <c r="E36" s="22">
        <f>E35*E38</f>
        <v>162874.88</v>
      </c>
      <c r="F36" s="4">
        <f>F35*F38</f>
        <v>196250.88</v>
      </c>
      <c r="G36" s="4">
        <f t="shared" ref="G36:J36" si="18">G35*G38</f>
        <v>229626.88</v>
      </c>
      <c r="H36" s="4">
        <f t="shared" si="18"/>
        <v>263002.88</v>
      </c>
      <c r="I36" s="4">
        <f t="shared" si="18"/>
        <v>296378.87999999995</v>
      </c>
      <c r="J36" s="4">
        <f t="shared" si="18"/>
        <v>329754.87999999995</v>
      </c>
    </row>
    <row r="37" spans="1:12" x14ac:dyDescent="0.25">
      <c r="A37" s="20" t="s">
        <v>61</v>
      </c>
      <c r="B37" s="19"/>
      <c r="C37" s="54">
        <v>44926</v>
      </c>
      <c r="D37" s="54">
        <v>45291</v>
      </c>
      <c r="E37" s="54">
        <v>45657</v>
      </c>
      <c r="F37" s="54">
        <v>46022</v>
      </c>
      <c r="G37" s="54">
        <v>46022</v>
      </c>
      <c r="H37" s="54">
        <v>46022</v>
      </c>
      <c r="I37" s="54">
        <v>46022</v>
      </c>
      <c r="J37" s="54">
        <v>46022</v>
      </c>
      <c r="K37" s="201"/>
      <c r="L37" s="201"/>
    </row>
    <row r="38" spans="1:12" x14ac:dyDescent="0.25">
      <c r="B38" s="4" t="s">
        <v>49</v>
      </c>
      <c r="C38" s="10">
        <v>67643</v>
      </c>
      <c r="D38" s="10">
        <v>66893</v>
      </c>
      <c r="E38" s="22">
        <v>66752</v>
      </c>
      <c r="F38" s="172">
        <f>F12</f>
        <v>66752</v>
      </c>
      <c r="G38" s="172">
        <f t="shared" ref="G38:J38" si="19">G12</f>
        <v>66752</v>
      </c>
      <c r="H38" s="172">
        <f t="shared" si="19"/>
        <v>66752</v>
      </c>
      <c r="I38" s="172">
        <f t="shared" si="19"/>
        <v>66752</v>
      </c>
      <c r="J38" s="172">
        <f t="shared" si="19"/>
        <v>66752</v>
      </c>
      <c r="K38" s="205"/>
      <c r="L38" s="205"/>
    </row>
    <row r="39" spans="1:12" x14ac:dyDescent="0.25">
      <c r="B39" s="4" t="s">
        <v>50</v>
      </c>
      <c r="C39" s="10">
        <v>67920</v>
      </c>
      <c r="D39" s="10">
        <v>67149</v>
      </c>
      <c r="E39" s="22">
        <v>67011</v>
      </c>
      <c r="F39" s="172">
        <f>F13</f>
        <v>67011</v>
      </c>
      <c r="G39" s="172">
        <f t="shared" ref="G39:J39" si="20">G13</f>
        <v>67011</v>
      </c>
      <c r="H39" s="172">
        <f t="shared" si="20"/>
        <v>67011</v>
      </c>
      <c r="I39" s="172">
        <f t="shared" si="20"/>
        <v>67011</v>
      </c>
      <c r="J39" s="172">
        <f t="shared" si="20"/>
        <v>67011</v>
      </c>
      <c r="K39" s="205"/>
      <c r="L39" s="205"/>
    </row>
    <row r="40" spans="1:12" x14ac:dyDescent="0.25">
      <c r="B40" s="4" t="s">
        <v>62</v>
      </c>
      <c r="C40" s="179">
        <f t="shared" ref="C40:D40" si="21">C34/C38</f>
        <v>4.1275076504590276</v>
      </c>
      <c r="D40" s="179">
        <f t="shared" si="21"/>
        <v>4.6933161915297568</v>
      </c>
      <c r="E40" s="180">
        <f>E34/E38</f>
        <v>6.6566544822627041</v>
      </c>
      <c r="F40" s="171">
        <f>F34/F38</f>
        <v>7.4542875392075123</v>
      </c>
      <c r="G40" s="171">
        <f t="shared" ref="G40:J40" si="22">G34/G38</f>
        <v>9.0545772836544494</v>
      </c>
      <c r="H40" s="171">
        <f t="shared" si="22"/>
        <v>10.861048516388891</v>
      </c>
      <c r="I40" s="171">
        <f t="shared" si="22"/>
        <v>12.88129615804773</v>
      </c>
      <c r="J40" s="171">
        <f t="shared" si="22"/>
        <v>15.120041508067386</v>
      </c>
      <c r="K40" s="205"/>
      <c r="L40" s="205"/>
    </row>
    <row r="41" spans="1:12" s="11" customFormat="1" x14ac:dyDescent="0.25">
      <c r="A41" s="11" t="s">
        <v>126</v>
      </c>
      <c r="B41" s="17" t="s">
        <v>63</v>
      </c>
      <c r="C41" s="178">
        <f t="shared" ref="C41:D41" si="23">C34/C39</f>
        <v>4.1106743227326268</v>
      </c>
      <c r="D41" s="178">
        <f t="shared" si="23"/>
        <v>4.6754233123352549</v>
      </c>
      <c r="E41" s="178">
        <f>E34/E39</f>
        <v>6.6309262658369521</v>
      </c>
      <c r="F41" s="178">
        <f>F34/F39</f>
        <v>7.4254764414376728</v>
      </c>
      <c r="G41" s="178">
        <f t="shared" ref="G41:J41" si="24">G34/G39</f>
        <v>9.0195810066780346</v>
      </c>
      <c r="H41" s="178">
        <f t="shared" si="24"/>
        <v>10.819070161107748</v>
      </c>
      <c r="I41" s="178">
        <f t="shared" si="24"/>
        <v>12.831509470713794</v>
      </c>
      <c r="J41" s="178">
        <f t="shared" si="24"/>
        <v>15.061601986935193</v>
      </c>
      <c r="K41" s="209"/>
      <c r="L41" s="209"/>
    </row>
    <row r="42" spans="1:12" x14ac:dyDescent="0.25">
      <c r="C42" s="14"/>
      <c r="D42" s="14"/>
      <c r="E42" s="37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topLeftCell="C1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3" width="11.7109375" style="4" customWidth="1"/>
    <col min="4" max="5" width="12.140625" style="4" bestFit="1" customWidth="1"/>
    <col min="6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63"/>
      <c r="C2" s="256">
        <v>2022</v>
      </c>
      <c r="D2" s="256">
        <f>C2+1</f>
        <v>2023</v>
      </c>
      <c r="E2" s="256">
        <f t="shared" ref="E2:J2" si="0">D2+1</f>
        <v>2024</v>
      </c>
      <c r="F2" s="256">
        <f t="shared" si="0"/>
        <v>2025</v>
      </c>
      <c r="G2" s="256">
        <f t="shared" si="0"/>
        <v>2026</v>
      </c>
      <c r="H2" s="256">
        <f t="shared" si="0"/>
        <v>2027</v>
      </c>
      <c r="I2" s="256">
        <f t="shared" si="0"/>
        <v>2028</v>
      </c>
      <c r="J2" s="256">
        <f t="shared" si="0"/>
        <v>2029</v>
      </c>
      <c r="K2" s="210"/>
      <c r="L2" s="210"/>
    </row>
    <row r="3" spans="1:12" x14ac:dyDescent="0.25">
      <c r="K3" s="6"/>
      <c r="L3" s="6"/>
    </row>
    <row r="4" spans="1:12" x14ac:dyDescent="0.25">
      <c r="B4" s="4" t="s">
        <v>142</v>
      </c>
      <c r="C4" s="42"/>
      <c r="D4" s="42"/>
      <c r="E4" s="43"/>
      <c r="F4" s="102">
        <f>Assumptions!F38</f>
        <v>0.01</v>
      </c>
      <c r="G4" s="102">
        <f>F4</f>
        <v>0.01</v>
      </c>
      <c r="H4" s="102">
        <f t="shared" ref="H4:J4" si="1">G4</f>
        <v>0.01</v>
      </c>
      <c r="I4" s="102">
        <f t="shared" si="1"/>
        <v>0.01</v>
      </c>
      <c r="J4" s="102">
        <f t="shared" si="1"/>
        <v>0.01</v>
      </c>
      <c r="K4" s="168"/>
      <c r="L4" s="168"/>
    </row>
    <row r="5" spans="1:12" x14ac:dyDescent="0.25">
      <c r="B5" s="4" t="s">
        <v>155</v>
      </c>
      <c r="C5" s="42"/>
      <c r="D5" s="42"/>
      <c r="E5" s="43"/>
      <c r="F5" s="102">
        <f>Assumptions!F39</f>
        <v>3.5949760781578355E-2</v>
      </c>
      <c r="G5" s="102">
        <f>Assumptions!G39</f>
        <v>3.5949760781578355E-2</v>
      </c>
      <c r="H5" s="102">
        <f>Assumptions!H39</f>
        <v>3.5949760781578355E-2</v>
      </c>
      <c r="I5" s="102">
        <f>Assumptions!I39</f>
        <v>3.5949760781578355E-2</v>
      </c>
      <c r="J5" s="102">
        <f>Assumptions!J39</f>
        <v>3.5949760781578355E-2</v>
      </c>
      <c r="K5" s="168"/>
      <c r="L5" s="168"/>
    </row>
    <row r="6" spans="1:12" x14ac:dyDescent="0.25">
      <c r="B6" s="4" t="s">
        <v>65</v>
      </c>
      <c r="C6" s="42"/>
      <c r="D6" s="42"/>
      <c r="E6" s="43"/>
      <c r="F6" s="102">
        <f>Assumptions!F40</f>
        <v>8.7981775018710906E-3</v>
      </c>
      <c r="G6" s="102">
        <f>Assumptions!G40</f>
        <v>8.7981775018710906E-3</v>
      </c>
      <c r="H6" s="102">
        <f>Assumptions!H40</f>
        <v>8.7981775018710906E-3</v>
      </c>
      <c r="I6" s="102">
        <f>Assumptions!I40</f>
        <v>8.7981775018710906E-3</v>
      </c>
      <c r="J6" s="102">
        <f>Assumptions!J40</f>
        <v>8.7981775018710906E-3</v>
      </c>
      <c r="K6" s="168"/>
      <c r="L6" s="168"/>
    </row>
    <row r="7" spans="1:12" x14ac:dyDescent="0.25">
      <c r="B7" s="4" t="s">
        <v>66</v>
      </c>
      <c r="C7" s="42"/>
      <c r="D7" s="42"/>
      <c r="E7" s="43"/>
      <c r="F7" s="102">
        <f>Assumptions!F41</f>
        <v>6.9634632663680565E-3</v>
      </c>
      <c r="G7" s="102">
        <f>Assumptions!G41</f>
        <v>6.9634632663680565E-3</v>
      </c>
      <c r="H7" s="102">
        <f>Assumptions!H41</f>
        <v>6.9634632663680565E-3</v>
      </c>
      <c r="I7" s="102">
        <f>Assumptions!I41</f>
        <v>6.9634632663680565E-3</v>
      </c>
      <c r="J7" s="102">
        <f>Assumptions!J41</f>
        <v>6.9634632663680565E-3</v>
      </c>
      <c r="K7" s="168"/>
      <c r="L7" s="168"/>
    </row>
    <row r="8" spans="1:12" x14ac:dyDescent="0.25">
      <c r="A8" s="7"/>
      <c r="C8" s="29"/>
      <c r="D8" s="29"/>
      <c r="E8" s="29"/>
      <c r="F8" s="103"/>
      <c r="G8" s="103"/>
      <c r="H8" s="103"/>
      <c r="I8" s="103"/>
      <c r="J8" s="103"/>
      <c r="K8" s="168"/>
      <c r="L8" s="168"/>
    </row>
    <row r="9" spans="1:12" x14ac:dyDescent="0.25">
      <c r="B9" s="4" t="s">
        <v>67</v>
      </c>
      <c r="C9" s="42"/>
      <c r="D9" s="42"/>
      <c r="E9" s="43"/>
      <c r="F9" s="102">
        <f>Assumptions!F43</f>
        <v>2.1536729909858537E-2</v>
      </c>
      <c r="G9" s="102">
        <f>Assumptions!G43</f>
        <v>2.1536729909858537E-2</v>
      </c>
      <c r="H9" s="102">
        <f>Assumptions!H43</f>
        <v>2.1536729909858537E-2</v>
      </c>
      <c r="I9" s="102">
        <f>Assumptions!I43</f>
        <v>2.1536729909858537E-2</v>
      </c>
      <c r="J9" s="102">
        <f>Assumptions!J43</f>
        <v>2.1536729909858537E-2</v>
      </c>
      <c r="K9" s="168"/>
      <c r="L9" s="168"/>
    </row>
    <row r="10" spans="1:12" x14ac:dyDescent="0.25">
      <c r="C10" s="29"/>
      <c r="D10" s="29"/>
      <c r="E10" s="29"/>
      <c r="F10" s="103"/>
      <c r="G10" s="103"/>
      <c r="H10" s="103"/>
      <c r="I10" s="103"/>
      <c r="J10" s="103"/>
      <c r="K10" s="168"/>
      <c r="L10" s="168"/>
    </row>
    <row r="11" spans="1:12" x14ac:dyDescent="0.25">
      <c r="B11" s="4" t="s">
        <v>154</v>
      </c>
      <c r="C11" s="42"/>
      <c r="D11" s="42"/>
      <c r="E11" s="43"/>
      <c r="F11" s="102">
        <f>Assumptions!F47</f>
        <v>3.1256671868520394E-2</v>
      </c>
      <c r="G11" s="102">
        <f>Assumptions!G47</f>
        <v>3.1256671868520394E-2</v>
      </c>
      <c r="H11" s="102">
        <f>Assumptions!H47</f>
        <v>3.1256671868520394E-2</v>
      </c>
      <c r="I11" s="102">
        <f>Assumptions!I47</f>
        <v>3.1256671868520394E-2</v>
      </c>
      <c r="J11" s="102">
        <f>Assumptions!J47</f>
        <v>3.1256671868520394E-2</v>
      </c>
      <c r="K11" s="168"/>
      <c r="L11" s="168"/>
    </row>
    <row r="12" spans="1:12" x14ac:dyDescent="0.25">
      <c r="B12" s="4" t="s">
        <v>68</v>
      </c>
      <c r="C12" s="42"/>
      <c r="D12" s="42"/>
      <c r="E12" s="26"/>
      <c r="F12" s="102">
        <f>Assumptions!F48</f>
        <v>0.1271723020278665</v>
      </c>
      <c r="G12" s="102">
        <f>Assumptions!G48</f>
        <v>0.1271723020278665</v>
      </c>
      <c r="H12" s="102">
        <f>Assumptions!H48</f>
        <v>0.1271723020278665</v>
      </c>
      <c r="I12" s="102">
        <f>Assumptions!I48</f>
        <v>0.1271723020278665</v>
      </c>
      <c r="J12" s="102">
        <f>Assumptions!J48</f>
        <v>0.1271723020278665</v>
      </c>
      <c r="K12" s="168"/>
      <c r="L12" s="168"/>
    </row>
    <row r="13" spans="1:12" x14ac:dyDescent="0.25">
      <c r="B13" s="4" t="s">
        <v>69</v>
      </c>
      <c r="C13" s="42"/>
      <c r="D13" s="42"/>
      <c r="E13" s="43"/>
      <c r="F13" s="248">
        <f>Assumptions!F49</f>
        <v>0.18404334591646301</v>
      </c>
      <c r="G13" s="248">
        <f>Assumptions!G49</f>
        <v>0.18404334591646301</v>
      </c>
      <c r="H13" s="248">
        <f>Assumptions!H49</f>
        <v>0.18404334591646301</v>
      </c>
      <c r="I13" s="248">
        <f>Assumptions!I49</f>
        <v>0.18404334591646301</v>
      </c>
      <c r="J13" s="248">
        <f>Assumptions!J49</f>
        <v>0.18404334591646301</v>
      </c>
      <c r="K13" s="168"/>
      <c r="L13" s="168"/>
    </row>
    <row r="14" spans="1:12" x14ac:dyDescent="0.25">
      <c r="C14" s="42"/>
      <c r="D14" s="42"/>
      <c r="E14" s="42"/>
      <c r="F14" s="103"/>
      <c r="G14" s="103"/>
      <c r="H14" s="103"/>
      <c r="I14" s="103"/>
      <c r="J14" s="103"/>
      <c r="K14" s="168"/>
      <c r="L14" s="168"/>
    </row>
    <row r="15" spans="1:12" ht="15" customHeight="1" x14ac:dyDescent="0.25">
      <c r="A15" s="176" t="s">
        <v>64</v>
      </c>
      <c r="B15" s="177"/>
      <c r="C15" s="245">
        <f>C2</f>
        <v>2022</v>
      </c>
      <c r="D15" s="245">
        <f>D2</f>
        <v>2023</v>
      </c>
      <c r="E15" s="245">
        <f>E2</f>
        <v>2024</v>
      </c>
      <c r="F15" s="245">
        <f>F2</f>
        <v>2025</v>
      </c>
      <c r="G15" s="245">
        <f>G2</f>
        <v>2026</v>
      </c>
      <c r="H15" s="245">
        <f>H2</f>
        <v>2027</v>
      </c>
      <c r="I15" s="245">
        <f>I2</f>
        <v>2028</v>
      </c>
      <c r="J15" s="245">
        <f>J2</f>
        <v>2029</v>
      </c>
      <c r="K15" s="204"/>
      <c r="L15" s="204"/>
    </row>
    <row r="16" spans="1:12" x14ac:dyDescent="0.25">
      <c r="B16" s="4" t="s">
        <v>160</v>
      </c>
      <c r="C16" s="183">
        <f>1%*IncState!C16</f>
        <v>40149.19</v>
      </c>
      <c r="D16" s="97">
        <f>1%*IncState!D16</f>
        <v>46316.72</v>
      </c>
      <c r="E16" s="184">
        <f>1%*IncState!E16</f>
        <v>53733.32</v>
      </c>
      <c r="F16" s="4">
        <f>F4*IncState!F16</f>
        <v>58945.452040000004</v>
      </c>
      <c r="G16" s="4">
        <f>G4*IncState!G16</f>
        <v>65193.669956240003</v>
      </c>
      <c r="H16" s="4">
        <f>H4*IncState!H16</f>
        <v>71778.230621820243</v>
      </c>
      <c r="I16" s="4">
        <f>I4*IncState!I16</f>
        <v>78668.940761514983</v>
      </c>
      <c r="J16" s="4">
        <f>J4*IncState!J16</f>
        <v>85827.814370812848</v>
      </c>
    </row>
    <row r="17" spans="1:12" x14ac:dyDescent="0.25">
      <c r="B17" s="4" t="s">
        <v>161</v>
      </c>
      <c r="C17" s="183">
        <f>173861-C16</f>
        <v>133711.81</v>
      </c>
      <c r="D17" s="183">
        <f>104246-D16</f>
        <v>57929.279999999999</v>
      </c>
      <c r="E17" s="184">
        <f>245225-E16</f>
        <v>191491.68</v>
      </c>
      <c r="F17" s="4">
        <f>MAX(CashFlow!F23,0)</f>
        <v>423895.6258665311</v>
      </c>
      <c r="G17" s="4">
        <f>MAX(CashFlow!G23,0)</f>
        <v>730415.69721665699</v>
      </c>
      <c r="H17" s="4">
        <f>MAX(CashFlow!H23,0)</f>
        <v>1106705.2004487375</v>
      </c>
      <c r="I17" s="4">
        <f>MAX(CashFlow!I23,0)</f>
        <v>1566293.1215859866</v>
      </c>
      <c r="J17" s="4">
        <f>MAX(CashFlow!J23,0)</f>
        <v>2123079.2946275664</v>
      </c>
    </row>
    <row r="18" spans="1:12" x14ac:dyDescent="0.25">
      <c r="B18" s="4" t="s">
        <v>70</v>
      </c>
      <c r="C18" s="185">
        <v>150264</v>
      </c>
      <c r="D18" s="185">
        <v>175474</v>
      </c>
      <c r="E18" s="186">
        <v>193170</v>
      </c>
      <c r="F18" s="4">
        <f>F5*IncState!F16</f>
        <v>211907.49</v>
      </c>
      <c r="G18" s="4">
        <f>G5*IncState!G16</f>
        <v>234369.68393999999</v>
      </c>
      <c r="H18" s="4">
        <f>H5*IncState!H16</f>
        <v>258041.02201793998</v>
      </c>
      <c r="I18" s="4">
        <f>I5*IncState!I16</f>
        <v>282812.9601316622</v>
      </c>
      <c r="J18" s="4">
        <f>J5*IncState!J16</f>
        <v>308548.93950364349</v>
      </c>
    </row>
    <row r="19" spans="1:12" x14ac:dyDescent="0.25">
      <c r="B19" s="4" t="s">
        <v>71</v>
      </c>
      <c r="C19" s="185">
        <v>38015</v>
      </c>
      <c r="D19" s="185">
        <v>38320</v>
      </c>
      <c r="E19" s="186">
        <v>40756</v>
      </c>
      <c r="F19" s="4">
        <f>F6*IncState!F17</f>
        <v>44190.719450024051</v>
      </c>
      <c r="G19" s="4">
        <f>G6*IncState!G17</f>
        <v>48301.350231453202</v>
      </c>
      <c r="H19" s="4">
        <f>H6*IncState!H17</f>
        <v>52548.26899104895</v>
      </c>
      <c r="I19" s="4">
        <f>I6*IncState!I17</f>
        <v>56900.759509485666</v>
      </c>
      <c r="J19" s="4">
        <f>J6*IncState!J17</f>
        <v>61323.600279416802</v>
      </c>
    </row>
    <row r="20" spans="1:12" x14ac:dyDescent="0.25">
      <c r="B20" s="4" t="s">
        <v>72</v>
      </c>
      <c r="C20" s="185">
        <f>5097+29604</f>
        <v>34701</v>
      </c>
      <c r="D20" s="185">
        <f>3262+35172</f>
        <v>38434</v>
      </c>
      <c r="E20" s="186">
        <v>37417</v>
      </c>
      <c r="F20" s="4">
        <f>F7*IncState!F16</f>
        <v>41046.449000000001</v>
      </c>
      <c r="G20" s="4">
        <f>G7*IncState!G16</f>
        <v>45397.372594</v>
      </c>
      <c r="H20" s="4">
        <f>H7*IncState!H16</f>
        <v>49982.507225994006</v>
      </c>
      <c r="I20" s="4">
        <f>I7*IncState!I16</f>
        <v>54780.827919689429</v>
      </c>
      <c r="J20" s="4">
        <f>J7*IncState!J16</f>
        <v>59765.883260381168</v>
      </c>
    </row>
    <row r="21" spans="1:12" s="11" customFormat="1" x14ac:dyDescent="0.25">
      <c r="B21" s="11" t="s">
        <v>73</v>
      </c>
      <c r="C21" s="11">
        <f>SUM(C16:C20)</f>
        <v>396841</v>
      </c>
      <c r="D21" s="11">
        <f>SUM(D16:D20)</f>
        <v>356474</v>
      </c>
      <c r="E21" s="24">
        <f t="shared" ref="E21" si="2">SUM(E16:E20)</f>
        <v>516568</v>
      </c>
      <c r="F21" s="11">
        <f>SUM(F16:F20)</f>
        <v>779985.73635655513</v>
      </c>
      <c r="G21" s="11">
        <f t="shared" ref="G21:J21" si="3">SUM(G16:G20)</f>
        <v>1123677.7739383504</v>
      </c>
      <c r="H21" s="11">
        <f t="shared" si="3"/>
        <v>1539055.2293055407</v>
      </c>
      <c r="I21" s="11">
        <f t="shared" si="3"/>
        <v>2039456.6099083389</v>
      </c>
      <c r="J21" s="11">
        <f t="shared" si="3"/>
        <v>2638545.5320418207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74</v>
      </c>
      <c r="C23" s="185">
        <f>1270349+630258</f>
        <v>1900607</v>
      </c>
      <c r="D23" s="185">
        <f>1474722+694014</f>
        <v>2168736</v>
      </c>
      <c r="E23" s="186">
        <f>1617673+769865</f>
        <v>2387538</v>
      </c>
      <c r="F23" s="4">
        <f>Calcs!F9</f>
        <v>2588644.7508080686</v>
      </c>
      <c r="G23" s="4">
        <f>Calcs!G9</f>
        <v>2815338.2280418775</v>
      </c>
      <c r="H23" s="4">
        <f>Calcs!H9</f>
        <v>3067783.1763886083</v>
      </c>
      <c r="I23" s="4">
        <f>Calcs!I9</f>
        <v>3345927.3323455434</v>
      </c>
      <c r="J23" s="4">
        <f>Calcs!J9</f>
        <v>3649466.7351836041</v>
      </c>
    </row>
    <row r="24" spans="1:12" x14ac:dyDescent="0.25">
      <c r="B24" s="4" t="s">
        <v>162</v>
      </c>
      <c r="C24" s="185">
        <f>148732+5607</f>
        <v>154339</v>
      </c>
      <c r="D24" s="185">
        <f>169684+3483</f>
        <v>173167</v>
      </c>
      <c r="E24" s="186">
        <f>169684+1265</f>
        <v>170949</v>
      </c>
      <c r="F24" s="131">
        <f>E24-IncState!F22</f>
        <v>170949</v>
      </c>
      <c r="G24" s="131">
        <f>F24-IncState!G22</f>
        <v>170949</v>
      </c>
      <c r="H24" s="131">
        <f>G24-IncState!H22</f>
        <v>170949</v>
      </c>
      <c r="I24" s="131">
        <f>H24-IncState!I22</f>
        <v>170949</v>
      </c>
      <c r="J24" s="131">
        <f>I24-IncState!J22</f>
        <v>170949</v>
      </c>
      <c r="K24" s="131"/>
      <c r="L24" s="131"/>
    </row>
    <row r="25" spans="1:12" x14ac:dyDescent="0.25">
      <c r="B25" s="4" t="s">
        <v>163</v>
      </c>
      <c r="C25" s="185">
        <v>73878</v>
      </c>
      <c r="D25" s="185">
        <v>94999</v>
      </c>
      <c r="E25" s="186">
        <v>115724</v>
      </c>
      <c r="F25" s="4">
        <f>F9*IncState!F16</f>
        <v>126949.22799999999</v>
      </c>
      <c r="G25" s="4">
        <f>G9*IncState!G16</f>
        <v>140405.84616799999</v>
      </c>
      <c r="H25" s="4">
        <f>H9*IncState!H16</f>
        <v>154586.836630968</v>
      </c>
      <c r="I25" s="4">
        <f>I9*IncState!I16</f>
        <v>169427.17294754091</v>
      </c>
      <c r="J25" s="4">
        <f>J9*IncState!J16</f>
        <v>184845.04568576714</v>
      </c>
    </row>
    <row r="26" spans="1:12" s="11" customFormat="1" x14ac:dyDescent="0.25">
      <c r="B26" s="11" t="s">
        <v>75</v>
      </c>
      <c r="C26" s="11">
        <f>SUM(C23:C25)</f>
        <v>2128824</v>
      </c>
      <c r="D26" s="11">
        <f>SUM(D23:D25)</f>
        <v>2436902</v>
      </c>
      <c r="E26" s="24">
        <f>SUM(E23:E25)</f>
        <v>2674211</v>
      </c>
      <c r="F26" s="11">
        <f>SUM(F23:F25)</f>
        <v>2886542.9788080687</v>
      </c>
      <c r="G26" s="11">
        <f t="shared" ref="G26:J26" si="4">SUM(G23:G25)</f>
        <v>3126693.0742098773</v>
      </c>
      <c r="H26" s="11">
        <f t="shared" si="4"/>
        <v>3393319.0130195762</v>
      </c>
      <c r="I26" s="11">
        <f t="shared" si="4"/>
        <v>3686303.5052930843</v>
      </c>
      <c r="J26" s="11">
        <f t="shared" si="4"/>
        <v>4005260.7808693713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126</v>
      </c>
      <c r="B28" s="17" t="s">
        <v>76</v>
      </c>
      <c r="C28" s="18">
        <f>SUM(C26,C21)</f>
        <v>2525665</v>
      </c>
      <c r="D28" s="18">
        <f>SUM(D26,D21)</f>
        <v>2793376</v>
      </c>
      <c r="E28" s="18">
        <f>SUM(E26,E21)</f>
        <v>3190779</v>
      </c>
      <c r="F28" s="18">
        <f>SUM(F26,F21)</f>
        <v>3666528.7151646237</v>
      </c>
      <c r="G28" s="18">
        <f t="shared" ref="G28:J28" si="5">SUM(G26,G21)</f>
        <v>4250370.8481482277</v>
      </c>
      <c r="H28" s="18">
        <f t="shared" si="5"/>
        <v>4932374.2423251169</v>
      </c>
      <c r="I28" s="18">
        <f t="shared" si="5"/>
        <v>5725760.1152014229</v>
      </c>
      <c r="J28" s="18">
        <f t="shared" si="5"/>
        <v>6643806.312911192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77</v>
      </c>
      <c r="C30" s="9">
        <v>0</v>
      </c>
      <c r="D30" s="9">
        <v>0</v>
      </c>
      <c r="E30" s="44">
        <v>0</v>
      </c>
      <c r="F30" s="4">
        <f>-MIN(CashFlow!F23,0)</f>
        <v>0</v>
      </c>
      <c r="G30" s="4">
        <f>-MIN(CashFlow!G23,0)</f>
        <v>0</v>
      </c>
      <c r="H30" s="4">
        <f>-MIN(CashFlow!H23,0)</f>
        <v>0</v>
      </c>
      <c r="I30" s="4">
        <f>-MIN(CashFlow!I23,0)</f>
        <v>0</v>
      </c>
      <c r="J30" s="4">
        <f>-MIN(CashFlow!J23,0)</f>
        <v>0</v>
      </c>
    </row>
    <row r="31" spans="1:12" x14ac:dyDescent="0.25">
      <c r="B31" s="4" t="s">
        <v>153</v>
      </c>
      <c r="C31" s="185">
        <v>105560</v>
      </c>
      <c r="D31" s="9">
        <v>131638</v>
      </c>
      <c r="E31" s="44">
        <v>144791</v>
      </c>
      <c r="F31" s="4">
        <f>F11*IncState!F17</f>
        <v>156993.28834744412</v>
      </c>
      <c r="G31" s="4">
        <f>G11*IncState!G17</f>
        <v>171596.83976254638</v>
      </c>
      <c r="H31" s="4">
        <f>H11*IncState!H17</f>
        <v>186684.57197671433</v>
      </c>
      <c r="I31" s="4">
        <f>I11*IncState!I17</f>
        <v>202147.36161885218</v>
      </c>
      <c r="J31" s="4">
        <f>J11*IncState!J17</f>
        <v>217860.07969518693</v>
      </c>
    </row>
    <row r="32" spans="1:12" x14ac:dyDescent="0.25">
      <c r="B32" s="4" t="s">
        <v>78</v>
      </c>
      <c r="C32" s="185">
        <f>652010-C31</f>
        <v>546450</v>
      </c>
      <c r="D32" s="9">
        <f>745434-D31</f>
        <v>613796</v>
      </c>
      <c r="E32" s="44">
        <f>828130-E31</f>
        <v>683339</v>
      </c>
      <c r="F32" s="4">
        <f>F12*IncState!F16</f>
        <v>749622.88299999991</v>
      </c>
      <c r="G32" s="4">
        <f>G12*IncState!G16</f>
        <v>829082.90859799995</v>
      </c>
      <c r="H32" s="4">
        <f>H12*IncState!H16</f>
        <v>912820.28236639802</v>
      </c>
      <c r="I32" s="4">
        <f>I12*IncState!I16</f>
        <v>1000451.0294735722</v>
      </c>
      <c r="J32" s="4">
        <f>J12*IncState!J16</f>
        <v>1091492.0731556672</v>
      </c>
    </row>
    <row r="33" spans="1:12" s="11" customFormat="1" x14ac:dyDescent="0.25">
      <c r="B33" s="11" t="s">
        <v>79</v>
      </c>
      <c r="C33" s="11">
        <f t="shared" ref="C33:E33" si="6">SUM(C30:C32)</f>
        <v>652010</v>
      </c>
      <c r="D33" s="11">
        <f t="shared" si="6"/>
        <v>745434</v>
      </c>
      <c r="E33" s="24">
        <f t="shared" si="6"/>
        <v>828130</v>
      </c>
      <c r="F33" s="11">
        <f>SUM(F30:F32)</f>
        <v>906616.17134744406</v>
      </c>
      <c r="G33" s="11">
        <f t="shared" ref="G33:J33" si="7">SUM(G30:G32)</f>
        <v>1000679.7483605463</v>
      </c>
      <c r="H33" s="11">
        <f t="shared" si="7"/>
        <v>1099504.8543431123</v>
      </c>
      <c r="I33" s="11">
        <f t="shared" si="7"/>
        <v>1202598.3910924243</v>
      </c>
      <c r="J33" s="11">
        <f t="shared" si="7"/>
        <v>1309352.1528508542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80</v>
      </c>
      <c r="C35" s="185">
        <v>0</v>
      </c>
      <c r="D35" s="9">
        <v>0</v>
      </c>
      <c r="E35" s="44">
        <v>0</v>
      </c>
      <c r="F35" s="4">
        <f>Debt!F20</f>
        <v>0</v>
      </c>
      <c r="G35" s="4">
        <f>Debt!G20</f>
        <v>0</v>
      </c>
      <c r="H35" s="4">
        <f>Debt!H20</f>
        <v>0</v>
      </c>
      <c r="I35" s="4">
        <f>Debt!I20</f>
        <v>0</v>
      </c>
      <c r="J35" s="4">
        <f>Debt!J20</f>
        <v>0</v>
      </c>
    </row>
    <row r="36" spans="1:12" x14ac:dyDescent="0.25">
      <c r="B36" s="4" t="s">
        <v>81</v>
      </c>
      <c r="C36" s="185">
        <f>1498003-C33</f>
        <v>845993</v>
      </c>
      <c r="D36" s="9">
        <f>743476+8893+23104+114958</f>
        <v>890431</v>
      </c>
      <c r="E36" s="44">
        <f>826300+9288+8184+145154</f>
        <v>988926</v>
      </c>
      <c r="F36" s="4">
        <f>BalSheet!F13*IncState!F16</f>
        <v>1084851.8219999999</v>
      </c>
      <c r="G36" s="4">
        <f>BalSheet!G13*IncState!G16</f>
        <v>1199846.1151320001</v>
      </c>
      <c r="H36" s="4">
        <f>BalSheet!H13*IncState!H16</f>
        <v>1321030.5727603321</v>
      </c>
      <c r="I36" s="4">
        <f>BalSheet!I13*IncState!I16</f>
        <v>1447849.5077453239</v>
      </c>
      <c r="J36" s="4">
        <f>BalSheet!J13*IncState!J16</f>
        <v>1579603.8129501485</v>
      </c>
    </row>
    <row r="37" spans="1:12" x14ac:dyDescent="0.25">
      <c r="B37" s="11" t="s">
        <v>82</v>
      </c>
      <c r="C37" s="11">
        <f t="shared" ref="C37:E37" si="8">SUM(C35:C36)</f>
        <v>845993</v>
      </c>
      <c r="D37" s="11">
        <f t="shared" si="8"/>
        <v>890431</v>
      </c>
      <c r="E37" s="24">
        <f t="shared" si="8"/>
        <v>988926</v>
      </c>
      <c r="F37" s="11">
        <f>SUM(F35:F36)</f>
        <v>1084851.8219999999</v>
      </c>
      <c r="G37" s="11">
        <f t="shared" ref="G37:J37" si="9">SUM(G35:G36)</f>
        <v>1199846.1151320001</v>
      </c>
      <c r="H37" s="11">
        <f t="shared" si="9"/>
        <v>1321030.5727603321</v>
      </c>
      <c r="I37" s="11">
        <f t="shared" si="9"/>
        <v>1447849.5077453239</v>
      </c>
      <c r="J37" s="11">
        <f t="shared" si="9"/>
        <v>1579603.8129501485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87">
        <v>1027662</v>
      </c>
      <c r="D39" s="187">
        <v>1157511</v>
      </c>
      <c r="E39" s="216">
        <v>1373723</v>
      </c>
      <c r="F39" s="4">
        <f>Calcs!F17</f>
        <v>1675060.72181718</v>
      </c>
      <c r="G39" s="4">
        <f>Calcs!G17</f>
        <v>2049844.984655682</v>
      </c>
      <c r="H39" s="4">
        <f>Calcs!H17</f>
        <v>2511838.8152216733</v>
      </c>
      <c r="I39" s="4">
        <f>Calcs!I17</f>
        <v>3075312.2163636754</v>
      </c>
      <c r="J39" s="4">
        <f>Calcs!J17</f>
        <v>3754850.3471101895</v>
      </c>
    </row>
    <row r="40" spans="1:12" s="11" customFormat="1" x14ac:dyDescent="0.25">
      <c r="A40" s="11" t="s">
        <v>126</v>
      </c>
      <c r="B40" s="17" t="s">
        <v>83</v>
      </c>
      <c r="C40" s="18">
        <f>SUM(C39,C37,C33)</f>
        <v>2525665</v>
      </c>
      <c r="D40" s="18">
        <f>SUM(D39,D37,D33)</f>
        <v>2793376</v>
      </c>
      <c r="E40" s="18">
        <f t="shared" ref="E40:F40" si="10">SUM(E39,E37,E33)</f>
        <v>3190779</v>
      </c>
      <c r="F40" s="18">
        <f t="shared" si="10"/>
        <v>3666528.7151646242</v>
      </c>
      <c r="G40" s="18">
        <f t="shared" ref="G40:J40" si="11">SUM(G39,G37,G33)</f>
        <v>4250370.8481482286</v>
      </c>
      <c r="H40" s="18">
        <f t="shared" si="11"/>
        <v>4932374.2423251178</v>
      </c>
      <c r="I40" s="18">
        <f t="shared" si="11"/>
        <v>5725760.1152014239</v>
      </c>
      <c r="J40" s="18">
        <f t="shared" si="11"/>
        <v>6643806.312911192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126</v>
      </c>
      <c r="B42" s="11" t="s">
        <v>84</v>
      </c>
      <c r="C42" s="45">
        <f>C40-C28</f>
        <v>0</v>
      </c>
      <c r="D42" s="45">
        <f t="shared" ref="D42:J42" si="12">D40-D28</f>
        <v>0</v>
      </c>
      <c r="E42" s="151">
        <f t="shared" si="12"/>
        <v>0</v>
      </c>
      <c r="F42" s="45">
        <f t="shared" si="12"/>
        <v>0</v>
      </c>
      <c r="G42" s="45">
        <f t="shared" ref="G42:J42" si="13">G40-G28</f>
        <v>0</v>
      </c>
      <c r="H42" s="45">
        <f t="shared" si="13"/>
        <v>0</v>
      </c>
      <c r="I42" s="45">
        <f t="shared" si="13"/>
        <v>0</v>
      </c>
      <c r="J42" s="45">
        <f t="shared" si="13"/>
        <v>0</v>
      </c>
      <c r="K42" s="45"/>
      <c r="L42" s="45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topLeftCell="C1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x14ac:dyDescent="0.25">
      <c r="A2" s="176" t="s">
        <v>85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B3" s="4" t="s">
        <v>158</v>
      </c>
      <c r="F3" s="4">
        <f>IncState!F34</f>
        <v>497588.60181717988</v>
      </c>
      <c r="G3" s="4">
        <f>IncState!G34</f>
        <v>604411.14283850184</v>
      </c>
      <c r="H3" s="4">
        <f>IncState!H34</f>
        <v>724996.71056599123</v>
      </c>
      <c r="I3" s="4">
        <f>IncState!I34</f>
        <v>859852.28114200209</v>
      </c>
      <c r="J3" s="4">
        <f>IncState!J34</f>
        <v>1009293.0107465142</v>
      </c>
    </row>
    <row r="4" spans="1:12" x14ac:dyDescent="0.25">
      <c r="B4" s="4" t="s">
        <v>15</v>
      </c>
      <c r="F4" s="4">
        <f>IncState!F21</f>
        <v>196131.11391428002</v>
      </c>
      <c r="G4" s="4">
        <f>IncState!G21</f>
        <v>212651.60114910855</v>
      </c>
      <c r="H4" s="4">
        <f>IncState!H21</f>
        <v>231273.98295286138</v>
      </c>
      <c r="I4" s="4">
        <f>IncState!I21</f>
        <v>252011.79274741845</v>
      </c>
      <c r="J4" s="4">
        <f>IncState!J21</f>
        <v>274860.73719838884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47472.380857419979</v>
      </c>
      <c r="G6" s="4">
        <f>Calcs!G26</f>
        <v>56891.610781433177</v>
      </c>
      <c r="H6" s="4">
        <f>Calcs!H26</f>
        <v>59737.153847455978</v>
      </c>
      <c r="I6" s="4">
        <f>Calcs!I26</f>
        <v>62280.077283762861</v>
      </c>
      <c r="J6" s="4">
        <f>Calcs!J26</f>
        <v>64451.01266652788</v>
      </c>
    </row>
    <row r="7" spans="1:12" x14ac:dyDescent="0.25">
      <c r="B7" s="4" t="s">
        <v>189</v>
      </c>
      <c r="F7" s="4">
        <f>BalSheet!E25-BalSheet!F25</f>
        <v>-11225.227999999988</v>
      </c>
      <c r="G7" s="4">
        <f>BalSheet!F25-BalSheet!G25</f>
        <v>-13456.618168000001</v>
      </c>
      <c r="H7" s="4">
        <f>BalSheet!G25-BalSheet!H25</f>
        <v>-14180.99046296801</v>
      </c>
      <c r="I7" s="4">
        <f>BalSheet!H25-BalSheet!I25</f>
        <v>-14840.33631657291</v>
      </c>
      <c r="J7" s="4">
        <f>BalSheet!I25-BalSheet!J25</f>
        <v>-15417.87273822623</v>
      </c>
    </row>
    <row r="8" spans="1:12" x14ac:dyDescent="0.25">
      <c r="B8" s="4" t="s">
        <v>190</v>
      </c>
      <c r="F8" s="4">
        <f>BalSheet!F36-BalSheet!E36</f>
        <v>95925.821999999927</v>
      </c>
      <c r="G8" s="4">
        <f>BalSheet!G36-BalSheet!F36</f>
        <v>114994.29313200014</v>
      </c>
      <c r="H8" s="4">
        <f>BalSheet!H36-BalSheet!G36</f>
        <v>121184.45762833208</v>
      </c>
      <c r="I8" s="4">
        <f>BalSheet!I36-BalSheet!H36</f>
        <v>126818.93498499179</v>
      </c>
      <c r="J8" s="4">
        <f>BalSheet!J36-BalSheet!I36</f>
        <v>131754.30520482454</v>
      </c>
    </row>
    <row r="9" spans="1:12" s="11" customFormat="1" x14ac:dyDescent="0.25">
      <c r="B9" s="11" t="s">
        <v>191</v>
      </c>
      <c r="F9" s="11">
        <f>SUM(F3:F8)</f>
        <v>825892.69058887975</v>
      </c>
      <c r="G9" s="11">
        <f t="shared" ref="G9:J9" si="1">SUM(G3:G8)</f>
        <v>975492.02973304363</v>
      </c>
      <c r="H9" s="11">
        <f t="shared" si="1"/>
        <v>1123011.3145316727</v>
      </c>
      <c r="I9" s="11">
        <f t="shared" si="1"/>
        <v>1286122.7498416023</v>
      </c>
      <c r="J9" s="11">
        <f t="shared" si="1"/>
        <v>1464941.1930780292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-397237.86472234869</v>
      </c>
      <c r="G11" s="4">
        <f>-Calcs!G7</f>
        <v>-439345.07838291768</v>
      </c>
      <c r="H11" s="4">
        <f>-Calcs!H7</f>
        <v>-483718.93129959237</v>
      </c>
      <c r="I11" s="4">
        <f>-Calcs!I7</f>
        <v>-530155.9487043533</v>
      </c>
      <c r="J11" s="4">
        <f>-Calcs!J7</f>
        <v>-578400.14003644942</v>
      </c>
    </row>
    <row r="12" spans="1:12" s="11" customFormat="1" x14ac:dyDescent="0.25">
      <c r="B12" s="11" t="s">
        <v>192</v>
      </c>
      <c r="F12" s="11">
        <f>SUM(F11)</f>
        <v>-397237.86472234869</v>
      </c>
      <c r="G12" s="11">
        <f t="shared" ref="G12:J12" si="2">SUM(G11)</f>
        <v>-439345.07838291768</v>
      </c>
      <c r="H12" s="11">
        <f t="shared" si="2"/>
        <v>-483718.93129959237</v>
      </c>
      <c r="I12" s="11">
        <f t="shared" si="2"/>
        <v>-530155.9487043533</v>
      </c>
      <c r="J12" s="11">
        <f t="shared" si="2"/>
        <v>-578400.14003644942</v>
      </c>
    </row>
    <row r="13" spans="1:12" x14ac:dyDescent="0.25">
      <c r="I13" s="4"/>
      <c r="J13" s="4"/>
    </row>
    <row r="14" spans="1:12" x14ac:dyDescent="0.25">
      <c r="B14" s="4" t="s">
        <v>193</v>
      </c>
      <c r="F14" s="4">
        <f>-IncState!F36</f>
        <v>-196250.88</v>
      </c>
      <c r="G14" s="4">
        <f>-IncState!G36</f>
        <v>-229626.88</v>
      </c>
      <c r="H14" s="4">
        <f>-IncState!H36</f>
        <v>-263002.88</v>
      </c>
      <c r="I14" s="4">
        <f>-IncState!I36</f>
        <v>-296378.87999999995</v>
      </c>
      <c r="J14" s="4">
        <f>-IncState!J36</f>
        <v>-329754.87999999995</v>
      </c>
    </row>
    <row r="15" spans="1:12" x14ac:dyDescent="0.25">
      <c r="B15" s="4" t="s">
        <v>194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145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195</v>
      </c>
      <c r="F17" s="11">
        <f>SUM(F14:F16)</f>
        <v>-196250.88</v>
      </c>
      <c r="G17" s="11">
        <f t="shared" ref="G17:J17" si="3">SUM(G14:G16)</f>
        <v>-229626.88</v>
      </c>
      <c r="H17" s="11">
        <f t="shared" si="3"/>
        <v>-263002.88</v>
      </c>
      <c r="I17" s="11">
        <f t="shared" si="3"/>
        <v>-296378.87999999995</v>
      </c>
      <c r="J17" s="11">
        <f t="shared" si="3"/>
        <v>-329754.87999999995</v>
      </c>
    </row>
    <row r="18" spans="2:10" x14ac:dyDescent="0.25">
      <c r="I18" s="4"/>
      <c r="J18" s="4"/>
    </row>
    <row r="19" spans="2:10" x14ac:dyDescent="0.25">
      <c r="B19" s="4" t="s">
        <v>196</v>
      </c>
      <c r="F19" s="4">
        <f>SUM(F17,F12,F9)</f>
        <v>232403.94586653111</v>
      </c>
      <c r="G19" s="4">
        <f t="shared" ref="G19:J19" si="4">SUM(G17,G12,G9)</f>
        <v>306520.07135012595</v>
      </c>
      <c r="H19" s="4">
        <f t="shared" si="4"/>
        <v>376289.50323208037</v>
      </c>
      <c r="I19" s="4">
        <f t="shared" si="4"/>
        <v>459587.9211372491</v>
      </c>
      <c r="J19" s="4">
        <f t="shared" si="4"/>
        <v>556786.17304157978</v>
      </c>
    </row>
    <row r="20" spans="2:10" x14ac:dyDescent="0.25">
      <c r="I20" s="4"/>
      <c r="J20" s="4"/>
    </row>
    <row r="21" spans="2:10" x14ac:dyDescent="0.25">
      <c r="B21" s="4" t="s">
        <v>197</v>
      </c>
      <c r="F21" s="4">
        <f>E23</f>
        <v>191491.68</v>
      </c>
      <c r="G21" s="4">
        <f t="shared" ref="G21:J21" si="5">F23</f>
        <v>423895.6258665311</v>
      </c>
      <c r="H21" s="4">
        <f t="shared" si="5"/>
        <v>730415.69721665699</v>
      </c>
      <c r="I21" s="4">
        <f t="shared" si="5"/>
        <v>1106705.2004487375</v>
      </c>
      <c r="J21" s="4">
        <f t="shared" si="5"/>
        <v>1566293.1215859866</v>
      </c>
    </row>
    <row r="22" spans="2:10" x14ac:dyDescent="0.25">
      <c r="B22" s="4" t="str">
        <f>B19</f>
        <v>Net changes in cash</v>
      </c>
      <c r="F22" s="4">
        <f>F19</f>
        <v>232403.94586653111</v>
      </c>
      <c r="G22" s="4">
        <f t="shared" ref="G22:J22" si="6">G19</f>
        <v>306520.07135012595</v>
      </c>
      <c r="H22" s="4">
        <f t="shared" si="6"/>
        <v>376289.50323208037</v>
      </c>
      <c r="I22" s="4">
        <f t="shared" si="6"/>
        <v>459587.9211372491</v>
      </c>
      <c r="J22" s="4">
        <f t="shared" si="6"/>
        <v>556786.17304157978</v>
      </c>
    </row>
    <row r="23" spans="2:10" x14ac:dyDescent="0.25">
      <c r="B23" s="4" t="s">
        <v>198</v>
      </c>
      <c r="E23" s="4">
        <f>BalSheet!E17</f>
        <v>191491.68</v>
      </c>
      <c r="F23" s="4">
        <f>SUM(F21:F22)</f>
        <v>423895.6258665311</v>
      </c>
      <c r="G23" s="4">
        <f t="shared" ref="G23:J23" si="7">SUM(G21:G22)</f>
        <v>730415.69721665699</v>
      </c>
      <c r="H23" s="4">
        <f t="shared" si="7"/>
        <v>1106705.2004487375</v>
      </c>
      <c r="I23" s="4">
        <f t="shared" si="7"/>
        <v>1566293.1215859866</v>
      </c>
      <c r="J23" s="4">
        <f t="shared" si="7"/>
        <v>2123079.2946275664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topLeftCell="C1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6" t="str">
        <f>CoName</f>
        <v>Texas Roadhouse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ht="16.350000000000001" customHeight="1" x14ac:dyDescent="0.25">
      <c r="A2" s="176" t="s">
        <v>88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A3" s="11" t="s">
        <v>126</v>
      </c>
      <c r="B3" s="4" t="s">
        <v>89</v>
      </c>
      <c r="D3" s="233"/>
      <c r="E3" s="23"/>
      <c r="F3" s="234">
        <f>IncState!F16</f>
        <v>5894545.2039999999</v>
      </c>
      <c r="G3" s="234">
        <f>IncState!G16</f>
        <v>6519366.9956240002</v>
      </c>
      <c r="H3" s="234">
        <f>IncState!H16</f>
        <v>7177823.0621820241</v>
      </c>
      <c r="I3" s="234">
        <f>IncState!I16</f>
        <v>7866894.0761514986</v>
      </c>
      <c r="J3" s="234">
        <f>IncState!J16</f>
        <v>8582781.4370812848</v>
      </c>
      <c r="K3" s="212"/>
      <c r="L3" s="212"/>
    </row>
    <row r="4" spans="1:12" x14ac:dyDescent="0.25">
      <c r="B4" s="4" t="s">
        <v>55</v>
      </c>
      <c r="E4" s="27"/>
      <c r="F4" s="4">
        <f>IncState!F19</f>
        <v>629858.98964199983</v>
      </c>
      <c r="G4" s="4">
        <f>IncState!G19</f>
        <v>765077.39599810354</v>
      </c>
      <c r="H4" s="4">
        <f>IncState!H19</f>
        <v>917717.35514682438</v>
      </c>
      <c r="I4" s="4">
        <f>IncState!I19</f>
        <v>1088420.609040509</v>
      </c>
      <c r="J4" s="4">
        <f>IncState!J19</f>
        <v>1277586.0895525496</v>
      </c>
    </row>
    <row r="5" spans="1:12" x14ac:dyDescent="0.25">
      <c r="B5" s="29" t="s">
        <v>94</v>
      </c>
      <c r="C5" s="29"/>
      <c r="D5" s="29"/>
      <c r="E5" s="38"/>
      <c r="F5" s="42">
        <f>Assumptions!F16</f>
        <v>0.21</v>
      </c>
      <c r="G5" s="42">
        <f>Assumptions!G16</f>
        <v>0.21</v>
      </c>
      <c r="H5" s="42">
        <f>Assumptions!H16</f>
        <v>0.21</v>
      </c>
      <c r="I5" s="42">
        <f>Assumptions!I16</f>
        <v>0.21</v>
      </c>
      <c r="J5" s="42">
        <f>Assumptions!J16</f>
        <v>0.21</v>
      </c>
      <c r="K5" s="42"/>
      <c r="L5" s="42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9"/>
      <c r="L6" s="169"/>
    </row>
    <row r="7" spans="1:12" x14ac:dyDescent="0.25">
      <c r="A7" s="24" t="s">
        <v>126</v>
      </c>
      <c r="B7" s="21" t="s">
        <v>90</v>
      </c>
      <c r="C7" s="118"/>
      <c r="D7" s="118"/>
      <c r="E7" s="118"/>
      <c r="F7" s="133">
        <f t="shared" ref="F7:J7" si="1">F4*(1-F5)</f>
        <v>497588.60181717988</v>
      </c>
      <c r="G7" s="133">
        <f t="shared" ref="G7:J7" si="2">G4*(1-G5)</f>
        <v>604411.14283850184</v>
      </c>
      <c r="H7" s="133">
        <f t="shared" si="2"/>
        <v>724996.71056599135</v>
      </c>
      <c r="I7" s="133">
        <f t="shared" si="2"/>
        <v>859852.28114200209</v>
      </c>
      <c r="J7" s="133">
        <f t="shared" si="2"/>
        <v>1009293.0107465143</v>
      </c>
      <c r="K7" s="212"/>
      <c r="L7" s="212"/>
    </row>
    <row r="8" spans="1:12" x14ac:dyDescent="0.25">
      <c r="B8" s="4" t="s">
        <v>15</v>
      </c>
      <c r="C8" s="118"/>
      <c r="D8" s="118"/>
      <c r="E8" s="119"/>
      <c r="F8" s="134">
        <f>CashFlow!F4</f>
        <v>196131.11391428002</v>
      </c>
      <c r="G8" s="134">
        <f>CashFlow!G4</f>
        <v>212651.60114910855</v>
      </c>
      <c r="H8" s="134">
        <f>CashFlow!H4</f>
        <v>231273.98295286138</v>
      </c>
      <c r="I8" s="134">
        <f>CashFlow!I4</f>
        <v>252011.79274741845</v>
      </c>
      <c r="J8" s="134">
        <f>CashFlow!J4</f>
        <v>274860.73719838884</v>
      </c>
      <c r="K8" s="211"/>
      <c r="L8" s="211"/>
    </row>
    <row r="9" spans="1:12" x14ac:dyDescent="0.25">
      <c r="B9" s="4" t="s">
        <v>54</v>
      </c>
      <c r="C9" s="5"/>
      <c r="D9" s="5"/>
      <c r="E9" s="23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211"/>
      <c r="L9" s="211"/>
    </row>
    <row r="10" spans="1:12" x14ac:dyDescent="0.25">
      <c r="B10" s="4" t="s">
        <v>91</v>
      </c>
      <c r="C10" s="5"/>
      <c r="D10" s="5"/>
      <c r="E10" s="23"/>
      <c r="F10" s="135">
        <f>CashFlow!F6</f>
        <v>47472.380857419979</v>
      </c>
      <c r="G10" s="135">
        <f>CashFlow!G6</f>
        <v>56891.610781433177</v>
      </c>
      <c r="H10" s="135">
        <f>CashFlow!H6</f>
        <v>59737.153847455978</v>
      </c>
      <c r="I10" s="135">
        <f>CashFlow!I6</f>
        <v>62280.077283762861</v>
      </c>
      <c r="J10" s="135">
        <f>CashFlow!J6</f>
        <v>64451.01266652788</v>
      </c>
      <c r="K10" s="211"/>
      <c r="L10" s="211"/>
    </row>
    <row r="11" spans="1:12" x14ac:dyDescent="0.25">
      <c r="B11" s="4" t="s">
        <v>165</v>
      </c>
      <c r="C11" s="5"/>
      <c r="D11" s="5"/>
      <c r="E11" s="23"/>
      <c r="F11" s="135">
        <f>CashFlow!F7</f>
        <v>-11225.227999999988</v>
      </c>
      <c r="G11" s="135">
        <f>CashFlow!G7</f>
        <v>-13456.618168000001</v>
      </c>
      <c r="H11" s="135">
        <f>CashFlow!H7</f>
        <v>-14180.99046296801</v>
      </c>
      <c r="I11" s="135">
        <f>CashFlow!I7</f>
        <v>-14840.33631657291</v>
      </c>
      <c r="J11" s="135">
        <f>CashFlow!J7</f>
        <v>-15417.87273822623</v>
      </c>
      <c r="K11" s="211"/>
      <c r="L11" s="211"/>
    </row>
    <row r="12" spans="1:12" x14ac:dyDescent="0.25">
      <c r="B12" s="4" t="s">
        <v>166</v>
      </c>
      <c r="E12" s="27"/>
      <c r="F12" s="135">
        <f>CashFlow!F8</f>
        <v>95925.821999999927</v>
      </c>
      <c r="G12" s="135">
        <f>CashFlow!G8</f>
        <v>114994.29313200014</v>
      </c>
      <c r="H12" s="135">
        <f>CashFlow!H8</f>
        <v>121184.45762833208</v>
      </c>
      <c r="I12" s="135">
        <f>CashFlow!I8</f>
        <v>126818.93498499179</v>
      </c>
      <c r="J12" s="135">
        <f>CashFlow!J8</f>
        <v>131754.30520482454</v>
      </c>
      <c r="K12" s="211"/>
      <c r="L12" s="211"/>
    </row>
    <row r="13" spans="1:12" x14ac:dyDescent="0.25">
      <c r="B13" s="4" t="s">
        <v>92</v>
      </c>
      <c r="E13" s="27"/>
      <c r="F13" s="131">
        <f>CashFlow!F11</f>
        <v>-397237.86472234869</v>
      </c>
      <c r="G13" s="131">
        <f>CashFlow!G11</f>
        <v>-439345.07838291768</v>
      </c>
      <c r="H13" s="131">
        <f>CashFlow!H11</f>
        <v>-483718.93129959237</v>
      </c>
      <c r="I13" s="131">
        <f>CashFlow!I11</f>
        <v>-530155.9487043533</v>
      </c>
      <c r="J13" s="131">
        <f>CashFlow!J11</f>
        <v>-578400.14003644942</v>
      </c>
      <c r="K13" s="131"/>
      <c r="L13" s="131"/>
    </row>
    <row r="14" spans="1:12" x14ac:dyDescent="0.25">
      <c r="E14" s="62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126</v>
      </c>
      <c r="B15" s="33" t="s">
        <v>93</v>
      </c>
      <c r="C15" s="33"/>
      <c r="D15" s="33"/>
      <c r="E15" s="33"/>
      <c r="F15" s="33">
        <f>SUM(F7:F13)</f>
        <v>428654.82586653106</v>
      </c>
      <c r="G15" s="33">
        <f t="shared" ref="G15:J15" si="3">SUM(G7:G13)</f>
        <v>536146.95135012595</v>
      </c>
      <c r="H15" s="33">
        <f t="shared" si="3"/>
        <v>639292.38323208038</v>
      </c>
      <c r="I15" s="33">
        <f t="shared" si="3"/>
        <v>755966.80113724899</v>
      </c>
      <c r="J15" s="33">
        <f t="shared" si="3"/>
        <v>886541.05304157978</v>
      </c>
    </row>
    <row r="16" spans="1:12" x14ac:dyDescent="0.25">
      <c r="B16" s="65"/>
      <c r="C16" s="65"/>
      <c r="D16" s="65"/>
      <c r="E16" s="65"/>
      <c r="F16" s="65"/>
      <c r="G16" s="65"/>
      <c r="H16" s="65"/>
      <c r="I16" s="83"/>
      <c r="J16" s="83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H6" sqref="H6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46" t="str">
        <f>CoName</f>
        <v>Texas Roadhouse Inc</v>
      </c>
    </row>
    <row r="2" spans="1:13" x14ac:dyDescent="0.25">
      <c r="G2" s="146"/>
    </row>
    <row r="3" spans="1:13" x14ac:dyDescent="0.25">
      <c r="A3" s="27" t="s">
        <v>126</v>
      </c>
      <c r="B3" s="161" t="s">
        <v>102</v>
      </c>
      <c r="C3" s="162"/>
      <c r="D3" s="162"/>
      <c r="E3" s="163"/>
      <c r="F3" s="11"/>
      <c r="G3" s="76" t="s">
        <v>110</v>
      </c>
      <c r="H3" s="76" t="s">
        <v>105</v>
      </c>
      <c r="I3" s="76" t="s">
        <v>106</v>
      </c>
      <c r="J3" s="76" t="s">
        <v>107</v>
      </c>
      <c r="K3" s="76" t="s">
        <v>108</v>
      </c>
      <c r="L3" s="76" t="s">
        <v>113</v>
      </c>
      <c r="M3" s="76" t="s">
        <v>109</v>
      </c>
    </row>
    <row r="4" spans="1:13" x14ac:dyDescent="0.25">
      <c r="A4" s="27"/>
      <c r="B4" s="249" t="s">
        <v>167</v>
      </c>
      <c r="C4" s="66"/>
      <c r="D4" s="71"/>
      <c r="E4" s="250">
        <f>Assumptions!F16</f>
        <v>0.21</v>
      </c>
      <c r="G4" s="138"/>
      <c r="H4" s="139"/>
      <c r="I4" s="79"/>
      <c r="J4" s="80"/>
      <c r="K4" s="141"/>
      <c r="L4" s="152">
        <f>E4</f>
        <v>0.21</v>
      </c>
      <c r="M4" s="142">
        <f>H4/((1+K4*(1-L4)))</f>
        <v>0</v>
      </c>
    </row>
    <row r="5" spans="1:13" x14ac:dyDescent="0.25">
      <c r="A5" s="27"/>
      <c r="B5" s="66" t="s">
        <v>95</v>
      </c>
      <c r="C5" s="66"/>
      <c r="D5" s="71"/>
      <c r="E5" s="137">
        <v>4.1500000000000002E-2</v>
      </c>
      <c r="G5" s="138"/>
      <c r="H5" s="139"/>
      <c r="I5" s="79"/>
      <c r="J5" s="80"/>
      <c r="K5" s="141"/>
      <c r="L5" s="152">
        <f>L4</f>
        <v>0.21</v>
      </c>
      <c r="M5" s="142">
        <f t="shared" ref="M5:M7" si="0">H5/((1+K5*(1-L5)))</f>
        <v>0</v>
      </c>
    </row>
    <row r="6" spans="1:13" x14ac:dyDescent="0.25">
      <c r="A6" s="27"/>
      <c r="B6" s="66" t="s">
        <v>96</v>
      </c>
      <c r="C6" s="66"/>
      <c r="D6" s="71"/>
      <c r="E6" s="137">
        <v>0.05</v>
      </c>
      <c r="G6" s="138"/>
      <c r="H6" s="140"/>
      <c r="I6" s="81"/>
      <c r="J6" s="80"/>
      <c r="K6" s="141"/>
      <c r="L6" s="152">
        <f t="shared" ref="L6:L7" si="1">L5</f>
        <v>0.21</v>
      </c>
      <c r="M6" s="142">
        <f t="shared" si="0"/>
        <v>0</v>
      </c>
    </row>
    <row r="7" spans="1:13" x14ac:dyDescent="0.25">
      <c r="A7" s="27"/>
      <c r="B7" s="66" t="s">
        <v>97</v>
      </c>
      <c r="C7" s="66"/>
      <c r="D7" s="71"/>
      <c r="E7" s="218">
        <v>0.67</v>
      </c>
      <c r="G7" s="138"/>
      <c r="H7" s="140"/>
      <c r="I7" s="81"/>
      <c r="J7" s="82"/>
      <c r="K7" s="141"/>
      <c r="L7" s="152">
        <f t="shared" si="1"/>
        <v>0.21</v>
      </c>
      <c r="M7" s="142">
        <f t="shared" si="0"/>
        <v>0</v>
      </c>
    </row>
    <row r="8" spans="1:13" x14ac:dyDescent="0.25">
      <c r="A8" s="27"/>
      <c r="B8" s="66" t="s">
        <v>98</v>
      </c>
      <c r="C8" s="66"/>
      <c r="D8" s="71"/>
      <c r="E8" s="137">
        <f>E5+E6*E7</f>
        <v>7.5000000000000011E-2</v>
      </c>
      <c r="L8" s="65"/>
    </row>
    <row r="9" spans="1:13" x14ac:dyDescent="0.25">
      <c r="A9" s="27"/>
      <c r="B9" s="67" t="s">
        <v>99</v>
      </c>
      <c r="C9" s="67"/>
      <c r="D9" s="72"/>
      <c r="E9" s="143">
        <f>1-E10</f>
        <v>0.91696229908526772</v>
      </c>
      <c r="G9" s="4" t="s">
        <v>111</v>
      </c>
      <c r="L9" s="27"/>
      <c r="M9" s="217">
        <f>AVERAGE(M4:M7)</f>
        <v>0</v>
      </c>
    </row>
    <row r="10" spans="1:13" x14ac:dyDescent="0.25">
      <c r="A10" s="27"/>
      <c r="B10" s="68" t="s">
        <v>100</v>
      </c>
      <c r="C10" s="68"/>
      <c r="D10" s="73"/>
      <c r="E10" s="144">
        <f>MAIN!F8/MAIN!F6</f>
        <v>8.3037700914732296E-2</v>
      </c>
      <c r="M10" s="65"/>
    </row>
    <row r="11" spans="1:13" x14ac:dyDescent="0.25">
      <c r="A11" s="27"/>
      <c r="B11" s="160" t="s">
        <v>179</v>
      </c>
      <c r="C11" s="69"/>
      <c r="D11" s="74"/>
      <c r="E11" s="145">
        <f>Assumptions!F24</f>
        <v>0.04</v>
      </c>
      <c r="G11" s="4" t="s">
        <v>112</v>
      </c>
      <c r="L11" s="27"/>
      <c r="M11" s="217">
        <f>M9*(1+E10*(1-E4))</f>
        <v>0</v>
      </c>
    </row>
    <row r="12" spans="1:13" x14ac:dyDescent="0.25">
      <c r="A12" s="27"/>
      <c r="B12" s="70" t="s">
        <v>101</v>
      </c>
      <c r="C12" s="70"/>
      <c r="D12" s="75"/>
      <c r="E12" s="145">
        <f>E11*(1-E4)</f>
        <v>3.1600000000000003E-2</v>
      </c>
      <c r="M12" s="65"/>
    </row>
    <row r="13" spans="1:13" s="11" customFormat="1" x14ac:dyDescent="0.25">
      <c r="A13" s="24" t="s">
        <v>126</v>
      </c>
      <c r="B13" s="161" t="s">
        <v>102</v>
      </c>
      <c r="C13" s="162"/>
      <c r="D13" s="163"/>
      <c r="E13" s="157">
        <f>WACC!E8*WACC!E9+WACC!E12*WACC!E10</f>
        <v>7.1396163780300628E-2</v>
      </c>
      <c r="F13" s="4"/>
    </row>
    <row r="14" spans="1:13" s="11" customFormat="1" x14ac:dyDescent="0.25">
      <c r="A14" s="24"/>
      <c r="B14" s="76" t="s">
        <v>103</v>
      </c>
      <c r="C14" s="76"/>
      <c r="D14" s="113"/>
      <c r="E14" s="147">
        <v>2.5000000000000001E-2</v>
      </c>
      <c r="F14" s="4"/>
    </row>
    <row r="15" spans="1:13" x14ac:dyDescent="0.25">
      <c r="B15" s="65"/>
      <c r="C15" s="65"/>
      <c r="D15" s="65"/>
      <c r="E15" s="6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opLeftCell="C1" zoomScaleNormal="100" workbookViewId="0">
      <selection activeCell="J8" sqref="J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42578125" style="4" bestFit="1" customWidth="1"/>
    <col min="4" max="6" width="11.7109375" style="4" customWidth="1"/>
    <col min="7" max="8" width="12.42578125" style="4" bestFit="1" customWidth="1"/>
    <col min="9" max="12" width="11.7109375" style="4" customWidth="1"/>
    <col min="13" max="16384" width="9" style="4"/>
  </cols>
  <sheetData>
    <row r="1" spans="1:14" ht="19.5" x14ac:dyDescent="0.3">
      <c r="A1" s="246" t="str">
        <f>CoName</f>
        <v>Texas Roadhouse Inc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/>
      <c r="J1" s="40"/>
      <c r="K1" s="40"/>
      <c r="L1" s="40"/>
      <c r="M1" s="40"/>
    </row>
    <row r="2" spans="1:14" x14ac:dyDescent="0.25">
      <c r="A2" s="76" t="s">
        <v>114</v>
      </c>
      <c r="B2" s="19"/>
      <c r="C2" s="41"/>
      <c r="D2" s="76">
        <v>0.5</v>
      </c>
      <c r="E2" s="76">
        <f>D2+1</f>
        <v>1.5</v>
      </c>
      <c r="F2" s="76">
        <f t="shared" ref="F2:H2" si="0">E2+1</f>
        <v>2.5</v>
      </c>
      <c r="G2" s="76">
        <f t="shared" si="0"/>
        <v>3.5</v>
      </c>
      <c r="H2" s="76">
        <f t="shared" si="0"/>
        <v>4.5</v>
      </c>
      <c r="I2" s="158"/>
      <c r="J2" s="158"/>
      <c r="K2" s="158"/>
      <c r="L2" s="158"/>
      <c r="M2" s="158"/>
      <c r="N2" s="158"/>
    </row>
    <row r="3" spans="1:14" x14ac:dyDescent="0.25">
      <c r="B3" s="4" t="s">
        <v>184</v>
      </c>
      <c r="D3" s="8">
        <f>1/(1+$K$17)^D2</f>
        <v>0.96610639416668265</v>
      </c>
      <c r="E3" s="8">
        <f t="shared" ref="E3:H3" si="1">1/(1+$K$17)^E2</f>
        <v>0.90172657587076399</v>
      </c>
      <c r="F3" s="8">
        <f t="shared" si="1"/>
        <v>0.84163692792134248</v>
      </c>
      <c r="G3" s="8">
        <f t="shared" si="1"/>
        <v>0.78555156008000027</v>
      </c>
      <c r="H3" s="8">
        <f t="shared" si="1"/>
        <v>0.73320363338643102</v>
      </c>
      <c r="I3" s="8"/>
      <c r="J3" s="8"/>
      <c r="K3" s="8"/>
    </row>
    <row r="4" spans="1:14" x14ac:dyDescent="0.25">
      <c r="B4" s="4" t="s">
        <v>185</v>
      </c>
      <c r="D4" s="4">
        <f>D3*'Free Cash Flow'!F15</f>
        <v>414126.16816006158</v>
      </c>
      <c r="E4" s="4">
        <f>E3*'Free Cash Flow'!G15</f>
        <v>483457.95460449817</v>
      </c>
      <c r="F4" s="4">
        <f>F3*'Free Cash Flow'!H15</f>
        <v>538052.07746696169</v>
      </c>
      <c r="G4" s="4">
        <f>G3*'Free Cash Flow'!I15</f>
        <v>593850.90000205324</v>
      </c>
      <c r="H4" s="4">
        <f>H3*'Free Cash Flow'!J15</f>
        <v>650015.12123631896</v>
      </c>
    </row>
    <row r="5" spans="1:14" x14ac:dyDescent="0.25">
      <c r="G5" s="146"/>
      <c r="H5" s="4">
        <f>(H4*(1+K18))/(K17-K18)</f>
        <v>14360357.516241826</v>
      </c>
    </row>
    <row r="6" spans="1:14" x14ac:dyDescent="0.25">
      <c r="A6" s="76" t="s">
        <v>115</v>
      </c>
      <c r="B6" s="19"/>
      <c r="C6" s="41"/>
      <c r="D6" s="85"/>
      <c r="E6" s="76" t="s">
        <v>172</v>
      </c>
      <c r="F6" s="19"/>
      <c r="G6" s="41"/>
      <c r="H6" s="85" t="s">
        <v>168</v>
      </c>
      <c r="I6" s="291"/>
      <c r="J6" s="292"/>
      <c r="K6" s="293"/>
    </row>
    <row r="7" spans="1:14" x14ac:dyDescent="0.25">
      <c r="B7" s="4" t="s">
        <v>116</v>
      </c>
      <c r="C7" s="4">
        <f>SUM(D4:H4)</f>
        <v>2679502.2214698936</v>
      </c>
      <c r="E7" s="4" t="s">
        <v>116</v>
      </c>
      <c r="G7" s="4">
        <f>C7</f>
        <v>2679502.2214698936</v>
      </c>
      <c r="I7" s="292"/>
      <c r="J7" s="292"/>
      <c r="K7" s="292"/>
    </row>
    <row r="8" spans="1:14" x14ac:dyDescent="0.25">
      <c r="B8" s="4" t="s">
        <v>117</v>
      </c>
      <c r="C8" s="4">
        <f>H5*H3</f>
        <v>10529066.30763665</v>
      </c>
      <c r="E8" s="4" t="s">
        <v>173</v>
      </c>
      <c r="G8" s="4">
        <f>G10*H3*IncState!J23</f>
        <v>17073894.810195349</v>
      </c>
      <c r="I8" s="292"/>
      <c r="J8" s="292"/>
      <c r="K8" s="292"/>
    </row>
    <row r="9" spans="1:14" x14ac:dyDescent="0.25">
      <c r="B9" s="4" t="s">
        <v>118</v>
      </c>
      <c r="C9" s="4">
        <f>SUM(C7:C8)</f>
        <v>13208568.529106544</v>
      </c>
      <c r="E9" s="4" t="s">
        <v>118</v>
      </c>
      <c r="G9" s="4">
        <f>SUM(G7:G8)</f>
        <v>19753397.031665243</v>
      </c>
    </row>
    <row r="10" spans="1:14" x14ac:dyDescent="0.25">
      <c r="C10" s="84"/>
      <c r="E10" s="4" t="s">
        <v>119</v>
      </c>
      <c r="G10" s="84">
        <v>15</v>
      </c>
    </row>
    <row r="11" spans="1:14" x14ac:dyDescent="0.25">
      <c r="I11" s="158"/>
    </row>
    <row r="12" spans="1:14" x14ac:dyDescent="0.25">
      <c r="B12" s="27" t="s">
        <v>120</v>
      </c>
      <c r="C12" s="36">
        <f>MAIN!F7</f>
        <v>108172</v>
      </c>
      <c r="E12" s="27" t="s">
        <v>120</v>
      </c>
      <c r="F12" s="155"/>
      <c r="G12" s="36">
        <f>C12</f>
        <v>108172</v>
      </c>
      <c r="I12" s="158"/>
    </row>
    <row r="13" spans="1:14" x14ac:dyDescent="0.25">
      <c r="B13" s="27" t="s">
        <v>121</v>
      </c>
      <c r="C13" s="36">
        <f>MAIN!F8</f>
        <v>933744</v>
      </c>
      <c r="E13" s="27" t="s">
        <v>121</v>
      </c>
      <c r="F13" s="155"/>
      <c r="G13" s="36">
        <f t="shared" ref="G13:G14" si="2">C13</f>
        <v>933744</v>
      </c>
    </row>
    <row r="14" spans="1:14" x14ac:dyDescent="0.25">
      <c r="B14" s="27" t="s">
        <v>122</v>
      </c>
      <c r="C14" s="78">
        <v>0</v>
      </c>
      <c r="E14" s="4" t="s">
        <v>122</v>
      </c>
      <c r="F14" s="27"/>
      <c r="G14" s="36">
        <f t="shared" si="2"/>
        <v>0</v>
      </c>
    </row>
    <row r="15" spans="1:14" x14ac:dyDescent="0.25">
      <c r="B15" s="4" t="s">
        <v>123</v>
      </c>
      <c r="C15" s="65">
        <f>C9+C12-SUM(C13:C14)</f>
        <v>12382996.529106544</v>
      </c>
      <c r="E15" s="4" t="s">
        <v>123</v>
      </c>
      <c r="G15" s="65">
        <f>G9+G12-SUM(G13:G14)</f>
        <v>18927825.031665243</v>
      </c>
    </row>
    <row r="17" spans="1:17" x14ac:dyDescent="0.25">
      <c r="B17" s="4" t="s">
        <v>124</v>
      </c>
      <c r="C17" s="4">
        <f>MAIN!F5</f>
        <v>66146</v>
      </c>
      <c r="E17" s="4" t="s">
        <v>124</v>
      </c>
      <c r="G17" s="4">
        <f>C17</f>
        <v>66146</v>
      </c>
      <c r="I17" s="161" t="s">
        <v>102</v>
      </c>
      <c r="J17" s="162"/>
      <c r="K17" s="157">
        <f>WACC!E13</f>
        <v>7.1396163780300628E-2</v>
      </c>
    </row>
    <row r="18" spans="1:17" x14ac:dyDescent="0.25">
      <c r="A18" s="4" t="s">
        <v>126</v>
      </c>
      <c r="B18" s="148" t="s">
        <v>125</v>
      </c>
      <c r="C18" s="156">
        <f>C15/C17</f>
        <v>187.20703487900317</v>
      </c>
      <c r="E18" s="148" t="s">
        <v>125</v>
      </c>
      <c r="F18" s="155"/>
      <c r="G18" s="156">
        <f>G15/G17</f>
        <v>286.15222434712973</v>
      </c>
      <c r="I18" s="76" t="s">
        <v>103</v>
      </c>
      <c r="J18" s="76"/>
      <c r="K18" s="147">
        <v>2.5000000000000001E-2</v>
      </c>
    </row>
    <row r="19" spans="1:17" x14ac:dyDescent="0.25">
      <c r="C19" s="21"/>
    </row>
    <row r="20" spans="1:17" x14ac:dyDescent="0.25">
      <c r="A20" s="114" t="s">
        <v>148</v>
      </c>
      <c r="B20" s="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213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149</v>
      </c>
      <c r="D22" s="115"/>
      <c r="E22" s="116">
        <v>5.0000000000000001E-3</v>
      </c>
      <c r="F22" s="115"/>
      <c r="G22" s="115"/>
      <c r="H22" s="115" t="s">
        <v>149</v>
      </c>
      <c r="I22" s="115"/>
      <c r="J22" s="116">
        <v>5.0000000000000001E-3</v>
      </c>
    </row>
    <row r="23" spans="1:17" x14ac:dyDescent="0.25">
      <c r="B23" s="115"/>
      <c r="C23" s="115" t="s">
        <v>150</v>
      </c>
      <c r="D23" s="115"/>
      <c r="E23" s="149">
        <v>2.5000000000000001E-3</v>
      </c>
      <c r="F23" s="115"/>
      <c r="G23" s="115"/>
      <c r="H23" s="115" t="s">
        <v>171</v>
      </c>
      <c r="I23" s="115"/>
      <c r="J23" s="154">
        <v>2</v>
      </c>
    </row>
    <row r="24" spans="1:17" x14ac:dyDescent="0.25">
      <c r="A24" s="166"/>
      <c r="B24" s="235"/>
      <c r="C24" s="235"/>
      <c r="D24" s="235"/>
      <c r="E24" s="269"/>
      <c r="F24" s="235"/>
      <c r="G24" s="235"/>
      <c r="H24" s="235"/>
      <c r="I24" s="235"/>
      <c r="J24" s="270"/>
      <c r="K24" s="166"/>
      <c r="L24" s="166"/>
      <c r="M24" s="166"/>
      <c r="N24" s="166"/>
    </row>
    <row r="25" spans="1:17" x14ac:dyDescent="0.25">
      <c r="A25" s="166"/>
      <c r="B25" s="235"/>
      <c r="C25" s="235"/>
      <c r="D25" s="281"/>
      <c r="E25" s="282" t="s">
        <v>186</v>
      </c>
      <c r="F25" s="282"/>
      <c r="G25" s="281"/>
      <c r="H25" s="235"/>
      <c r="I25" s="166"/>
      <c r="J25" s="235" t="s">
        <v>187</v>
      </c>
      <c r="K25" s="235"/>
      <c r="L25" s="166"/>
      <c r="M25" s="166"/>
      <c r="N25" s="166"/>
      <c r="P25" s="166"/>
    </row>
    <row r="26" spans="1:17" x14ac:dyDescent="0.25">
      <c r="A26" s="166"/>
      <c r="B26" s="271"/>
      <c r="C26" s="272">
        <f>C18</f>
        <v>187.20703487900317</v>
      </c>
      <c r="D26" s="280">
        <f>E26-E23</f>
        <v>2.2500000000000003E-2</v>
      </c>
      <c r="E26" s="280">
        <v>2.5000000000000001E-2</v>
      </c>
      <c r="F26" s="280">
        <f>E26+E23</f>
        <v>2.75E-2</v>
      </c>
      <c r="G26" s="235"/>
      <c r="H26" s="272">
        <f>G18</f>
        <v>286.15222434712973</v>
      </c>
      <c r="I26" s="285">
        <f>J26-J23</f>
        <v>13</v>
      </c>
      <c r="J26" s="285">
        <v>15</v>
      </c>
      <c r="K26" s="285">
        <f>J26+J23</f>
        <v>17</v>
      </c>
      <c r="L26" s="281"/>
      <c r="M26" s="166"/>
      <c r="N26" s="166"/>
    </row>
    <row r="27" spans="1:17" x14ac:dyDescent="0.25">
      <c r="A27" s="166"/>
      <c r="B27" s="271"/>
      <c r="C27" s="273">
        <f>C28+$E$22</f>
        <v>8.1396163780300637E-2</v>
      </c>
      <c r="D27" s="283">
        <f t="dataTable" ref="D27:F31" dt2D="1" dtr="1" r1="K18" r2="K17"/>
        <v>142.07705025419133</v>
      </c>
      <c r="E27" s="286">
        <v>147.47116406880679</v>
      </c>
      <c r="F27" s="284">
        <v>153.36569511502745</v>
      </c>
      <c r="G27" s="236"/>
      <c r="H27" s="273">
        <f>C27</f>
        <v>8.1396163780300637E-2</v>
      </c>
      <c r="I27" s="283">
        <f t="dataTable" ref="I27:K31" dt2D="1" dtr="1" r1="G10" r2="K17" ca="1"/>
        <v>241.56950415982757</v>
      </c>
      <c r="J27" s="286">
        <v>274.57691299214082</v>
      </c>
      <c r="K27" s="284">
        <v>307.58432182445415</v>
      </c>
      <c r="L27" s="166"/>
      <c r="M27" s="166"/>
      <c r="N27" s="236"/>
      <c r="P27" s="166"/>
    </row>
    <row r="28" spans="1:17" x14ac:dyDescent="0.25">
      <c r="A28" s="166"/>
      <c r="B28" s="271"/>
      <c r="C28" s="273">
        <f>C29+$E$22</f>
        <v>7.6396163780300633E-2</v>
      </c>
      <c r="D28" s="268">
        <v>158.6039591639769</v>
      </c>
      <c r="E28" s="287">
        <v>165.31623174517713</v>
      </c>
      <c r="F28" s="268">
        <v>172.71488461291267</v>
      </c>
      <c r="G28" s="166"/>
      <c r="H28" s="273">
        <f t="shared" ref="H28:H31" si="3">C28</f>
        <v>7.6396163780300633E-2</v>
      </c>
      <c r="I28" s="268">
        <v>246.58889802224283</v>
      </c>
      <c r="J28" s="287">
        <v>280.29189390209285</v>
      </c>
      <c r="K28" s="268">
        <v>313.99488978194279</v>
      </c>
      <c r="L28" s="166"/>
      <c r="M28" s="166"/>
      <c r="N28" s="274"/>
      <c r="O28" s="46"/>
      <c r="P28" s="46"/>
      <c r="Q28" s="46"/>
    </row>
    <row r="29" spans="1:17" x14ac:dyDescent="0.25">
      <c r="A29" s="166"/>
      <c r="B29" s="166"/>
      <c r="C29" s="273">
        <v>7.1396163780300628E-2</v>
      </c>
      <c r="D29" s="289">
        <v>178.70000972007446</v>
      </c>
      <c r="E29" s="288">
        <v>187.20703487900317</v>
      </c>
      <c r="F29" s="289">
        <v>196.68305418529138</v>
      </c>
      <c r="G29" s="237"/>
      <c r="H29" s="273">
        <f t="shared" si="3"/>
        <v>7.1396163780300628E-2</v>
      </c>
      <c r="I29" s="289">
        <v>251.73564121245727</v>
      </c>
      <c r="J29" s="288">
        <v>286.15222434712973</v>
      </c>
      <c r="K29" s="289">
        <v>320.56880748180225</v>
      </c>
      <c r="L29" s="166"/>
      <c r="M29" s="166"/>
      <c r="N29" s="275"/>
      <c r="O29" s="164"/>
      <c r="P29" s="164"/>
      <c r="Q29" s="164"/>
    </row>
    <row r="30" spans="1:17" x14ac:dyDescent="0.25">
      <c r="A30" s="166"/>
      <c r="B30" s="166"/>
      <c r="C30" s="273">
        <f>C29-$E$22</f>
        <v>6.6396163780300624E-2</v>
      </c>
      <c r="D30" s="268">
        <v>203.59800476581677</v>
      </c>
      <c r="E30" s="289">
        <v>214.62354850745172</v>
      </c>
      <c r="F30" s="268">
        <v>227.0663970254538</v>
      </c>
      <c r="G30" s="238"/>
      <c r="H30" s="273">
        <f t="shared" si="3"/>
        <v>6.6396163780300624E-2</v>
      </c>
      <c r="I30" s="268">
        <v>257.01360761393352</v>
      </c>
      <c r="J30" s="289">
        <v>292.16233130549256</v>
      </c>
      <c r="K30" s="268">
        <v>327.31105499705171</v>
      </c>
      <c r="L30" s="166"/>
      <c r="M30" s="222"/>
      <c r="N30" s="238"/>
      <c r="O30" s="84"/>
      <c r="P30" s="84"/>
      <c r="Q30" s="84"/>
    </row>
    <row r="31" spans="1:17" x14ac:dyDescent="0.25">
      <c r="A31" s="166"/>
      <c r="B31" s="166"/>
      <c r="C31" s="273">
        <f>C30-$E$22</f>
        <v>6.1396163780300626E-2</v>
      </c>
      <c r="D31" s="268">
        <v>235.16557522991349</v>
      </c>
      <c r="E31" s="289">
        <v>249.86000655764067</v>
      </c>
      <c r="F31" s="268">
        <v>266.72200342803069</v>
      </c>
      <c r="G31" s="238"/>
      <c r="H31" s="273">
        <f t="shared" si="3"/>
        <v>6.1396163780300626E-2</v>
      </c>
      <c r="I31" s="268">
        <v>262.42680826136751</v>
      </c>
      <c r="J31" s="289">
        <v>298.32679860930114</v>
      </c>
      <c r="K31" s="268">
        <v>334.2267889572347</v>
      </c>
      <c r="L31" s="166"/>
      <c r="M31" s="222"/>
      <c r="N31" s="238"/>
      <c r="O31" s="84"/>
      <c r="P31" s="84"/>
      <c r="Q31" s="84"/>
    </row>
    <row r="32" spans="1:17" x14ac:dyDescent="0.25">
      <c r="A32" s="166"/>
      <c r="B32" s="166"/>
      <c r="C32" s="166"/>
      <c r="D32" s="222"/>
      <c r="E32" s="166"/>
      <c r="F32" s="222"/>
      <c r="G32" s="238"/>
      <c r="H32" s="223"/>
      <c r="I32" s="223"/>
      <c r="J32" s="223"/>
      <c r="K32" s="236"/>
      <c r="L32" s="166"/>
      <c r="M32" s="222"/>
      <c r="N32" s="238"/>
      <c r="O32" s="84"/>
      <c r="P32" s="84"/>
      <c r="Q32" s="84"/>
    </row>
    <row r="33" spans="1:17" x14ac:dyDescent="0.25">
      <c r="A33" s="166"/>
      <c r="B33" s="166"/>
      <c r="C33" s="166"/>
      <c r="D33" s="222"/>
      <c r="E33" s="276"/>
      <c r="F33" s="222"/>
      <c r="G33" s="238"/>
      <c r="H33" s="223"/>
      <c r="I33" s="223"/>
      <c r="J33" s="223"/>
      <c r="K33" s="236"/>
      <c r="L33" s="166"/>
      <c r="M33" s="222"/>
      <c r="N33" s="238"/>
      <c r="O33" s="84"/>
      <c r="P33" s="84"/>
      <c r="Q33" s="84"/>
    </row>
    <row r="34" spans="1:17" x14ac:dyDescent="0.25">
      <c r="A34" s="166"/>
      <c r="B34" s="166"/>
      <c r="C34" s="166"/>
      <c r="D34" s="222"/>
      <c r="E34" s="276"/>
      <c r="F34" s="222"/>
      <c r="G34" s="238"/>
      <c r="H34" s="223"/>
      <c r="I34" s="223"/>
      <c r="J34" s="223"/>
      <c r="K34" s="236"/>
      <c r="L34" s="166"/>
      <c r="M34" s="222"/>
      <c r="N34" s="238"/>
      <c r="O34" s="84"/>
      <c r="P34" s="84"/>
      <c r="Q34" s="84"/>
    </row>
    <row r="35" spans="1:17" x14ac:dyDescent="0.25">
      <c r="B35" s="239"/>
      <c r="C35" s="239"/>
      <c r="D35" s="239"/>
      <c r="E35" s="240"/>
      <c r="F35" s="241"/>
      <c r="G35" s="240"/>
    </row>
    <row r="36" spans="1:17" x14ac:dyDescent="0.25">
      <c r="B36" s="115"/>
      <c r="C36" s="115"/>
      <c r="D36" s="115"/>
      <c r="E36" s="115"/>
      <c r="F36" s="235"/>
      <c r="G36" s="235"/>
      <c r="H36" s="235"/>
      <c r="I36" s="166"/>
      <c r="J36" s="166"/>
      <c r="P36" s="166"/>
    </row>
    <row r="37" spans="1:17" x14ac:dyDescent="0.25">
      <c r="F37" s="224"/>
      <c r="G37" s="224"/>
      <c r="H37" s="222"/>
      <c r="I37" s="222"/>
      <c r="J37" s="222"/>
      <c r="M37" s="166"/>
      <c r="O37" s="84"/>
      <c r="P37" s="84"/>
      <c r="Q37" s="84"/>
    </row>
    <row r="38" spans="1:17" x14ac:dyDescent="0.25">
      <c r="E38" s="46"/>
      <c r="F38" s="221"/>
      <c r="G38" s="242"/>
      <c r="H38" s="238"/>
      <c r="I38" s="238"/>
      <c r="J38" s="238"/>
      <c r="L38" s="84"/>
      <c r="M38" s="84"/>
      <c r="N38" s="243"/>
      <c r="O38" s="165"/>
      <c r="P38" s="165"/>
      <c r="Q38" s="165"/>
    </row>
    <row r="39" spans="1:17" x14ac:dyDescent="0.25">
      <c r="E39" s="46"/>
      <c r="F39" s="222"/>
      <c r="G39" s="238"/>
      <c r="H39" s="221"/>
      <c r="I39" s="221"/>
      <c r="J39" s="221"/>
      <c r="K39" s="46"/>
      <c r="M39" s="46"/>
      <c r="N39" s="164"/>
      <c r="O39" s="244"/>
      <c r="P39" s="244"/>
      <c r="Q39" s="244"/>
    </row>
    <row r="40" spans="1:17" x14ac:dyDescent="0.25">
      <c r="D40" s="8"/>
      <c r="E40" s="46"/>
      <c r="F40" s="222"/>
      <c r="G40" s="238"/>
      <c r="H40" s="221"/>
      <c r="I40" s="221"/>
      <c r="J40" s="221"/>
      <c r="K40" s="8"/>
      <c r="L40" s="46"/>
      <c r="M40" s="46"/>
      <c r="N40" s="164"/>
      <c r="O40" s="244"/>
      <c r="P40" s="244"/>
      <c r="Q40" s="244"/>
    </row>
    <row r="41" spans="1:17" x14ac:dyDescent="0.25">
      <c r="D41" s="8"/>
      <c r="E41" s="146"/>
      <c r="F41" s="222"/>
      <c r="G41" s="238"/>
      <c r="H41" s="221"/>
      <c r="I41" s="221"/>
      <c r="J41" s="221"/>
      <c r="K41" s="8"/>
      <c r="L41" s="146"/>
      <c r="M41" s="46"/>
      <c r="N41" s="164"/>
      <c r="O41" s="244"/>
      <c r="P41" s="244"/>
      <c r="Q41" s="244"/>
    </row>
    <row r="42" spans="1:17" x14ac:dyDescent="0.25">
      <c r="D42" s="8"/>
      <c r="E42" s="46"/>
      <c r="F42" s="222"/>
      <c r="G42" s="238"/>
      <c r="H42" s="221"/>
      <c r="I42" s="221"/>
      <c r="J42" s="221"/>
      <c r="K42" s="8"/>
      <c r="L42" s="46"/>
      <c r="M42" s="46"/>
      <c r="N42" s="164"/>
      <c r="O42" s="244"/>
      <c r="P42" s="244"/>
      <c r="Q42" s="244"/>
    </row>
    <row r="43" spans="1:17" x14ac:dyDescent="0.25">
      <c r="D43" s="8"/>
      <c r="E43" s="8"/>
      <c r="F43" s="222"/>
      <c r="G43" s="238"/>
      <c r="H43" s="221"/>
      <c r="I43" s="221"/>
      <c r="J43" s="221"/>
      <c r="K43" s="8"/>
      <c r="L43" s="46"/>
      <c r="M43" s="46"/>
      <c r="N43" s="164"/>
      <c r="O43" s="244"/>
      <c r="P43" s="244"/>
      <c r="Q43" s="244"/>
    </row>
    <row r="44" spans="1:17" x14ac:dyDescent="0.25">
      <c r="D44" s="8"/>
      <c r="E44" s="8"/>
      <c r="F44" s="84"/>
      <c r="G44" s="84"/>
      <c r="H44" s="84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88a26cf8-717e-46a4-ac0d-03f11284dc6b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2025-12-15T02:02:12Z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