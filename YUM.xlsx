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945843A6-8C44-4AD9-BB93-B8EB4BBFCCEB}" xr6:coauthVersionLast="47" xr6:coauthVersionMax="47" xr10:uidLastSave="{00000000-0000-0000-0000-000000000000}"/>
  <bookViews>
    <workbookView xWindow="-120" yWindow="-120" windowWidth="38640" windowHeight="21840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2" l="1"/>
  <c r="E7" i="11"/>
  <c r="K7" i="12"/>
  <c r="G29" i="12"/>
  <c r="J26" i="12"/>
  <c r="H26" i="12"/>
  <c r="C30" i="12"/>
  <c r="C28" i="12"/>
  <c r="D26" i="12"/>
  <c r="F26" i="12"/>
  <c r="C17" i="12"/>
  <c r="G17" i="12" s="1"/>
  <c r="K10" i="12" s="1"/>
  <c r="G14" i="12"/>
  <c r="C13" i="12"/>
  <c r="G13" i="12" s="1"/>
  <c r="C12" i="12"/>
  <c r="G12" i="12" s="1"/>
  <c r="I6" i="11"/>
  <c r="K6" i="11" s="1"/>
  <c r="L5" i="11"/>
  <c r="L6" i="11" s="1"/>
  <c r="I5" i="11"/>
  <c r="K5" i="11" s="1"/>
  <c r="M5" i="11" s="1"/>
  <c r="G3" i="10"/>
  <c r="H3" i="10"/>
  <c r="I3" i="10"/>
  <c r="J3" i="10"/>
  <c r="G4" i="10"/>
  <c r="H4" i="10"/>
  <c r="I4" i="10"/>
  <c r="J4" i="10"/>
  <c r="G5" i="10"/>
  <c r="H5" i="10"/>
  <c r="I5" i="10"/>
  <c r="J5" i="10"/>
  <c r="G7" i="10"/>
  <c r="H7" i="10"/>
  <c r="I7" i="10"/>
  <c r="J7" i="10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13" i="10"/>
  <c r="H13" i="10"/>
  <c r="I13" i="10"/>
  <c r="J13" i="10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11" i="9"/>
  <c r="H11" i="9"/>
  <c r="I11" i="9"/>
  <c r="J11" i="9"/>
  <c r="G12" i="9"/>
  <c r="H12" i="9"/>
  <c r="I12" i="9"/>
  <c r="J12" i="9"/>
  <c r="G14" i="9"/>
  <c r="H14" i="9"/>
  <c r="I14" i="9"/>
  <c r="J14" i="9"/>
  <c r="G15" i="9"/>
  <c r="H15" i="9"/>
  <c r="I15" i="9"/>
  <c r="J15" i="9"/>
  <c r="G16" i="9"/>
  <c r="H16" i="9"/>
  <c r="I16" i="9"/>
  <c r="J16" i="9"/>
  <c r="G17" i="9"/>
  <c r="H17" i="9"/>
  <c r="I17" i="9"/>
  <c r="J17" i="9"/>
  <c r="G16" i="8"/>
  <c r="H16" i="8"/>
  <c r="I16" i="8"/>
  <c r="J16" i="8"/>
  <c r="G18" i="8"/>
  <c r="H18" i="8"/>
  <c r="I18" i="8"/>
  <c r="J18" i="8"/>
  <c r="G19" i="8"/>
  <c r="H19" i="8"/>
  <c r="I19" i="8"/>
  <c r="J19" i="8"/>
  <c r="G23" i="8"/>
  <c r="H23" i="8"/>
  <c r="I23" i="8"/>
  <c r="J23" i="8"/>
  <c r="G24" i="8"/>
  <c r="H24" i="8"/>
  <c r="I24" i="8"/>
  <c r="J24" i="8"/>
  <c r="G25" i="8"/>
  <c r="H25" i="8"/>
  <c r="I25" i="8"/>
  <c r="J25" i="8"/>
  <c r="G31" i="8"/>
  <c r="H31" i="8"/>
  <c r="I31" i="8"/>
  <c r="J31" i="8"/>
  <c r="G32" i="8"/>
  <c r="H32" i="8"/>
  <c r="I32" i="8"/>
  <c r="J32" i="8"/>
  <c r="G35" i="8"/>
  <c r="H35" i="8"/>
  <c r="I35" i="8"/>
  <c r="J35" i="8"/>
  <c r="G36" i="8"/>
  <c r="H36" i="8"/>
  <c r="I36" i="8"/>
  <c r="J36" i="8"/>
  <c r="G37" i="8"/>
  <c r="H37" i="8"/>
  <c r="I37" i="8"/>
  <c r="J37" i="8"/>
  <c r="G16" i="7"/>
  <c r="H16" i="7"/>
  <c r="I16" i="7"/>
  <c r="J16" i="7"/>
  <c r="G17" i="7"/>
  <c r="H17" i="7"/>
  <c r="I17" i="7"/>
  <c r="J17" i="7"/>
  <c r="G18" i="7"/>
  <c r="H18" i="7"/>
  <c r="I18" i="7"/>
  <c r="J18" i="7"/>
  <c r="G19" i="7"/>
  <c r="H19" i="7"/>
  <c r="I19" i="7"/>
  <c r="J19" i="7"/>
  <c r="G22" i="7"/>
  <c r="H22" i="7"/>
  <c r="I22" i="7"/>
  <c r="J22" i="7"/>
  <c r="G25" i="7"/>
  <c r="H25" i="7"/>
  <c r="I25" i="7"/>
  <c r="J25" i="7"/>
  <c r="G26" i="7"/>
  <c r="H26" i="7"/>
  <c r="I26" i="7"/>
  <c r="J26" i="7"/>
  <c r="G28" i="7"/>
  <c r="G12" i="6" s="1"/>
  <c r="H28" i="7"/>
  <c r="H12" i="6" s="1"/>
  <c r="I28" i="7"/>
  <c r="J28" i="7"/>
  <c r="G29" i="7"/>
  <c r="H29" i="7"/>
  <c r="I29" i="7"/>
  <c r="J29" i="7"/>
  <c r="G35" i="7"/>
  <c r="H35" i="7"/>
  <c r="I35" i="7"/>
  <c r="J35" i="7"/>
  <c r="G38" i="7"/>
  <c r="G36" i="7" s="1"/>
  <c r="G15" i="5" s="1"/>
  <c r="H38" i="7"/>
  <c r="H36" i="7" s="1"/>
  <c r="H15" i="5" s="1"/>
  <c r="I38" i="7"/>
  <c r="I36" i="7" s="1"/>
  <c r="I15" i="5" s="1"/>
  <c r="J38" i="7"/>
  <c r="J36" i="7" s="1"/>
  <c r="J15" i="5" s="1"/>
  <c r="G39" i="7"/>
  <c r="H39" i="7"/>
  <c r="I39" i="7"/>
  <c r="J39" i="7"/>
  <c r="I12" i="6"/>
  <c r="J12" i="6"/>
  <c r="G13" i="6"/>
  <c r="H13" i="6"/>
  <c r="I13" i="6"/>
  <c r="J13" i="6"/>
  <c r="I14" i="6"/>
  <c r="J14" i="6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G22" i="6" s="1"/>
  <c r="G28" i="6" s="1"/>
  <c r="H21" i="6"/>
  <c r="I21" i="6"/>
  <c r="J21" i="6"/>
  <c r="G24" i="6"/>
  <c r="H24" i="6"/>
  <c r="I24" i="6"/>
  <c r="J24" i="6"/>
  <c r="I25" i="6"/>
  <c r="J25" i="6"/>
  <c r="G26" i="6"/>
  <c r="G30" i="6"/>
  <c r="H30" i="6"/>
  <c r="I30" i="6"/>
  <c r="J30" i="6"/>
  <c r="G32" i="6"/>
  <c r="H32" i="6"/>
  <c r="I32" i="6"/>
  <c r="J32" i="6"/>
  <c r="G10" i="5"/>
  <c r="H10" i="5"/>
  <c r="I10" i="5"/>
  <c r="J10" i="5"/>
  <c r="G11" i="5"/>
  <c r="H11" i="5"/>
  <c r="I11" i="5"/>
  <c r="J11" i="5"/>
  <c r="G16" i="5"/>
  <c r="H16" i="5"/>
  <c r="I16" i="5"/>
  <c r="J16" i="5"/>
  <c r="G18" i="5"/>
  <c r="H18" i="5"/>
  <c r="I18" i="5"/>
  <c r="J18" i="5"/>
  <c r="G19" i="5"/>
  <c r="H19" i="5"/>
  <c r="I19" i="5"/>
  <c r="J19" i="5"/>
  <c r="G20" i="5"/>
  <c r="H20" i="5"/>
  <c r="I20" i="5"/>
  <c r="J20" i="5"/>
  <c r="G21" i="5"/>
  <c r="H21" i="5"/>
  <c r="I21" i="5"/>
  <c r="J21" i="5"/>
  <c r="G22" i="5"/>
  <c r="H22" i="5"/>
  <c r="I22" i="5"/>
  <c r="J22" i="5"/>
  <c r="G23" i="5"/>
  <c r="H23" i="5"/>
  <c r="I23" i="5"/>
  <c r="J23" i="5"/>
  <c r="G24" i="5"/>
  <c r="H24" i="5"/>
  <c r="I24" i="5"/>
  <c r="J24" i="5"/>
  <c r="J25" i="5" s="1"/>
  <c r="G25" i="5"/>
  <c r="H25" i="5"/>
  <c r="I25" i="5"/>
  <c r="F29" i="7"/>
  <c r="F28" i="7"/>
  <c r="F31" i="7" s="1"/>
  <c r="F13" i="10"/>
  <c r="F12" i="10"/>
  <c r="F11" i="10"/>
  <c r="F10" i="10"/>
  <c r="F9" i="10"/>
  <c r="F21" i="9"/>
  <c r="F17" i="9"/>
  <c r="B22" i="9"/>
  <c r="F16" i="9"/>
  <c r="F15" i="9"/>
  <c r="F14" i="9"/>
  <c r="F12" i="9"/>
  <c r="F11" i="9"/>
  <c r="F8" i="9"/>
  <c r="F7" i="9"/>
  <c r="F6" i="9"/>
  <c r="F25" i="5"/>
  <c r="F23" i="5"/>
  <c r="F22" i="5"/>
  <c r="F21" i="5"/>
  <c r="F20" i="5"/>
  <c r="F24" i="5" s="1"/>
  <c r="F19" i="5"/>
  <c r="E24" i="5"/>
  <c r="E23" i="5"/>
  <c r="E22" i="5"/>
  <c r="E21" i="5"/>
  <c r="E20" i="5"/>
  <c r="E19" i="5"/>
  <c r="F5" i="9"/>
  <c r="F16" i="5"/>
  <c r="F15" i="5"/>
  <c r="F13" i="5"/>
  <c r="E17" i="5"/>
  <c r="F36" i="8"/>
  <c r="F32" i="6"/>
  <c r="F28" i="6"/>
  <c r="F35" i="8"/>
  <c r="E2" i="6"/>
  <c r="F2" i="6"/>
  <c r="G2" i="6"/>
  <c r="H2" i="6"/>
  <c r="I2" i="6"/>
  <c r="J2" i="6"/>
  <c r="D2" i="6"/>
  <c r="F26" i="6"/>
  <c r="F13" i="6"/>
  <c r="F12" i="6"/>
  <c r="E12" i="6"/>
  <c r="F22" i="6"/>
  <c r="F21" i="6"/>
  <c r="F20" i="6"/>
  <c r="F19" i="6"/>
  <c r="F18" i="6"/>
  <c r="F17" i="6"/>
  <c r="E20" i="6"/>
  <c r="F32" i="8"/>
  <c r="F31" i="8"/>
  <c r="F25" i="8"/>
  <c r="F24" i="8"/>
  <c r="F23" i="8"/>
  <c r="F7" i="5"/>
  <c r="F6" i="5"/>
  <c r="E9" i="5"/>
  <c r="F19" i="8"/>
  <c r="F18" i="8"/>
  <c r="F16" i="8"/>
  <c r="F36" i="7"/>
  <c r="F39" i="7"/>
  <c r="F38" i="7"/>
  <c r="G17" i="13"/>
  <c r="H17" i="13"/>
  <c r="I17" i="13"/>
  <c r="J17" i="13"/>
  <c r="F17" i="13"/>
  <c r="F26" i="7"/>
  <c r="F25" i="7"/>
  <c r="F22" i="7"/>
  <c r="F19" i="7"/>
  <c r="F18" i="7"/>
  <c r="F17" i="7"/>
  <c r="F16" i="7"/>
  <c r="C31" i="8"/>
  <c r="C25" i="8"/>
  <c r="C23" i="8"/>
  <c r="C17" i="8"/>
  <c r="G32" i="13"/>
  <c r="F32" i="13"/>
  <c r="C32" i="13"/>
  <c r="D32" i="13"/>
  <c r="E32" i="13"/>
  <c r="E25" i="13"/>
  <c r="E23" i="13"/>
  <c r="D25" i="8"/>
  <c r="D23" i="8"/>
  <c r="E25" i="8"/>
  <c r="E23" i="8"/>
  <c r="D16" i="8"/>
  <c r="D17" i="8" s="1"/>
  <c r="C16" i="8"/>
  <c r="E16" i="8"/>
  <c r="E17" i="8" s="1"/>
  <c r="D35" i="7"/>
  <c r="C35" i="7"/>
  <c r="E35" i="7"/>
  <c r="C18" i="7"/>
  <c r="D18" i="7"/>
  <c r="E18" i="7"/>
  <c r="C17" i="7"/>
  <c r="D17" i="7"/>
  <c r="E17" i="7"/>
  <c r="C16" i="7"/>
  <c r="D16" i="7"/>
  <c r="E16" i="7"/>
  <c r="D10" i="13"/>
  <c r="E10" i="13"/>
  <c r="H12" i="13"/>
  <c r="I12" i="13"/>
  <c r="J12" i="13"/>
  <c r="G12" i="13"/>
  <c r="F12" i="13"/>
  <c r="H11" i="13"/>
  <c r="I11" i="13"/>
  <c r="J11" i="13"/>
  <c r="G11" i="13"/>
  <c r="F11" i="13"/>
  <c r="T50" i="32"/>
  <c r="S50" i="32"/>
  <c r="R50" i="32"/>
  <c r="P50" i="32"/>
  <c r="O50" i="32"/>
  <c r="N50" i="32"/>
  <c r="M50" i="32"/>
  <c r="K50" i="32"/>
  <c r="J50" i="32"/>
  <c r="I50" i="32"/>
  <c r="H50" i="32"/>
  <c r="F50" i="32"/>
  <c r="E50" i="32"/>
  <c r="D50" i="32"/>
  <c r="C50" i="32"/>
  <c r="T26" i="32"/>
  <c r="S26" i="32"/>
  <c r="R26" i="32"/>
  <c r="Y26" i="32"/>
  <c r="Y31" i="32" s="1"/>
  <c r="X26" i="32"/>
  <c r="X31" i="32" s="1"/>
  <c r="W26" i="32"/>
  <c r="P26" i="32"/>
  <c r="O26" i="32"/>
  <c r="N26" i="32"/>
  <c r="M26" i="32"/>
  <c r="K26" i="32"/>
  <c r="J26" i="32"/>
  <c r="I26" i="32"/>
  <c r="H26" i="32"/>
  <c r="F26" i="32"/>
  <c r="E26" i="32"/>
  <c r="D26" i="32"/>
  <c r="T10" i="32"/>
  <c r="Y10" i="32" s="1"/>
  <c r="S10" i="32"/>
  <c r="X10" i="32" s="1"/>
  <c r="R10" i="32"/>
  <c r="P10" i="32"/>
  <c r="O10" i="32"/>
  <c r="N10" i="32"/>
  <c r="M10" i="32"/>
  <c r="K10" i="32"/>
  <c r="J10" i="32"/>
  <c r="I10" i="32"/>
  <c r="H10" i="32"/>
  <c r="F10" i="32"/>
  <c r="E10" i="32"/>
  <c r="D10" i="32"/>
  <c r="C10" i="32"/>
  <c r="C14" i="32" s="1"/>
  <c r="AA38" i="32"/>
  <c r="AA36" i="32"/>
  <c r="AA24" i="32"/>
  <c r="AA22" i="32"/>
  <c r="AA20" i="32"/>
  <c r="T39" i="32"/>
  <c r="S39" i="32"/>
  <c r="R39" i="32"/>
  <c r="P39" i="32"/>
  <c r="O39" i="32"/>
  <c r="N39" i="32"/>
  <c r="M39" i="32"/>
  <c r="K39" i="32"/>
  <c r="J39" i="32"/>
  <c r="I39" i="32"/>
  <c r="H39" i="32"/>
  <c r="T37" i="32"/>
  <c r="S37" i="32"/>
  <c r="R37" i="32"/>
  <c r="P37" i="32"/>
  <c r="O37" i="32"/>
  <c r="N37" i="32"/>
  <c r="M37" i="32"/>
  <c r="K37" i="32"/>
  <c r="J37" i="32"/>
  <c r="I37" i="32"/>
  <c r="H37" i="32"/>
  <c r="T25" i="32"/>
  <c r="S25" i="32"/>
  <c r="R25" i="32"/>
  <c r="T23" i="32"/>
  <c r="S23" i="32"/>
  <c r="R23" i="32"/>
  <c r="T21" i="32"/>
  <c r="S21" i="32"/>
  <c r="R21" i="32"/>
  <c r="P21" i="32"/>
  <c r="O21" i="32"/>
  <c r="N21" i="32"/>
  <c r="M21" i="32"/>
  <c r="P23" i="32"/>
  <c r="O23" i="32"/>
  <c r="N23" i="32"/>
  <c r="M23" i="32"/>
  <c r="P25" i="32"/>
  <c r="O25" i="32"/>
  <c r="N25" i="32"/>
  <c r="M25" i="32"/>
  <c r="K25" i="32"/>
  <c r="J25" i="32"/>
  <c r="I25" i="32"/>
  <c r="H25" i="32"/>
  <c r="K23" i="32"/>
  <c r="J23" i="32"/>
  <c r="I23" i="32"/>
  <c r="H23" i="32"/>
  <c r="K21" i="32"/>
  <c r="J21" i="32"/>
  <c r="I21" i="32"/>
  <c r="H21" i="32"/>
  <c r="T9" i="32"/>
  <c r="S9" i="32"/>
  <c r="R9" i="32"/>
  <c r="T7" i="32"/>
  <c r="S7" i="32"/>
  <c r="R7" i="32"/>
  <c r="T5" i="32"/>
  <c r="S5" i="32"/>
  <c r="R5" i="32"/>
  <c r="P5" i="32"/>
  <c r="O5" i="32"/>
  <c r="N5" i="32"/>
  <c r="M5" i="32"/>
  <c r="P7" i="32"/>
  <c r="O7" i="32"/>
  <c r="N7" i="32"/>
  <c r="M7" i="32"/>
  <c r="P9" i="32"/>
  <c r="O9" i="32"/>
  <c r="N9" i="32"/>
  <c r="M9" i="32"/>
  <c r="K9" i="32"/>
  <c r="J9" i="32"/>
  <c r="I9" i="32"/>
  <c r="H9" i="32"/>
  <c r="K7" i="32"/>
  <c r="J7" i="32"/>
  <c r="I7" i="32"/>
  <c r="H7" i="32"/>
  <c r="K5" i="32"/>
  <c r="J5" i="32"/>
  <c r="I5" i="32"/>
  <c r="H5" i="32"/>
  <c r="V38" i="32"/>
  <c r="V36" i="32"/>
  <c r="V24" i="32"/>
  <c r="V22" i="32"/>
  <c r="V20" i="32"/>
  <c r="V8" i="32"/>
  <c r="V6" i="32"/>
  <c r="V4" i="32"/>
  <c r="Q38" i="32"/>
  <c r="Q36" i="32"/>
  <c r="Q29" i="32"/>
  <c r="Q24" i="32"/>
  <c r="Q22" i="32"/>
  <c r="Q20" i="32"/>
  <c r="Q13" i="32"/>
  <c r="Q8" i="32"/>
  <c r="Q6" i="32"/>
  <c r="Q4" i="32"/>
  <c r="L38" i="32"/>
  <c r="L36" i="32"/>
  <c r="L29" i="32"/>
  <c r="L24" i="32"/>
  <c r="L22" i="32"/>
  <c r="L20" i="32"/>
  <c r="L13" i="32"/>
  <c r="L8" i="32"/>
  <c r="L6" i="32"/>
  <c r="L4" i="32"/>
  <c r="G38" i="32"/>
  <c r="G36" i="32"/>
  <c r="G29" i="32"/>
  <c r="G24" i="32"/>
  <c r="G22" i="32"/>
  <c r="G20" i="32"/>
  <c r="G13" i="32"/>
  <c r="G8" i="32"/>
  <c r="G6" i="32"/>
  <c r="G4" i="32"/>
  <c r="C43" i="32"/>
  <c r="H43" i="32"/>
  <c r="H52" i="32" s="1"/>
  <c r="C31" i="32"/>
  <c r="H31" i="32"/>
  <c r="C15" i="32"/>
  <c r="H15" i="32"/>
  <c r="D43" i="32"/>
  <c r="I43" i="32"/>
  <c r="D31" i="32"/>
  <c r="I31" i="32"/>
  <c r="D15" i="32"/>
  <c r="I15" i="32"/>
  <c r="E43" i="32"/>
  <c r="J43" i="32"/>
  <c r="E31" i="32"/>
  <c r="J31" i="32"/>
  <c r="E15" i="32"/>
  <c r="J15" i="32"/>
  <c r="P43" i="32"/>
  <c r="P31" i="32"/>
  <c r="P32" i="32" s="1"/>
  <c r="P15" i="32"/>
  <c r="K43" i="32"/>
  <c r="K31" i="32"/>
  <c r="K15" i="32"/>
  <c r="F43" i="32"/>
  <c r="F31" i="32"/>
  <c r="F30" i="32"/>
  <c r="F15" i="32"/>
  <c r="F14" i="32"/>
  <c r="M43" i="32"/>
  <c r="R43" i="32"/>
  <c r="R52" i="32" s="1"/>
  <c r="M31" i="32"/>
  <c r="M32" i="32" s="1"/>
  <c r="R31" i="32"/>
  <c r="M15" i="32"/>
  <c r="R15" i="32"/>
  <c r="N43" i="32"/>
  <c r="N52" i="32" s="1"/>
  <c r="S43" i="32"/>
  <c r="N31" i="32"/>
  <c r="N32" i="32" s="1"/>
  <c r="S31" i="32"/>
  <c r="N15" i="32"/>
  <c r="S15" i="32"/>
  <c r="O43" i="32"/>
  <c r="T43" i="32"/>
  <c r="T52" i="32" s="1"/>
  <c r="O31" i="32"/>
  <c r="T31" i="32"/>
  <c r="H30" i="32"/>
  <c r="O15" i="32"/>
  <c r="J30" i="32"/>
  <c r="I30" i="32"/>
  <c r="E30" i="32"/>
  <c r="D30" i="32"/>
  <c r="C26" i="32"/>
  <c r="C30" i="32" s="1"/>
  <c r="T15" i="32"/>
  <c r="E14" i="32"/>
  <c r="D14" i="32"/>
  <c r="A1" i="32"/>
  <c r="F8" i="3"/>
  <c r="G25" i="6" l="1"/>
  <c r="G27" i="6" s="1"/>
  <c r="G14" i="6"/>
  <c r="H25" i="6"/>
  <c r="H14" i="6"/>
  <c r="C31" i="12"/>
  <c r="G31" i="12" s="1"/>
  <c r="G30" i="12"/>
  <c r="C27" i="12"/>
  <c r="G27" i="12" s="1"/>
  <c r="G28" i="12"/>
  <c r="M6" i="11"/>
  <c r="G31" i="7"/>
  <c r="H31" i="7"/>
  <c r="I31" i="7"/>
  <c r="J31" i="7"/>
  <c r="H26" i="6"/>
  <c r="H27" i="6" s="1"/>
  <c r="I17" i="6"/>
  <c r="I20" i="6" s="1"/>
  <c r="H22" i="6"/>
  <c r="H28" i="6" s="1"/>
  <c r="F33" i="7"/>
  <c r="F34" i="7" s="1"/>
  <c r="F25" i="6"/>
  <c r="F27" i="6" s="1"/>
  <c r="F14" i="6"/>
  <c r="H32" i="13"/>
  <c r="Q26" i="32"/>
  <c r="Q50" i="32"/>
  <c r="Q10" i="32"/>
  <c r="L50" i="32"/>
  <c r="G50" i="32"/>
  <c r="C52" i="32"/>
  <c r="D52" i="32"/>
  <c r="I52" i="32"/>
  <c r="E52" i="32"/>
  <c r="J52" i="32"/>
  <c r="P52" i="32"/>
  <c r="K52" i="32"/>
  <c r="F52" i="32"/>
  <c r="M52" i="32"/>
  <c r="S52" i="32"/>
  <c r="O52" i="32"/>
  <c r="L26" i="32"/>
  <c r="L10" i="32"/>
  <c r="G26" i="32"/>
  <c r="G30" i="32" s="1"/>
  <c r="G10" i="32"/>
  <c r="G14" i="32" s="1"/>
  <c r="AA39" i="32"/>
  <c r="AA37" i="32"/>
  <c r="AA25" i="32"/>
  <c r="AA23" i="32"/>
  <c r="P30" i="32"/>
  <c r="P33" i="32" s="1"/>
  <c r="P34" i="32" s="1"/>
  <c r="P40" i="32" s="1"/>
  <c r="N30" i="32"/>
  <c r="M30" i="32"/>
  <c r="W31" i="32"/>
  <c r="Y13" i="32"/>
  <c r="Y15" i="32"/>
  <c r="X15" i="32"/>
  <c r="X13" i="32"/>
  <c r="W10" i="32"/>
  <c r="Y17" i="32"/>
  <c r="Y18" i="32" s="1"/>
  <c r="X17" i="32"/>
  <c r="X18" i="32" s="1"/>
  <c r="AA21" i="32"/>
  <c r="V39" i="32"/>
  <c r="V37" i="32"/>
  <c r="Q39" i="32"/>
  <c r="Q37" i="32"/>
  <c r="L39" i="32"/>
  <c r="L37" i="32"/>
  <c r="V25" i="32"/>
  <c r="V23" i="32"/>
  <c r="C32" i="32"/>
  <c r="I32" i="32"/>
  <c r="E32" i="32"/>
  <c r="H32" i="32"/>
  <c r="D32" i="32"/>
  <c r="J32" i="32"/>
  <c r="F32" i="32"/>
  <c r="O27" i="32"/>
  <c r="J27" i="32"/>
  <c r="F33" i="32"/>
  <c r="F34" i="32" s="1"/>
  <c r="F40" i="32" s="1"/>
  <c r="F48" i="32" s="1"/>
  <c r="E33" i="32"/>
  <c r="E34" i="32" s="1"/>
  <c r="E40" i="32" s="1"/>
  <c r="E48" i="32" s="1"/>
  <c r="D33" i="32"/>
  <c r="D34" i="32" s="1"/>
  <c r="D40" i="32" s="1"/>
  <c r="D48" i="32" s="1"/>
  <c r="C33" i="32"/>
  <c r="C34" i="32" s="1"/>
  <c r="C40" i="32" s="1"/>
  <c r="C48" i="32" s="1"/>
  <c r="Q21" i="32"/>
  <c r="V21" i="32"/>
  <c r="Q23" i="32"/>
  <c r="Q30" i="32" s="1"/>
  <c r="L23" i="32"/>
  <c r="Q25" i="32"/>
  <c r="L25" i="32"/>
  <c r="L21" i="32"/>
  <c r="I27" i="32"/>
  <c r="H33" i="32"/>
  <c r="H34" i="32" s="1"/>
  <c r="H40" i="32" s="1"/>
  <c r="H48" i="32" s="1"/>
  <c r="H27" i="32"/>
  <c r="N27" i="32"/>
  <c r="N33" i="32"/>
  <c r="N34" i="32" s="1"/>
  <c r="N40" i="32" s="1"/>
  <c r="N48" i="32" s="1"/>
  <c r="M27" i="32"/>
  <c r="M33" i="32"/>
  <c r="M34" i="32" s="1"/>
  <c r="M40" i="32" s="1"/>
  <c r="M48" i="32" s="1"/>
  <c r="Q5" i="32"/>
  <c r="F16" i="32"/>
  <c r="Q7" i="32"/>
  <c r="L5" i="32"/>
  <c r="C16" i="32"/>
  <c r="D16" i="32"/>
  <c r="V5" i="32"/>
  <c r="L7" i="32"/>
  <c r="Q9" i="32"/>
  <c r="L9" i="32"/>
  <c r="E16" i="32"/>
  <c r="V7" i="32"/>
  <c r="V9" i="32"/>
  <c r="T14" i="32"/>
  <c r="T17" i="32" s="1"/>
  <c r="T18" i="32" s="1"/>
  <c r="T16" i="32"/>
  <c r="E17" i="32"/>
  <c r="E18" i="32" s="1"/>
  <c r="C17" i="32"/>
  <c r="C18" i="32" s="1"/>
  <c r="F17" i="32"/>
  <c r="F18" i="32" s="1"/>
  <c r="G43" i="32"/>
  <c r="G15" i="32"/>
  <c r="L43" i="32"/>
  <c r="G31" i="32"/>
  <c r="L15" i="32"/>
  <c r="Q43" i="32"/>
  <c r="Q31" i="32"/>
  <c r="Q15" i="32"/>
  <c r="L31" i="32"/>
  <c r="I33" i="32"/>
  <c r="I34" i="32" s="1"/>
  <c r="I40" i="32" s="1"/>
  <c r="I48" i="32" s="1"/>
  <c r="D17" i="32"/>
  <c r="D18" i="32" s="1"/>
  <c r="J33" i="32"/>
  <c r="J34" i="32" s="1"/>
  <c r="J40" i="32" s="1"/>
  <c r="J48" i="32" s="1"/>
  <c r="D17" i="13"/>
  <c r="D38" i="13" s="1"/>
  <c r="C17" i="13"/>
  <c r="C38" i="13" s="1"/>
  <c r="E53" i="13"/>
  <c r="F53" i="13" s="1"/>
  <c r="F11" i="8" s="1"/>
  <c r="D33" i="13"/>
  <c r="E33" i="13"/>
  <c r="G33" i="13" s="1"/>
  <c r="H33" i="13" s="1"/>
  <c r="I33" i="13" s="1"/>
  <c r="J33" i="13" s="1"/>
  <c r="E55" i="13"/>
  <c r="D55" i="13"/>
  <c r="C55" i="13"/>
  <c r="E54" i="13"/>
  <c r="D54" i="13"/>
  <c r="C54" i="13"/>
  <c r="C53" i="13"/>
  <c r="E48" i="13"/>
  <c r="D48" i="13"/>
  <c r="C48" i="13"/>
  <c r="E49" i="13"/>
  <c r="D49" i="13"/>
  <c r="C49" i="13"/>
  <c r="E46" i="13"/>
  <c r="F46" i="13" s="1"/>
  <c r="D46" i="13"/>
  <c r="C46" i="13"/>
  <c r="E45" i="13"/>
  <c r="D45" i="13"/>
  <c r="C45" i="13"/>
  <c r="E44" i="13"/>
  <c r="D44" i="13"/>
  <c r="C44" i="13"/>
  <c r="E17" i="13"/>
  <c r="E38" i="13" s="1"/>
  <c r="F13" i="13"/>
  <c r="F7" i="7" s="1"/>
  <c r="E19" i="13"/>
  <c r="E40" i="13" s="1"/>
  <c r="D19" i="13"/>
  <c r="D40" i="13" s="1"/>
  <c r="C19" i="13"/>
  <c r="C40" i="13" s="1"/>
  <c r="E18" i="13"/>
  <c r="E39" i="13" s="1"/>
  <c r="D18" i="13"/>
  <c r="D39" i="13" s="1"/>
  <c r="C18" i="13"/>
  <c r="C39" i="13" s="1"/>
  <c r="F4" i="10"/>
  <c r="F3" i="10"/>
  <c r="F6" i="3"/>
  <c r="B38" i="13"/>
  <c r="D2" i="8"/>
  <c r="E2" i="8" s="1"/>
  <c r="E15" i="8" s="1"/>
  <c r="D2" i="7"/>
  <c r="E2" i="7" s="1"/>
  <c r="F2" i="7" s="1"/>
  <c r="G2" i="7" s="1"/>
  <c r="H2" i="7" s="1"/>
  <c r="I2" i="7" s="1"/>
  <c r="J2" i="7" s="1"/>
  <c r="D11" i="6"/>
  <c r="D16" i="6" s="1"/>
  <c r="D24" i="6" s="1"/>
  <c r="C21" i="13"/>
  <c r="C30" i="13" s="1"/>
  <c r="C36" i="13" s="1"/>
  <c r="C42" i="13" s="1"/>
  <c r="C51" i="13" s="1"/>
  <c r="D2" i="13"/>
  <c r="E2" i="13" s="1"/>
  <c r="G8" i="7"/>
  <c r="H8" i="7"/>
  <c r="I8" i="7"/>
  <c r="J8" i="7"/>
  <c r="G9" i="7"/>
  <c r="H9" i="7"/>
  <c r="I9" i="7"/>
  <c r="J9" i="7"/>
  <c r="A1" i="10"/>
  <c r="C20" i="8"/>
  <c r="D20" i="8"/>
  <c r="E20" i="8"/>
  <c r="D26" i="8"/>
  <c r="C26" i="8"/>
  <c r="E26" i="8"/>
  <c r="E33" i="8"/>
  <c r="C33" i="8"/>
  <c r="D33" i="8"/>
  <c r="C37" i="8"/>
  <c r="C40" i="8" s="1"/>
  <c r="D37" i="8"/>
  <c r="D40" i="8" s="1"/>
  <c r="E37" i="8"/>
  <c r="C10" i="5"/>
  <c r="C18" i="5" s="1"/>
  <c r="D2" i="5"/>
  <c r="E2" i="5" s="1"/>
  <c r="F3" i="5"/>
  <c r="C11" i="6"/>
  <c r="C30" i="6" s="1"/>
  <c r="F24" i="13"/>
  <c r="F23" i="13"/>
  <c r="F4" i="6" s="1"/>
  <c r="F25" i="13"/>
  <c r="F6" i="6" s="1"/>
  <c r="F48" i="13"/>
  <c r="G48" i="13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D15" i="8"/>
  <c r="C15" i="8"/>
  <c r="F9" i="7"/>
  <c r="J15" i="7"/>
  <c r="I15" i="7"/>
  <c r="H15" i="7"/>
  <c r="G15" i="7"/>
  <c r="F15" i="7"/>
  <c r="E15" i="7"/>
  <c r="D15" i="7"/>
  <c r="C15" i="7"/>
  <c r="A1" i="3"/>
  <c r="A1" i="13"/>
  <c r="A1" i="5"/>
  <c r="A1" i="6"/>
  <c r="A1" i="7"/>
  <c r="A1" i="8"/>
  <c r="A1" i="9"/>
  <c r="A1" i="11"/>
  <c r="A1" i="12"/>
  <c r="C19" i="7"/>
  <c r="C31" i="7" s="1"/>
  <c r="C16" i="13" s="1"/>
  <c r="F8" i="6"/>
  <c r="F11" i="5"/>
  <c r="B20" i="5"/>
  <c r="F9" i="6"/>
  <c r="G9" i="6"/>
  <c r="H9" i="6"/>
  <c r="I9" i="6"/>
  <c r="J9" i="6"/>
  <c r="J8" i="6"/>
  <c r="I8" i="6"/>
  <c r="H8" i="6"/>
  <c r="G8" i="6"/>
  <c r="E2" i="12"/>
  <c r="F8" i="7"/>
  <c r="F2" i="12" l="1"/>
  <c r="G33" i="7"/>
  <c r="G34" i="7" s="1"/>
  <c r="H33" i="7"/>
  <c r="H34" i="7" s="1"/>
  <c r="I33" i="7"/>
  <c r="I34" i="7" s="1"/>
  <c r="J33" i="7"/>
  <c r="J34" i="7" s="1"/>
  <c r="J17" i="6"/>
  <c r="J20" i="6" s="1"/>
  <c r="I22" i="6"/>
  <c r="I28" i="6" s="1"/>
  <c r="I26" i="6"/>
  <c r="I27" i="6" s="1"/>
  <c r="F40" i="7"/>
  <c r="F41" i="7"/>
  <c r="F14" i="5"/>
  <c r="F17" i="5" s="1"/>
  <c r="I32" i="13"/>
  <c r="J32" i="13"/>
  <c r="G24" i="13"/>
  <c r="E11" i="11"/>
  <c r="G52" i="32"/>
  <c r="L52" i="32"/>
  <c r="Q52" i="32"/>
  <c r="F53" i="32"/>
  <c r="F51" i="32"/>
  <c r="F54" i="32"/>
  <c r="F55" i="32" s="1"/>
  <c r="E53" i="32"/>
  <c r="E51" i="32"/>
  <c r="E54" i="32"/>
  <c r="E55" i="32" s="1"/>
  <c r="D53" i="32"/>
  <c r="D51" i="32"/>
  <c r="D54" i="32"/>
  <c r="D55" i="32" s="1"/>
  <c r="C53" i="32"/>
  <c r="C51" i="32"/>
  <c r="C54" i="32"/>
  <c r="C55" i="32" s="1"/>
  <c r="H53" i="32"/>
  <c r="H51" i="32"/>
  <c r="H49" i="32"/>
  <c r="H54" i="32"/>
  <c r="H55" i="32" s="1"/>
  <c r="N51" i="32"/>
  <c r="N53" i="32"/>
  <c r="N49" i="32"/>
  <c r="N54" i="32"/>
  <c r="N55" i="32" s="1"/>
  <c r="M51" i="32"/>
  <c r="M53" i="32"/>
  <c r="M49" i="32"/>
  <c r="M54" i="32"/>
  <c r="M55" i="32" s="1"/>
  <c r="I53" i="32"/>
  <c r="I51" i="32"/>
  <c r="I54" i="32"/>
  <c r="I55" i="32" s="1"/>
  <c r="I49" i="32"/>
  <c r="J51" i="32"/>
  <c r="J53" i="32"/>
  <c r="J54" i="32"/>
  <c r="J55" i="32" s="1"/>
  <c r="J49" i="32"/>
  <c r="U40" i="32"/>
  <c r="P48" i="32"/>
  <c r="W13" i="32"/>
  <c r="W15" i="32"/>
  <c r="F44" i="32"/>
  <c r="F45" i="32"/>
  <c r="F46" i="32" s="1"/>
  <c r="E44" i="32"/>
  <c r="E45" i="32"/>
  <c r="E46" i="32" s="1"/>
  <c r="D44" i="32"/>
  <c r="D45" i="32"/>
  <c r="D46" i="32" s="1"/>
  <c r="C44" i="32"/>
  <c r="C45" i="32"/>
  <c r="C46" i="32" s="1"/>
  <c r="J44" i="32"/>
  <c r="P45" i="32"/>
  <c r="P46" i="32" s="1"/>
  <c r="P44" i="32"/>
  <c r="N44" i="32"/>
  <c r="I44" i="32"/>
  <c r="M44" i="32"/>
  <c r="H44" i="32"/>
  <c r="J41" i="32"/>
  <c r="J45" i="32"/>
  <c r="J46" i="32" s="1"/>
  <c r="K32" i="32"/>
  <c r="K30" i="32"/>
  <c r="K33" i="32" s="1"/>
  <c r="K34" i="32" s="1"/>
  <c r="K40" i="32" s="1"/>
  <c r="K48" i="32" s="1"/>
  <c r="N41" i="32"/>
  <c r="N45" i="32"/>
  <c r="N46" i="32" s="1"/>
  <c r="Q32" i="32"/>
  <c r="K27" i="32"/>
  <c r="P27" i="32"/>
  <c r="I41" i="32"/>
  <c r="I45" i="32"/>
  <c r="I46" i="32" s="1"/>
  <c r="M45" i="32"/>
  <c r="M46" i="32" s="1"/>
  <c r="M41" i="32"/>
  <c r="H45" i="32"/>
  <c r="H46" i="32" s="1"/>
  <c r="H41" i="32"/>
  <c r="O32" i="32"/>
  <c r="O30" i="32"/>
  <c r="O33" i="32" s="1"/>
  <c r="O34" i="32" s="1"/>
  <c r="O40" i="32" s="1"/>
  <c r="O48" i="32" s="1"/>
  <c r="T27" i="32"/>
  <c r="T30" i="32"/>
  <c r="T32" i="32"/>
  <c r="S27" i="32"/>
  <c r="S30" i="32"/>
  <c r="S33" i="32" s="1"/>
  <c r="S34" i="32" s="1"/>
  <c r="S40" i="32" s="1"/>
  <c r="S48" i="32" s="1"/>
  <c r="S32" i="32"/>
  <c r="R27" i="32"/>
  <c r="U27" i="32" s="1"/>
  <c r="U26" i="32" s="1"/>
  <c r="U31" i="32" s="1"/>
  <c r="V31" i="32" s="1"/>
  <c r="R30" i="32"/>
  <c r="R32" i="32"/>
  <c r="G33" i="32"/>
  <c r="G34" i="32" s="1"/>
  <c r="G40" i="32" s="1"/>
  <c r="G48" i="32" s="1"/>
  <c r="G32" i="32"/>
  <c r="S16" i="32"/>
  <c r="S14" i="32"/>
  <c r="S17" i="32" s="1"/>
  <c r="S18" i="32" s="1"/>
  <c r="R14" i="32"/>
  <c r="R17" i="32" s="1"/>
  <c r="R18" i="32" s="1"/>
  <c r="R16" i="32"/>
  <c r="H16" i="32"/>
  <c r="H14" i="32"/>
  <c r="H17" i="32" s="1"/>
  <c r="H18" i="32" s="1"/>
  <c r="Q16" i="32"/>
  <c r="Q14" i="32"/>
  <c r="Q17" i="32" s="1"/>
  <c r="Q18" i="32" s="1"/>
  <c r="T11" i="32"/>
  <c r="O11" i="32"/>
  <c r="O16" i="32"/>
  <c r="O14" i="32"/>
  <c r="O17" i="32" s="1"/>
  <c r="O18" i="32" s="1"/>
  <c r="S11" i="32"/>
  <c r="N11" i="32"/>
  <c r="N14" i="32"/>
  <c r="N17" i="32" s="1"/>
  <c r="N18" i="32" s="1"/>
  <c r="N16" i="32"/>
  <c r="R11" i="32"/>
  <c r="M16" i="32"/>
  <c r="M14" i="32"/>
  <c r="M17" i="32" s="1"/>
  <c r="M18" i="32" s="1"/>
  <c r="K11" i="32"/>
  <c r="K14" i="32"/>
  <c r="K17" i="32" s="1"/>
  <c r="K18" i="32" s="1"/>
  <c r="K16" i="32"/>
  <c r="P11" i="32"/>
  <c r="P14" i="32"/>
  <c r="P17" i="32" s="1"/>
  <c r="P18" i="32" s="1"/>
  <c r="P16" i="32"/>
  <c r="J11" i="32"/>
  <c r="J16" i="32"/>
  <c r="J14" i="32"/>
  <c r="J17" i="32" s="1"/>
  <c r="J18" i="32" s="1"/>
  <c r="I11" i="32"/>
  <c r="I16" i="32"/>
  <c r="I14" i="32"/>
  <c r="I17" i="32" s="1"/>
  <c r="I18" i="32" s="1"/>
  <c r="G16" i="32"/>
  <c r="Q33" i="32"/>
  <c r="Q34" i="32" s="1"/>
  <c r="Q40" i="32" s="1"/>
  <c r="Q48" i="32" s="1"/>
  <c r="M11" i="32"/>
  <c r="H11" i="32"/>
  <c r="G17" i="32"/>
  <c r="G18" i="32" s="1"/>
  <c r="C23" i="7"/>
  <c r="C34" i="7"/>
  <c r="F11" i="7"/>
  <c r="F35" i="7" s="1"/>
  <c r="D53" i="13"/>
  <c r="D19" i="7"/>
  <c r="D23" i="7" s="1"/>
  <c r="E10" i="11"/>
  <c r="E9" i="11" s="1"/>
  <c r="F9" i="3"/>
  <c r="D21" i="13"/>
  <c r="D30" i="13" s="1"/>
  <c r="D36" i="13" s="1"/>
  <c r="D42" i="13" s="1"/>
  <c r="D51" i="13" s="1"/>
  <c r="F2" i="13"/>
  <c r="E21" i="13"/>
  <c r="E30" i="13" s="1"/>
  <c r="E36" i="13" s="1"/>
  <c r="E42" i="13" s="1"/>
  <c r="E51" i="13" s="1"/>
  <c r="F2" i="8"/>
  <c r="F11" i="6"/>
  <c r="F30" i="6" s="1"/>
  <c r="E11" i="6"/>
  <c r="E16" i="6" s="1"/>
  <c r="E24" i="6" s="1"/>
  <c r="E30" i="6"/>
  <c r="F5" i="6"/>
  <c r="F9" i="8"/>
  <c r="G25" i="13"/>
  <c r="G6" i="6" s="1"/>
  <c r="G53" i="13"/>
  <c r="G13" i="13"/>
  <c r="G23" i="13"/>
  <c r="G4" i="6" s="1"/>
  <c r="D10" i="5"/>
  <c r="D18" i="5" s="1"/>
  <c r="E10" i="5"/>
  <c r="E18" i="5" s="1"/>
  <c r="F2" i="5"/>
  <c r="D30" i="6"/>
  <c r="D28" i="8"/>
  <c r="D42" i="8" s="1"/>
  <c r="C16" i="6"/>
  <c r="C24" i="6" s="1"/>
  <c r="E40" i="8"/>
  <c r="E28" i="8"/>
  <c r="C28" i="8"/>
  <c r="C42" i="8" s="1"/>
  <c r="G9" i="8"/>
  <c r="H48" i="13"/>
  <c r="H9" i="8" s="1"/>
  <c r="F4" i="5"/>
  <c r="F6" i="8"/>
  <c r="G46" i="13"/>
  <c r="F44" i="13"/>
  <c r="F54" i="13"/>
  <c r="F45" i="13"/>
  <c r="E19" i="7"/>
  <c r="E23" i="7" s="1"/>
  <c r="F49" i="13"/>
  <c r="F55" i="13"/>
  <c r="F39" i="8" l="1"/>
  <c r="G13" i="5"/>
  <c r="G2" i="12"/>
  <c r="G14" i="5"/>
  <c r="G17" i="5" s="1"/>
  <c r="G41" i="7"/>
  <c r="G40" i="7"/>
  <c r="H41" i="7"/>
  <c r="H40" i="7"/>
  <c r="H14" i="5"/>
  <c r="I14" i="5"/>
  <c r="I41" i="7"/>
  <c r="I40" i="7"/>
  <c r="J14" i="5"/>
  <c r="J41" i="7"/>
  <c r="J40" i="7"/>
  <c r="J26" i="6"/>
  <c r="J27" i="6" s="1"/>
  <c r="J22" i="6"/>
  <c r="J28" i="6" s="1"/>
  <c r="G4" i="5"/>
  <c r="H4" i="5" s="1"/>
  <c r="I4" i="5" s="1"/>
  <c r="J4" i="5" s="1"/>
  <c r="F8" i="5"/>
  <c r="G5" i="6"/>
  <c r="H24" i="13"/>
  <c r="C40" i="7"/>
  <c r="C41" i="7"/>
  <c r="Z40" i="32"/>
  <c r="P51" i="32"/>
  <c r="P53" i="32"/>
  <c r="P54" i="32"/>
  <c r="P55" i="32" s="1"/>
  <c r="P49" i="32"/>
  <c r="U11" i="32"/>
  <c r="U10" i="32" s="1"/>
  <c r="K53" i="32"/>
  <c r="K51" i="32"/>
  <c r="K49" i="32"/>
  <c r="K54" i="32"/>
  <c r="K55" i="32" s="1"/>
  <c r="O51" i="32"/>
  <c r="O53" i="32"/>
  <c r="O49" i="32"/>
  <c r="O54" i="32"/>
  <c r="O55" i="32" s="1"/>
  <c r="S51" i="32"/>
  <c r="S53" i="32"/>
  <c r="S49" i="32"/>
  <c r="S54" i="32"/>
  <c r="S55" i="32" s="1"/>
  <c r="G53" i="32"/>
  <c r="G51" i="32"/>
  <c r="G54" i="32"/>
  <c r="G55" i="32" s="1"/>
  <c r="Q53" i="32"/>
  <c r="Q51" i="32"/>
  <c r="Q54" i="32"/>
  <c r="Q55" i="32" s="1"/>
  <c r="W17" i="32"/>
  <c r="W18" i="32" s="1"/>
  <c r="P41" i="32"/>
  <c r="K44" i="32"/>
  <c r="K45" i="32"/>
  <c r="K46" i="32" s="1"/>
  <c r="K41" i="32"/>
  <c r="O44" i="32"/>
  <c r="O45" i="32"/>
  <c r="O46" i="32" s="1"/>
  <c r="O41" i="32"/>
  <c r="T33" i="32"/>
  <c r="T34" i="32" s="1"/>
  <c r="T40" i="32" s="1"/>
  <c r="R33" i="32"/>
  <c r="R34" i="32" s="1"/>
  <c r="R40" i="32" s="1"/>
  <c r="U30" i="32"/>
  <c r="G44" i="32"/>
  <c r="G45" i="32"/>
  <c r="G46" i="32" s="1"/>
  <c r="Q44" i="32"/>
  <c r="Q45" i="32"/>
  <c r="Q46" i="32" s="1"/>
  <c r="S45" i="32"/>
  <c r="S46" i="32" s="1"/>
  <c r="S41" i="32"/>
  <c r="S44" i="32"/>
  <c r="X40" i="32"/>
  <c r="X48" i="32" s="1"/>
  <c r="V26" i="32"/>
  <c r="Z26" i="32"/>
  <c r="V32" i="32"/>
  <c r="L32" i="32"/>
  <c r="L27" i="32"/>
  <c r="Q27" i="32"/>
  <c r="L30" i="32"/>
  <c r="L33" i="32" s="1"/>
  <c r="L34" i="32" s="1"/>
  <c r="L40" i="32" s="1"/>
  <c r="L48" i="32" s="1"/>
  <c r="V27" i="32"/>
  <c r="Q11" i="32"/>
  <c r="L11" i="32"/>
  <c r="L16" i="32"/>
  <c r="L14" i="32"/>
  <c r="L17" i="32" s="1"/>
  <c r="L18" i="32" s="1"/>
  <c r="F38" i="13"/>
  <c r="D31" i="7"/>
  <c r="G2" i="13"/>
  <c r="F21" i="13"/>
  <c r="F30" i="13" s="1"/>
  <c r="F36" i="13" s="1"/>
  <c r="F42" i="13" s="1"/>
  <c r="F51" i="13" s="1"/>
  <c r="F15" i="8"/>
  <c r="G2" i="8"/>
  <c r="G11" i="6"/>
  <c r="F16" i="6"/>
  <c r="F24" i="6" s="1"/>
  <c r="E42" i="8"/>
  <c r="H25" i="13"/>
  <c r="I25" i="13" s="1"/>
  <c r="I48" i="13"/>
  <c r="H23" i="13"/>
  <c r="H13" i="13"/>
  <c r="G7" i="7"/>
  <c r="G11" i="8"/>
  <c r="H53" i="13"/>
  <c r="G2" i="5"/>
  <c r="F10" i="5"/>
  <c r="F18" i="5" s="1"/>
  <c r="G3" i="5"/>
  <c r="G7" i="5" s="1"/>
  <c r="H4" i="6"/>
  <c r="I23" i="13"/>
  <c r="J48" i="13"/>
  <c r="I9" i="8"/>
  <c r="F5" i="8"/>
  <c r="G45" i="13"/>
  <c r="G44" i="13"/>
  <c r="H44" i="13" s="1"/>
  <c r="I44" i="13" s="1"/>
  <c r="J44" i="13" s="1"/>
  <c r="F4" i="8"/>
  <c r="F13" i="8"/>
  <c r="G55" i="13"/>
  <c r="G49" i="13"/>
  <c r="F8" i="8"/>
  <c r="E31" i="7"/>
  <c r="F12" i="8"/>
  <c r="G54" i="13"/>
  <c r="G6" i="8"/>
  <c r="H46" i="13"/>
  <c r="H2" i="12" l="1"/>
  <c r="H13" i="5"/>
  <c r="G39" i="8"/>
  <c r="H17" i="5"/>
  <c r="F9" i="5"/>
  <c r="F21" i="7"/>
  <c r="H5" i="6"/>
  <c r="I24" i="13"/>
  <c r="G11" i="7"/>
  <c r="G38" i="13"/>
  <c r="U48" i="32"/>
  <c r="V10" i="32"/>
  <c r="V11" i="32" s="1"/>
  <c r="U13" i="32"/>
  <c r="Z10" i="32"/>
  <c r="U15" i="32"/>
  <c r="V15" i="32" s="1"/>
  <c r="T48" i="32"/>
  <c r="T41" i="32"/>
  <c r="T44" i="32"/>
  <c r="T45" i="32"/>
  <c r="T46" i="32" s="1"/>
  <c r="Y40" i="32"/>
  <c r="Y48" i="32" s="1"/>
  <c r="R41" i="32"/>
  <c r="R44" i="32"/>
  <c r="U44" i="32" s="1"/>
  <c r="U43" i="32" s="1"/>
  <c r="U45" i="32" s="1"/>
  <c r="U46" i="32" s="1"/>
  <c r="R45" i="32"/>
  <c r="R46" i="32" s="1"/>
  <c r="W40" i="32"/>
  <c r="U49" i="32"/>
  <c r="Z48" i="32"/>
  <c r="T53" i="32"/>
  <c r="T51" i="32"/>
  <c r="T49" i="32"/>
  <c r="T54" i="32"/>
  <c r="T55" i="32" s="1"/>
  <c r="V40" i="32"/>
  <c r="R48" i="32"/>
  <c r="Y49" i="32"/>
  <c r="X49" i="32"/>
  <c r="W49" i="32"/>
  <c r="Q49" i="32"/>
  <c r="L53" i="32"/>
  <c r="L51" i="32"/>
  <c r="L49" i="32"/>
  <c r="L54" i="32"/>
  <c r="L55" i="32" s="1"/>
  <c r="U29" i="32"/>
  <c r="AA10" i="32"/>
  <c r="Z13" i="32"/>
  <c r="Z15" i="32"/>
  <c r="AA15" i="32" s="1"/>
  <c r="AA16" i="32" s="1"/>
  <c r="Z31" i="32"/>
  <c r="AA31" i="32" s="1"/>
  <c r="AA26" i="32"/>
  <c r="AB26" i="32" s="1"/>
  <c r="Q41" i="32"/>
  <c r="L44" i="32"/>
  <c r="L45" i="32"/>
  <c r="L46" i="32" s="1"/>
  <c r="L41" i="32"/>
  <c r="D34" i="7"/>
  <c r="D16" i="13"/>
  <c r="E34" i="7"/>
  <c r="E16" i="13"/>
  <c r="F16" i="13" s="1"/>
  <c r="H2" i="13"/>
  <c r="G21" i="13"/>
  <c r="G30" i="13" s="1"/>
  <c r="G36" i="13" s="1"/>
  <c r="G42" i="13" s="1"/>
  <c r="G51" i="13" s="1"/>
  <c r="G15" i="8"/>
  <c r="H2" i="8"/>
  <c r="H11" i="6"/>
  <c r="H6" i="6"/>
  <c r="H11" i="8"/>
  <c r="I53" i="13"/>
  <c r="G5" i="7"/>
  <c r="I13" i="13"/>
  <c r="H7" i="7"/>
  <c r="G6" i="7"/>
  <c r="H2" i="5"/>
  <c r="I4" i="6"/>
  <c r="J23" i="13"/>
  <c r="H3" i="5"/>
  <c r="H7" i="5" s="1"/>
  <c r="J9" i="8"/>
  <c r="J25" i="13"/>
  <c r="I6" i="6"/>
  <c r="H54" i="13"/>
  <c r="G12" i="8"/>
  <c r="F5" i="7"/>
  <c r="H49" i="13"/>
  <c r="G8" i="8"/>
  <c r="H55" i="13"/>
  <c r="G13" i="8"/>
  <c r="F37" i="8"/>
  <c r="I46" i="13"/>
  <c r="H6" i="8"/>
  <c r="F6" i="7"/>
  <c r="G4" i="8"/>
  <c r="H45" i="13"/>
  <c r="G5" i="8"/>
  <c r="F22" i="8" l="1"/>
  <c r="F26" i="8" s="1"/>
  <c r="G6" i="5"/>
  <c r="F23" i="7"/>
  <c r="F4" i="9"/>
  <c r="F8" i="10" s="1"/>
  <c r="I13" i="5"/>
  <c r="I17" i="5" s="1"/>
  <c r="H39" i="8"/>
  <c r="J24" i="13"/>
  <c r="J5" i="6" s="1"/>
  <c r="I5" i="6"/>
  <c r="H38" i="13"/>
  <c r="H11" i="7"/>
  <c r="D40" i="7"/>
  <c r="D41" i="7"/>
  <c r="E40" i="7"/>
  <c r="E41" i="7"/>
  <c r="V16" i="32"/>
  <c r="U50" i="32"/>
  <c r="V13" i="32"/>
  <c r="V14" i="32" s="1"/>
  <c r="V17" i="32" s="1"/>
  <c r="V18" i="32" s="1"/>
  <c r="U17" i="32"/>
  <c r="U18" i="32" s="1"/>
  <c r="W48" i="32"/>
  <c r="AA40" i="32"/>
  <c r="V48" i="32"/>
  <c r="V41" i="32"/>
  <c r="Z49" i="32"/>
  <c r="V49" i="32"/>
  <c r="F6" i="13" s="1"/>
  <c r="R53" i="32"/>
  <c r="R51" i="32"/>
  <c r="R49" i="32"/>
  <c r="R54" i="32"/>
  <c r="R55" i="32" s="1"/>
  <c r="U51" i="32"/>
  <c r="V43" i="32"/>
  <c r="U52" i="32"/>
  <c r="AB40" i="32"/>
  <c r="AA48" i="32"/>
  <c r="U33" i="32"/>
  <c r="U34" i="32" s="1"/>
  <c r="V29" i="32"/>
  <c r="V50" i="32" s="1"/>
  <c r="AA11" i="32"/>
  <c r="AB10" i="32"/>
  <c r="Z17" i="32"/>
  <c r="Z18" i="32" s="1"/>
  <c r="AA13" i="32"/>
  <c r="AB31" i="32"/>
  <c r="AC26" i="32"/>
  <c r="AA32" i="32"/>
  <c r="AA27" i="32"/>
  <c r="AA41" i="32"/>
  <c r="G16" i="13"/>
  <c r="F5" i="10"/>
  <c r="E4" i="11"/>
  <c r="L4" i="11" s="1"/>
  <c r="I2" i="13"/>
  <c r="H21" i="13"/>
  <c r="H30" i="13" s="1"/>
  <c r="H36" i="13" s="1"/>
  <c r="H42" i="13" s="1"/>
  <c r="H51" i="13" s="1"/>
  <c r="I2" i="8"/>
  <c r="H15" i="8"/>
  <c r="J11" i="6"/>
  <c r="I11" i="6"/>
  <c r="H6" i="7"/>
  <c r="J13" i="13"/>
  <c r="I7" i="7"/>
  <c r="H5" i="7"/>
  <c r="J53" i="13"/>
  <c r="I11" i="8"/>
  <c r="I2" i="5"/>
  <c r="I3" i="5"/>
  <c r="I7" i="5" s="1"/>
  <c r="J4" i="6"/>
  <c r="J6" i="6"/>
  <c r="F18" i="13"/>
  <c r="J46" i="13"/>
  <c r="I6" i="8"/>
  <c r="H13" i="8"/>
  <c r="I55" i="13"/>
  <c r="I49" i="13"/>
  <c r="H8" i="8"/>
  <c r="I45" i="13"/>
  <c r="H5" i="8"/>
  <c r="H4" i="8"/>
  <c r="I54" i="13"/>
  <c r="H12" i="8"/>
  <c r="G8" i="5" l="1"/>
  <c r="I39" i="8"/>
  <c r="J13" i="5"/>
  <c r="J17" i="5" s="1"/>
  <c r="J39" i="8" s="1"/>
  <c r="I38" i="13"/>
  <c r="I11" i="7"/>
  <c r="F7" i="13"/>
  <c r="F8" i="13"/>
  <c r="V52" i="32"/>
  <c r="V53" i="32" s="1"/>
  <c r="V45" i="32"/>
  <c r="V46" i="32" s="1"/>
  <c r="V44" i="32"/>
  <c r="W44" i="32" s="1"/>
  <c r="X44" i="32" s="1"/>
  <c r="AB48" i="32"/>
  <c r="AC40" i="32"/>
  <c r="AA49" i="32"/>
  <c r="G6" i="13" s="1"/>
  <c r="U53" i="32"/>
  <c r="U54" i="32"/>
  <c r="U55" i="32" s="1"/>
  <c r="V54" i="32"/>
  <c r="V55" i="32" s="1"/>
  <c r="V51" i="32"/>
  <c r="V30" i="32"/>
  <c r="V33" i="32" s="1"/>
  <c r="V34" i="32" s="1"/>
  <c r="AB15" i="32"/>
  <c r="AB13" i="32"/>
  <c r="AB17" i="32" s="1"/>
  <c r="AB18" i="32" s="1"/>
  <c r="AC10" i="32"/>
  <c r="AD26" i="32"/>
  <c r="AD31" i="32" s="1"/>
  <c r="AC31" i="32"/>
  <c r="W43" i="32"/>
  <c r="W52" i="32" s="1"/>
  <c r="W53" i="32" s="1"/>
  <c r="AA14" i="32"/>
  <c r="AA17" i="32"/>
  <c r="AA18" i="32" s="1"/>
  <c r="G10" i="7"/>
  <c r="H16" i="13"/>
  <c r="J2" i="13"/>
  <c r="J21" i="13" s="1"/>
  <c r="J30" i="13" s="1"/>
  <c r="J36" i="13" s="1"/>
  <c r="J42" i="13" s="1"/>
  <c r="J51" i="13" s="1"/>
  <c r="I21" i="13"/>
  <c r="I30" i="13" s="1"/>
  <c r="I36" i="13" s="1"/>
  <c r="I42" i="13" s="1"/>
  <c r="I51" i="13" s="1"/>
  <c r="G18" i="13"/>
  <c r="G39" i="13" s="1"/>
  <c r="F39" i="13"/>
  <c r="I15" i="8"/>
  <c r="J2" i="8"/>
  <c r="J15" i="8" s="1"/>
  <c r="J11" i="8"/>
  <c r="I5" i="7"/>
  <c r="J7" i="7"/>
  <c r="I6" i="7"/>
  <c r="J2" i="5"/>
  <c r="J3" i="5"/>
  <c r="J7" i="5" s="1"/>
  <c r="I4" i="8"/>
  <c r="F19" i="13"/>
  <c r="I5" i="8"/>
  <c r="J45" i="13"/>
  <c r="J49" i="13"/>
  <c r="I8" i="8"/>
  <c r="I13" i="8"/>
  <c r="J55" i="13"/>
  <c r="J6" i="8"/>
  <c r="J54" i="13"/>
  <c r="I12" i="8"/>
  <c r="F10" i="7"/>
  <c r="E12" i="11"/>
  <c r="F12" i="7"/>
  <c r="G21" i="7" l="1"/>
  <c r="G9" i="5"/>
  <c r="J38" i="13"/>
  <c r="J11" i="7"/>
  <c r="G10" i="13"/>
  <c r="G4" i="7" s="1"/>
  <c r="G7" i="13"/>
  <c r="G8" i="13"/>
  <c r="AB49" i="32"/>
  <c r="H6" i="13" s="1"/>
  <c r="AC48" i="32"/>
  <c r="AD40" i="32"/>
  <c r="W30" i="32"/>
  <c r="X30" i="32" s="1"/>
  <c r="AC13" i="32"/>
  <c r="AC15" i="32"/>
  <c r="AD10" i="32"/>
  <c r="W45" i="32"/>
  <c r="W46" i="32" s="1"/>
  <c r="X43" i="32"/>
  <c r="Y44" i="32"/>
  <c r="Z44" i="32" s="1"/>
  <c r="H10" i="7"/>
  <c r="I16" i="13"/>
  <c r="G12" i="7"/>
  <c r="G19" i="13"/>
  <c r="F40" i="13"/>
  <c r="H18" i="13"/>
  <c r="H39" i="13" s="1"/>
  <c r="J6" i="7"/>
  <c r="J5" i="7"/>
  <c r="J8" i="8"/>
  <c r="M4" i="11"/>
  <c r="J13" i="8"/>
  <c r="J12" i="8"/>
  <c r="F7" i="10"/>
  <c r="F15" i="10" s="1"/>
  <c r="J5" i="8"/>
  <c r="F13" i="7"/>
  <c r="J4" i="8"/>
  <c r="G4" i="9" l="1"/>
  <c r="G8" i="10" s="1"/>
  <c r="G15" i="10" s="1"/>
  <c r="G23" i="7"/>
  <c r="H6" i="5"/>
  <c r="G22" i="8"/>
  <c r="G26" i="8" s="1"/>
  <c r="G40" i="13"/>
  <c r="G13" i="7"/>
  <c r="H10" i="13"/>
  <c r="H4" i="7" s="1"/>
  <c r="H7" i="13"/>
  <c r="H8" i="13"/>
  <c r="AC49" i="32"/>
  <c r="I6" i="13" s="1"/>
  <c r="AD48" i="32"/>
  <c r="AC17" i="32"/>
  <c r="AC18" i="32" s="1"/>
  <c r="X45" i="32"/>
  <c r="X46" i="32" s="1"/>
  <c r="X52" i="32"/>
  <c r="X53" i="32" s="1"/>
  <c r="W29" i="32"/>
  <c r="W50" i="32" s="1"/>
  <c r="AD13" i="32"/>
  <c r="AD15" i="32"/>
  <c r="Z43" i="32"/>
  <c r="Y43" i="32"/>
  <c r="Y52" i="32" s="1"/>
  <c r="Y53" i="32" s="1"/>
  <c r="Y30" i="32"/>
  <c r="Z30" i="32" s="1"/>
  <c r="Z29" i="32" s="1"/>
  <c r="X29" i="32"/>
  <c r="I18" i="13"/>
  <c r="H19" i="13"/>
  <c r="H12" i="7"/>
  <c r="J16" i="13"/>
  <c r="J10" i="7" s="1"/>
  <c r="I10" i="7"/>
  <c r="I19" i="13"/>
  <c r="I40" i="13" s="1"/>
  <c r="F3" i="9"/>
  <c r="F9" i="9" s="1"/>
  <c r="F19" i="9" s="1"/>
  <c r="F22" i="9" s="1"/>
  <c r="F23" i="9" s="1"/>
  <c r="H8" i="5" l="1"/>
  <c r="F17" i="8"/>
  <c r="F30" i="8"/>
  <c r="H40" i="13"/>
  <c r="H13" i="7"/>
  <c r="I39" i="13"/>
  <c r="I12" i="7"/>
  <c r="J18" i="13"/>
  <c r="I10" i="13"/>
  <c r="I4" i="7" s="1"/>
  <c r="I7" i="13"/>
  <c r="I8" i="13"/>
  <c r="AD49" i="32"/>
  <c r="J6" i="13" s="1"/>
  <c r="W54" i="32"/>
  <c r="W55" i="32" s="1"/>
  <c r="W51" i="32"/>
  <c r="Z45" i="32"/>
  <c r="Z46" i="32" s="1"/>
  <c r="Z52" i="32"/>
  <c r="Z53" i="32" s="1"/>
  <c r="Z33" i="32"/>
  <c r="Z34" i="32" s="1"/>
  <c r="Z50" i="32"/>
  <c r="X33" i="32"/>
  <c r="X34" i="32" s="1"/>
  <c r="X50" i="32"/>
  <c r="W33" i="32"/>
  <c r="W34" i="32" s="1"/>
  <c r="AA43" i="32"/>
  <c r="AA52" i="32" s="1"/>
  <c r="AA53" i="32" s="1"/>
  <c r="Y45" i="32"/>
  <c r="Y46" i="32" s="1"/>
  <c r="Y29" i="32"/>
  <c r="AD17" i="32"/>
  <c r="AD18" i="32" s="1"/>
  <c r="J19" i="13"/>
  <c r="J40" i="13" s="1"/>
  <c r="I13" i="7"/>
  <c r="G3" i="9"/>
  <c r="G9" i="9" s="1"/>
  <c r="G19" i="9" s="1"/>
  <c r="G22" i="9" s="1"/>
  <c r="H21" i="7" l="1"/>
  <c r="H9" i="5"/>
  <c r="F31" i="6"/>
  <c r="F33" i="6" s="1"/>
  <c r="G21" i="9"/>
  <c r="G23" i="9" s="1"/>
  <c r="J39" i="13"/>
  <c r="J12" i="7"/>
  <c r="J10" i="13"/>
  <c r="J4" i="7" s="1"/>
  <c r="J7" i="13"/>
  <c r="J8" i="13"/>
  <c r="Z54" i="32"/>
  <c r="Z55" i="32" s="1"/>
  <c r="Z51" i="32"/>
  <c r="X54" i="32"/>
  <c r="X55" i="32" s="1"/>
  <c r="X51" i="32"/>
  <c r="Y33" i="32"/>
  <c r="Y34" i="32" s="1"/>
  <c r="AA29" i="32"/>
  <c r="Y50" i="32"/>
  <c r="AA44" i="32"/>
  <c r="AA45" i="32"/>
  <c r="AA46" i="32" s="1"/>
  <c r="J13" i="7"/>
  <c r="M8" i="11"/>
  <c r="M10" i="11" s="1"/>
  <c r="E8" i="11" s="1"/>
  <c r="E13" i="11" s="1"/>
  <c r="K8" i="12" s="1"/>
  <c r="K11" i="12" s="1"/>
  <c r="K5" i="3" s="1"/>
  <c r="K6" i="3" s="1"/>
  <c r="H3" i="9"/>
  <c r="F20" i="8"/>
  <c r="F28" i="8" s="1"/>
  <c r="F33" i="8"/>
  <c r="H23" i="7" l="1"/>
  <c r="H4" i="9"/>
  <c r="I6" i="5"/>
  <c r="H22" i="8"/>
  <c r="H26" i="8" s="1"/>
  <c r="G30" i="8"/>
  <c r="G33" i="8" s="1"/>
  <c r="G40" i="8" s="1"/>
  <c r="G17" i="8"/>
  <c r="H3" i="12"/>
  <c r="G3" i="12"/>
  <c r="F3" i="12"/>
  <c r="E3" i="12"/>
  <c r="E4" i="12" s="1"/>
  <c r="D3" i="12"/>
  <c r="D4" i="12" s="1"/>
  <c r="AA50" i="32"/>
  <c r="AA30" i="32"/>
  <c r="Y54" i="32"/>
  <c r="Y55" i="32" s="1"/>
  <c r="Y51" i="32"/>
  <c r="AB44" i="32"/>
  <c r="F40" i="8"/>
  <c r="F42" i="8" s="1"/>
  <c r="J3" i="9"/>
  <c r="I3" i="9"/>
  <c r="H9" i="9" l="1"/>
  <c r="H19" i="9" s="1"/>
  <c r="H22" i="9" s="1"/>
  <c r="H8" i="10"/>
  <c r="H15" i="10" s="1"/>
  <c r="F4" i="12" s="1"/>
  <c r="I8" i="5"/>
  <c r="H21" i="9"/>
  <c r="G31" i="6"/>
  <c r="G33" i="6" s="1"/>
  <c r="G20" i="8"/>
  <c r="G28" i="8" s="1"/>
  <c r="G42" i="8" s="1"/>
  <c r="AA54" i="32"/>
  <c r="AA55" i="32" s="1"/>
  <c r="AA51" i="32"/>
  <c r="AA33" i="32"/>
  <c r="AA34" i="32" s="1"/>
  <c r="AB30" i="32"/>
  <c r="AC30" i="32" s="1"/>
  <c r="AC29" i="32" s="1"/>
  <c r="AB43" i="32"/>
  <c r="AC44" i="32"/>
  <c r="H23" i="9" l="1"/>
  <c r="I21" i="7"/>
  <c r="I9" i="5"/>
  <c r="AC50" i="32"/>
  <c r="AC33" i="32"/>
  <c r="AC34" i="32" s="1"/>
  <c r="AD30" i="32"/>
  <c r="AD29" i="32" s="1"/>
  <c r="AB29" i="32"/>
  <c r="AB45" i="32"/>
  <c r="AB52" i="32"/>
  <c r="AB53" i="32" s="1"/>
  <c r="AC43" i="32"/>
  <c r="AD44" i="32"/>
  <c r="AD43" i="32" s="1"/>
  <c r="H30" i="8" l="1"/>
  <c r="H33" i="8" s="1"/>
  <c r="H40" i="8" s="1"/>
  <c r="H17" i="8"/>
  <c r="I23" i="7"/>
  <c r="I4" i="9"/>
  <c r="J6" i="5"/>
  <c r="I22" i="8"/>
  <c r="I26" i="8" s="1"/>
  <c r="AC51" i="32"/>
  <c r="AD50" i="32"/>
  <c r="AD33" i="32"/>
  <c r="AD34" i="32" s="1"/>
  <c r="AB50" i="32"/>
  <c r="AB33" i="32"/>
  <c r="AB34" i="32" s="1"/>
  <c r="AC45" i="32"/>
  <c r="AC52" i="32"/>
  <c r="AD45" i="32"/>
  <c r="AD52" i="32"/>
  <c r="AD53" i="32" s="1"/>
  <c r="H20" i="8" l="1"/>
  <c r="H28" i="8" s="1"/>
  <c r="H42" i="8" s="1"/>
  <c r="H31" i="6"/>
  <c r="H33" i="6" s="1"/>
  <c r="I21" i="9"/>
  <c r="I9" i="9"/>
  <c r="I19" i="9" s="1"/>
  <c r="I22" i="9" s="1"/>
  <c r="I8" i="10"/>
  <c r="I15" i="10" s="1"/>
  <c r="G4" i="12" s="1"/>
  <c r="J8" i="5"/>
  <c r="AC53" i="32"/>
  <c r="AC54" i="32"/>
  <c r="AC55" i="32" s="1"/>
  <c r="AD54" i="32"/>
  <c r="AD55" i="32" s="1"/>
  <c r="AD51" i="32"/>
  <c r="AB54" i="32"/>
  <c r="AB55" i="32" s="1"/>
  <c r="AB51" i="32"/>
  <c r="I23" i="9" l="1"/>
  <c r="J21" i="7"/>
  <c r="J9" i="5"/>
  <c r="J22" i="8" s="1"/>
  <c r="J26" i="8" s="1"/>
  <c r="I17" i="8" l="1"/>
  <c r="I30" i="8"/>
  <c r="I33" i="8" s="1"/>
  <c r="I40" i="8" s="1"/>
  <c r="J23" i="7"/>
  <c r="G8" i="12" s="1"/>
  <c r="J4" i="9"/>
  <c r="F10" i="13"/>
  <c r="I20" i="8" l="1"/>
  <c r="I28" i="8" s="1"/>
  <c r="I42" i="8" s="1"/>
  <c r="J21" i="9"/>
  <c r="I31" i="6"/>
  <c r="I33" i="6" s="1"/>
  <c r="J9" i="9"/>
  <c r="J19" i="9" s="1"/>
  <c r="J22" i="9" s="1"/>
  <c r="J8" i="10"/>
  <c r="J15" i="10" s="1"/>
  <c r="H4" i="12" s="1"/>
  <c r="F4" i="7"/>
  <c r="C7" i="12" l="1"/>
  <c r="H5" i="12"/>
  <c r="C8" i="12" s="1"/>
  <c r="J23" i="9"/>
  <c r="G7" i="12" l="1"/>
  <c r="G9" i="12" s="1"/>
  <c r="G15" i="12" s="1"/>
  <c r="G18" i="12" s="1"/>
  <c r="C9" i="12"/>
  <c r="C15" i="12" s="1"/>
  <c r="C18" i="12" s="1"/>
  <c r="J17" i="8"/>
  <c r="J30" i="8"/>
  <c r="J33" i="8" s="1"/>
  <c r="J40" i="8" s="1"/>
  <c r="I5" i="3" l="1"/>
  <c r="G26" i="12"/>
  <c r="J5" i="3"/>
  <c r="J6" i="3" s="1"/>
  <c r="C26" i="12"/>
  <c r="J31" i="6"/>
  <c r="J33" i="6" s="1"/>
  <c r="J20" i="8"/>
  <c r="J28" i="8" s="1"/>
  <c r="J42" i="8" s="1"/>
  <c r="L5" i="3" l="1"/>
  <c r="L6" i="3" s="1"/>
  <c r="I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<sst xmlns="http://schemas.openxmlformats.org/spreadsheetml/2006/main" count="488" uniqueCount="245">
  <si>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</si>
  <si>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</si>
  <si>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</si>
  <si>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</si>
  <si>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</si>
  <si>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</si>
  <si>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</si>
  <si>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</si>
  <si>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</si>
  <si>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</si>
  <si>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</si>
  <si>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</si>
  <si>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</si>
  <si>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</si>
  <si>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</si>
  <si>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</si>
  <si>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</si>
  <si>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</si>
  <si>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</si>
  <si>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</si>
  <si>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</si>
  <si>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Dividends paid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</si>
  <si>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</si>
  <si>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</si>
  <si>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</si>
  <si>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</si>
  <si>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</si>
  <si>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</si>
  <si>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</si>
  <si>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</si>
  <si>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</si>
  <si>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</si>
  <si>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</si>
  <si>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</si>
  <si>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</si>
  <si>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</si>
  <si>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</si>
  <si>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</si>
  <si>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</si>
  <si>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</si>
  <si>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</si>
  <si>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</si>
  <si>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</si>
  <si>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</si>
  <si>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</si>
  <si>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</si>
  <si>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</si>
  <si>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</si>
  <si>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</si>
  <si>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</si>
  <si>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</si>
  <si>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</si>
  <si>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</si>
  <si>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</si>
  <si>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</si>
  <si>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</si>
  <si>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</si>
  <si>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</si>
  <si>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</si>
  <si>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</si>
  <si>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Dividends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</si>
  <si>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</si>
  <si>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</si>
  <si>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</si>
  <si>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</si>
  <si>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</si>
  <si>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</si>
  <si>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</si>
  <si>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</si>
  <si>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</si>
  <si>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</si>
  <si>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</si>
  <si>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</si>
  <si>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</si>
  <si>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</si>
  <si>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</si>
  <si>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</si>
  <si>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</si>
  <si>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</si>
  <si>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</si>
  <si>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</si>
  <si>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</si>
  <si>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</si>
  <si>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</si>
  <si>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</si>
  <si>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</si>
  <si>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</si>
  <si>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</si>
  <si>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</si>
  <si>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</si>
  <si>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</si>
  <si>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</si>
  <si>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</si>
  <si>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</si>
  <si>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</si>
  <si>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</si>
  <si>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</si>
  <si>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</si>
  <si>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</si>
  <si>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</si>
  <si>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</si>
  <si>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</si>
  <si>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</si>
  <si>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</si>
  <si>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</si>
  <si>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</si>
  <si>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</si>
  <si>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</si>
  <si>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</si>
  <si>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</si>
  <si>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</si>
  <si>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</si>
  <si>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</si>
  <si>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</si>
  <si>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</si>
  <si>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</si>
  <si>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</si>
  <si>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</si>
  <si>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</si>
  <si>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</si>
  <si>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</si>
  <si>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</si>
  <si>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</si>
  <si>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</si>
  <si>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</si>
  <si>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</si>
  <si>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</si>
  <si>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</si>
  <si>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</si>
  <si>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</si>
  <si>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</si>
  <si>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</si>
  <si>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</si>
  <si>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</si>
  <si>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</si>
  <si>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</si>
  <si>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</si>
  <si>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</si>
  <si>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</si>
  <si>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Dividend Payout Rate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</si>
  <si>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</si>
  <si>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</si>
  <si>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</si>
  <si>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</si>
  <si>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</si>
  <si>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</si>
  <si>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</si>
  <si>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</si>
  <si>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</si>
  <si>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</si>
  <si>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</si>
  <si>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</si>
  <si>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</si>
  <si>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</si>
  <si>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</si>
  <si>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</si>
  <si>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</si>
  <si>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</si>
  <si>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</si>
  <si>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</si>
  <si>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</si>
  <si>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</si>
  <si>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</si>
  <si>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</si>
  <si>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</si>
  <si>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</si>
  <si>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</si>
  <si>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</si>
  <si>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</si>
  <si>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</si>
  <si>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</si>
  <si>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</si>
  <si>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</si>
  <si>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</si>
  <si>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</si>
  <si>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</si>
  <si>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</si>
  <si>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</si>
  <si>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Investments in unconsolidated entities</t>
  </si>
  <si>
    <t>Dividend payout rate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</si>
  <si>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</si>
  <si>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</si>
  <si>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</si>
  <si>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</si>
  <si>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</si>
  <si>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</si>
  <si>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</si>
  <si>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Yum Brands Inc.</t>
  </si>
  <si>
    <t>Company Sales</t>
  </si>
  <si>
    <t>Franchise and property revenues</t>
  </si>
  <si>
    <t>other services</t>
  </si>
  <si>
    <t>Revenues</t>
  </si>
  <si>
    <t>Operating income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</si>
  <si>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</si>
  <si>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</si>
  <si>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</si>
  <si>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</si>
  <si>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</si>
  <si>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</si>
  <si>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</si>
  <si>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</si>
  <si>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</si>
  <si>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</si>
  <si>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</si>
  <si>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</si>
  <si>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</si>
  <si>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</si>
  <si>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</si>
  <si>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Q425E</t>
  </si>
  <si>
    <t>Q126E</t>
  </si>
  <si>
    <t>Q226E</t>
  </si>
  <si>
    <t>Q326E</t>
  </si>
  <si>
    <t>Q426E</t>
  </si>
  <si>
    <t>KFC</t>
  </si>
  <si>
    <t>Taco Bell</t>
  </si>
  <si>
    <t>Pizza Hut</t>
  </si>
  <si>
    <t>y/y</t>
  </si>
  <si>
    <t>Margin %</t>
  </si>
  <si>
    <t>n/a</t>
  </si>
  <si>
    <t>Total Revenue</t>
  </si>
  <si>
    <t>All Resturants</t>
  </si>
  <si>
    <t>Dates</t>
  </si>
  <si>
    <t>2026E</t>
  </si>
  <si>
    <t>2027E</t>
  </si>
  <si>
    <t>2028E</t>
  </si>
  <si>
    <t>2029E</t>
  </si>
  <si>
    <t>(inc) / dec in LT assets</t>
  </si>
  <si>
    <t>inc / (dec) in LT liabilities</t>
  </si>
  <si>
    <t>CFFO</t>
  </si>
  <si>
    <t>CFFI</t>
  </si>
  <si>
    <t>Dividends Paid</t>
  </si>
  <si>
    <t>Debt issuance / (repayment)</t>
  </si>
  <si>
    <t>CFFF</t>
  </si>
  <si>
    <t>Net changes in cash</t>
  </si>
  <si>
    <t>Beginning cash</t>
  </si>
  <si>
    <t>Ending cash</t>
  </si>
  <si>
    <t>QSR</t>
  </si>
  <si>
    <t>SBUX</t>
  </si>
  <si>
    <t>MCD</t>
  </si>
  <si>
    <t>LTGR</t>
  </si>
  <si>
    <t>Exit Mult</t>
  </si>
  <si>
    <t>DDM</t>
  </si>
  <si>
    <t>FY Dividends</t>
  </si>
  <si>
    <t>Equity Val</t>
  </si>
  <si>
    <t>Dividend Discount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</si>
</sst>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5" formatCode="0.0"/>
    <numFmt numFmtId="186" formatCode="&quot;$&quot;#,##0"/>
  </numFmts>
  <fonts count="7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sz val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F6368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335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73" fontId="45" fillId="0" borderId="0" xfId="0" applyNumberFormat="1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56" fillId="33" borderId="1" xfId="3" applyNumberFormat="1" applyFont="1"/>
    <xf numFmtId="2" fontId="56" fillId="0" borderId="0" xfId="3" applyNumberFormat="1" applyFont="1" applyFill="1" applyBorder="1"/>
    <xf numFmtId="2" fontId="45" fillId="0" borderId="0" xfId="0" applyNumberFormat="1" applyFont="1"/>
    <xf numFmtId="2" fontId="39" fillId="0" borderId="18" xfId="0" applyNumberFormat="1" applyFont="1" applyBorder="1"/>
    <xf numFmtId="2" fontId="67" fillId="33" borderId="1" xfId="3" applyNumberFormat="1" applyFont="1"/>
    <xf numFmtId="2" fontId="67" fillId="0" borderId="0" xfId="3" applyNumberFormat="1" applyFont="1" applyFill="1" applyBorder="1"/>
    <xf numFmtId="9" fontId="30" fillId="0" borderId="0" xfId="0" applyNumberFormat="1" applyFont="1"/>
    <xf numFmtId="178" fontId="33" fillId="42" borderId="0" xfId="0" applyNumberFormat="1" applyFont="1" applyFill="1"/>
    <xf numFmtId="178" fontId="33" fillId="42" borderId="0" xfId="0" applyNumberFormat="1" applyFont="1" applyFill="1" applyAlignment="1">
      <alignment horizontal="right"/>
    </xf>
    <xf numFmtId="178" fontId="33" fillId="0" borderId="0" xfId="0" applyNumberFormat="1" applyFont="1" applyFill="1" applyBorder="1"/>
    <xf numFmtId="167" fontId="39" fillId="0" borderId="0" xfId="0" applyFont="1" applyBorder="1"/>
    <xf numFmtId="167" fontId="39" fillId="0" borderId="0" xfId="0" applyFont="1" applyFill="1" applyBorder="1"/>
    <xf numFmtId="37" fontId="39" fillId="0" borderId="15" xfId="0" applyNumberFormat="1" applyFont="1" applyBorder="1"/>
    <xf numFmtId="37" fontId="39" fillId="0" borderId="19" xfId="0" applyNumberFormat="1" applyFont="1" applyBorder="1"/>
    <xf numFmtId="37" fontId="39" fillId="0" borderId="16" xfId="0" applyNumberFormat="1" applyFont="1" applyBorder="1"/>
    <xf numFmtId="37" fontId="39" fillId="0" borderId="0" xfId="0" applyNumberFormat="1" applyFont="1" applyFill="1" applyBorder="1"/>
    <xf numFmtId="37" fontId="39" fillId="0" borderId="0" xfId="0" applyNumberFormat="1" applyFont="1"/>
    <xf numFmtId="37" fontId="39" fillId="0" borderId="21" xfId="0" applyNumberFormat="1" applyFont="1" applyBorder="1"/>
    <xf numFmtId="37" fontId="39" fillId="0" borderId="18" xfId="0" applyNumberFormat="1" applyFont="1" applyBorder="1"/>
    <xf numFmtId="37" fontId="39" fillId="0" borderId="0" xfId="0" applyNumberFormat="1" applyFont="1" applyBorder="1"/>
    <xf numFmtId="37" fontId="45" fillId="0" borderId="0" xfId="0" applyNumberFormat="1" applyFont="1"/>
    <xf numFmtId="37" fontId="45" fillId="0" borderId="21" xfId="0" applyNumberFormat="1" applyFont="1" applyBorder="1"/>
    <xf numFmtId="37" fontId="45" fillId="0" borderId="18" xfId="0" applyNumberFormat="1" applyFont="1" applyBorder="1"/>
    <xf numFmtId="37" fontId="45" fillId="0" borderId="23" xfId="0" applyNumberFormat="1" applyFont="1" applyBorder="1"/>
    <xf numFmtId="37" fontId="45" fillId="0" borderId="0" xfId="0" applyNumberFormat="1" applyFont="1" applyBorder="1"/>
    <xf numFmtId="37" fontId="45" fillId="0" borderId="0" xfId="0" applyNumberFormat="1" applyFont="1" applyFill="1" applyBorder="1"/>
    <xf numFmtId="37" fontId="39" fillId="0" borderId="15" xfId="0" applyNumberFormat="1" applyFont="1" applyBorder="1" applyAlignment="1">
      <alignment horizontal="right"/>
    </xf>
    <xf numFmtId="37" fontId="39" fillId="0" borderId="19" xfId="0" applyNumberFormat="1" applyFont="1" applyBorder="1" applyAlignment="1">
      <alignment horizontal="right"/>
    </xf>
    <xf numFmtId="37" fontId="39" fillId="0" borderId="0" xfId="0" applyNumberFormat="1" applyFont="1" applyAlignment="1">
      <alignment horizontal="right"/>
    </xf>
    <xf numFmtId="37" fontId="39" fillId="0" borderId="21" xfId="0" applyNumberFormat="1" applyFont="1" applyBorder="1" applyAlignment="1">
      <alignment horizontal="right"/>
    </xf>
    <xf numFmtId="37" fontId="45" fillId="0" borderId="0" xfId="0" applyNumberFormat="1" applyFont="1" applyAlignment="1">
      <alignment horizontal="right"/>
    </xf>
    <xf numFmtId="37" fontId="45" fillId="0" borderId="21" xfId="0" applyNumberFormat="1" applyFont="1" applyBorder="1" applyAlignment="1">
      <alignment horizontal="right"/>
    </xf>
    <xf numFmtId="9" fontId="40" fillId="0" borderId="0" xfId="0" applyNumberFormat="1" applyFont="1" applyBorder="1"/>
    <xf numFmtId="9" fontId="40" fillId="0" borderId="0" xfId="0" applyNumberFormat="1" applyFont="1" applyBorder="1" applyAlignment="1">
      <alignment horizontal="right"/>
    </xf>
    <xf numFmtId="9" fontId="40" fillId="0" borderId="21" xfId="0" applyNumberFormat="1" applyFont="1" applyBorder="1" applyAlignment="1">
      <alignment horizontal="right"/>
    </xf>
    <xf numFmtId="9" fontId="40" fillId="0" borderId="21" xfId="0" applyNumberFormat="1" applyFont="1" applyBorder="1"/>
    <xf numFmtId="9" fontId="40" fillId="0" borderId="0" xfId="0" applyNumberFormat="1" applyFont="1" applyFill="1" applyBorder="1"/>
    <xf numFmtId="9" fontId="40" fillId="0" borderId="0" xfId="0" applyNumberFormat="1" applyFont="1"/>
    <xf numFmtId="9" fontId="40" fillId="0" borderId="18" xfId="0" applyNumberFormat="1" applyFont="1" applyBorder="1"/>
    <xf numFmtId="9" fontId="40" fillId="0" borderId="17" xfId="0" applyNumberFormat="1" applyFont="1" applyBorder="1"/>
    <xf numFmtId="9" fontId="67" fillId="43" borderId="0" xfId="0" applyNumberFormat="1" applyFont="1" applyFill="1" applyBorder="1"/>
    <xf numFmtId="9" fontId="67" fillId="43" borderId="18" xfId="0" applyNumberFormat="1" applyFont="1" applyFill="1" applyBorder="1"/>
    <xf numFmtId="9" fontId="40" fillId="0" borderId="0" xfId="0" applyNumberFormat="1" applyFont="1" applyAlignment="1">
      <alignment horizontal="right"/>
    </xf>
    <xf numFmtId="9" fontId="40" fillId="0" borderId="18" xfId="0" applyNumberFormat="1" applyFont="1" applyBorder="1" applyAlignment="1">
      <alignment horizontal="right"/>
    </xf>
    <xf numFmtId="178" fontId="33" fillId="44" borderId="0" xfId="0" applyNumberFormat="1" applyFont="1" applyFill="1" applyBorder="1" applyAlignment="1">
      <alignment horizontal="right"/>
    </xf>
    <xf numFmtId="178" fontId="33" fillId="44" borderId="0" xfId="0" applyNumberFormat="1" applyFont="1" applyFill="1" applyBorder="1"/>
    <xf numFmtId="166" fontId="38" fillId="0" borderId="16" xfId="57" applyFont="1" applyBorder="1"/>
    <xf numFmtId="166" fontId="38" fillId="0" borderId="15" xfId="57" applyFont="1" applyBorder="1"/>
    <xf numFmtId="166" fontId="37" fillId="0" borderId="0" xfId="0" applyNumberFormat="1" applyFont="1" applyBorder="1"/>
    <xf numFmtId="185" fontId="56" fillId="33" borderId="1" xfId="3" applyNumberFormat="1" applyFont="1"/>
    <xf numFmtId="173" fontId="39" fillId="0" borderId="18" xfId="4" applyNumberFormat="1" applyFont="1" applyFill="1" applyBorder="1"/>
    <xf numFmtId="166" fontId="39" fillId="0" borderId="0" xfId="57" applyFont="1" applyFill="1"/>
    <xf numFmtId="10" fontId="35" fillId="34" borderId="19" xfId="0" applyNumberFormat="1" applyFont="1" applyFill="1" applyBorder="1"/>
    <xf numFmtId="166" fontId="39" fillId="0" borderId="15" xfId="59" applyFont="1" applyBorder="1" applyProtection="1"/>
    <xf numFmtId="186" fontId="39" fillId="0" borderId="0" xfId="59" applyNumberFormat="1" applyFont="1" applyAlignment="1" applyProtection="1">
      <alignment horizontal="center"/>
    </xf>
    <xf numFmtId="186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6" fontId="45" fillId="0" borderId="0" xfId="59" applyNumberFormat="1" applyFont="1" applyAlignment="1" applyProtection="1">
      <alignment horizontal="center"/>
    </xf>
    <xf numFmtId="186" fontId="45" fillId="0" borderId="0" xfId="4" applyNumberFormat="1" applyFont="1" applyFill="1" applyBorder="1" applyAlignment="1" applyProtection="1">
      <alignment horizontal="center"/>
    </xf>
    <xf numFmtId="186" fontId="45" fillId="0" borderId="0" xfId="0" applyNumberFormat="1" applyFont="1" applyAlignment="1">
      <alignment horizontal="center"/>
    </xf>
    <xf numFmtId="176" fontId="37" fillId="0" borderId="0" xfId="3" applyNumberFormat="1" applyFont="1" applyFill="1" applyBorder="1" applyProtection="1"/>
    <xf numFmtId="166" fontId="39" fillId="0" borderId="23" xfId="59" applyFont="1" applyBorder="1" applyProtection="1"/>
    <xf numFmtId="166" fontId="39" fillId="0" borderId="0" xfId="59" applyFont="1" applyBorder="1" applyProtection="1"/>
    <xf numFmtId="166" fontId="39" fillId="0" borderId="18" xfId="59" applyFont="1" applyBorder="1" applyAlignment="1" applyProtection="1">
      <alignment horizontal="center"/>
    </xf>
    <xf numFmtId="10" fontId="39" fillId="0" borderId="18" xfId="59" applyNumberFormat="1" applyFont="1" applyBorder="1" applyAlignment="1" applyProtection="1">
      <alignment horizontal="center"/>
    </xf>
    <xf numFmtId="186" fontId="39" fillId="0" borderId="18" xfId="59" applyNumberFormat="1" applyFont="1" applyBorder="1" applyAlignment="1" applyProtection="1">
      <alignment horizontal="center"/>
    </xf>
    <xf numFmtId="186" fontId="39" fillId="0" borderId="18" xfId="0" applyNumberFormat="1" applyFont="1" applyBorder="1" applyAlignment="1">
      <alignment horizontal="center"/>
    </xf>
    <xf numFmtId="186" fontId="45" fillId="0" borderId="18" xfId="0" applyNumberFormat="1" applyFont="1" applyBorder="1" applyAlignment="1">
      <alignment horizontal="center"/>
    </xf>
    <xf numFmtId="180" fontId="45" fillId="0" borderId="0" xfId="59" applyNumberFormat="1" applyFont="1" applyAlignment="1" applyProtection="1">
      <alignment horizontal="center"/>
    </xf>
    <xf numFmtId="176" fontId="39" fillId="0" borderId="0" xfId="59" applyNumberFormat="1" applyFont="1" applyAlignment="1" applyProtection="1">
      <alignment horizontal="center"/>
    </xf>
    <xf numFmtId="167" fontId="39" fillId="0" borderId="18" xfId="0" applyFont="1" applyBorder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F6368"/>
      <color rgb="FF0000FF"/>
      <color rgb="FF44546A"/>
      <color rgb="FFEA4335"/>
      <color rgb="FF34A853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K5" sqref="K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2" width="15.7109375" style="4" customWidth="1"/>
    <col min="13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2" t="str">
        <f>CoName</f>
        <v>Yum Brands Inc.</v>
      </c>
      <c r="B1" s="2"/>
      <c r="C1" s="2"/>
      <c r="D1" s="154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6" customFormat="1" x14ac:dyDescent="0.25">
      <c r="A2" s="65" t="s">
        <v>183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4" spans="1:15" x14ac:dyDescent="0.25">
      <c r="B4" s="4" t="s">
        <v>3</v>
      </c>
      <c r="C4" s="51" t="s">
        <v>187</v>
      </c>
      <c r="E4" s="4" t="s">
        <v>169</v>
      </c>
      <c r="F4" s="222">
        <v>144.85</v>
      </c>
      <c r="H4" s="169" t="s">
        <v>184</v>
      </c>
      <c r="I4" s="168" t="s">
        <v>182</v>
      </c>
      <c r="J4" s="168" t="s">
        <v>181</v>
      </c>
      <c r="K4" s="168" t="s">
        <v>241</v>
      </c>
      <c r="L4" s="168" t="s">
        <v>181</v>
      </c>
    </row>
    <row r="5" spans="1:15" x14ac:dyDescent="0.25">
      <c r="B5" s="4" t="s">
        <v>4</v>
      </c>
      <c r="C5" s="52">
        <v>247.43</v>
      </c>
      <c r="E5" s="4" t="s">
        <v>174</v>
      </c>
      <c r="F5" s="160">
        <v>277.652829</v>
      </c>
      <c r="H5" s="334" t="s">
        <v>176</v>
      </c>
      <c r="I5" s="228">
        <f>'DCF Model'!G18</f>
        <v>169.37271998978898</v>
      </c>
      <c r="J5" s="229">
        <f>'DCF Model'!C18</f>
        <v>146.24425389971773</v>
      </c>
      <c r="K5" s="229">
        <f>'DCF Model'!K11</f>
        <v>93.991235655932201</v>
      </c>
      <c r="L5" s="229">
        <f>AVERAGE(I5:K5)</f>
        <v>136.53606984847963</v>
      </c>
    </row>
    <row r="6" spans="1:15" x14ac:dyDescent="0.25">
      <c r="B6" s="4" t="s">
        <v>5</v>
      </c>
      <c r="C6" s="51" t="s">
        <v>9</v>
      </c>
      <c r="E6" s="4" t="s">
        <v>102</v>
      </c>
      <c r="F6" s="160">
        <f>F5*F4</f>
        <v>40218.01228065</v>
      </c>
      <c r="H6" s="168" t="s">
        <v>177</v>
      </c>
      <c r="I6" s="223">
        <f>I5/$F$4-1</f>
        <v>0.16929734200751789</v>
      </c>
      <c r="J6" s="223">
        <f>J5/$F$4-1</f>
        <v>9.6255015513824205E-3</v>
      </c>
      <c r="K6" s="223">
        <f t="shared" ref="K6:L6" si="0">K5/$F$4-1</f>
        <v>-0.35111331960005376</v>
      </c>
      <c r="L6" s="223">
        <f t="shared" si="0"/>
        <v>-5.7396825347051261E-2</v>
      </c>
    </row>
    <row r="7" spans="1:15" x14ac:dyDescent="0.25">
      <c r="B7" s="4" t="s">
        <v>6</v>
      </c>
      <c r="C7" s="51" t="s">
        <v>8</v>
      </c>
      <c r="E7" s="4" t="s">
        <v>175</v>
      </c>
      <c r="F7" s="51">
        <v>1045</v>
      </c>
    </row>
    <row r="8" spans="1:15" x14ac:dyDescent="0.25">
      <c r="B8" s="4" t="s">
        <v>2</v>
      </c>
      <c r="C8" s="51" t="s">
        <v>85</v>
      </c>
      <c r="E8" s="4" t="s">
        <v>144</v>
      </c>
      <c r="F8" s="51">
        <f>1301+11506</f>
        <v>12807</v>
      </c>
    </row>
    <row r="9" spans="1:15" x14ac:dyDescent="0.25">
      <c r="B9" s="4" t="s">
        <v>7</v>
      </c>
      <c r="C9" s="51">
        <v>0</v>
      </c>
      <c r="E9" s="4" t="s">
        <v>116</v>
      </c>
      <c r="F9" s="51">
        <f>F6-F7+F8</f>
        <v>51980.01228065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AD56"/>
  <sheetViews>
    <sheetView showGridLines="0" zoomScale="85" zoomScaleNormal="85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Y39" sqref="Y39"/>
    </sheetView>
  </sheetViews>
  <sheetFormatPr defaultColWidth="11.7109375" defaultRowHeight="15" x14ac:dyDescent="0.25"/>
  <cols>
    <col min="1" max="1" width="2" style="4" bestFit="1" customWidth="1"/>
    <col min="2" max="2" width="30.7109375" style="4" bestFit="1" customWidth="1"/>
    <col min="3" max="30" width="11.7109375" style="4"/>
    <col min="31" max="16384" width="11.7109375" style="275"/>
  </cols>
  <sheetData>
    <row r="1" spans="1:30" s="4" customFormat="1" ht="19.5" x14ac:dyDescent="0.3">
      <c r="A1" s="252" t="str">
        <f>CoName</f>
        <v>Yum Brands Inc.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30" s="273" customFormat="1" x14ac:dyDescent="0.25">
      <c r="A2" s="271" t="s">
        <v>221</v>
      </c>
      <c r="B2" s="271"/>
      <c r="C2" s="272" t="s">
        <v>193</v>
      </c>
      <c r="D2" s="272" t="s">
        <v>194</v>
      </c>
      <c r="E2" s="272" t="s">
        <v>195</v>
      </c>
      <c r="F2" s="272" t="s">
        <v>196</v>
      </c>
      <c r="G2" s="272">
        <v>2022</v>
      </c>
      <c r="H2" s="272" t="s">
        <v>197</v>
      </c>
      <c r="I2" s="272" t="s">
        <v>198</v>
      </c>
      <c r="J2" s="272" t="s">
        <v>199</v>
      </c>
      <c r="K2" s="272" t="s">
        <v>200</v>
      </c>
      <c r="L2" s="272">
        <v>2023</v>
      </c>
      <c r="M2" s="272" t="s">
        <v>201</v>
      </c>
      <c r="N2" s="272" t="s">
        <v>202</v>
      </c>
      <c r="O2" s="272" t="s">
        <v>203</v>
      </c>
      <c r="P2" s="272" t="s">
        <v>204</v>
      </c>
      <c r="Q2" s="272">
        <v>2024</v>
      </c>
      <c r="R2" s="272" t="s">
        <v>205</v>
      </c>
      <c r="S2" s="272" t="s">
        <v>206</v>
      </c>
      <c r="T2" s="272" t="s">
        <v>207</v>
      </c>
      <c r="U2" s="272" t="s">
        <v>208</v>
      </c>
      <c r="V2" s="272">
        <v>2025</v>
      </c>
      <c r="W2" s="272" t="s">
        <v>209</v>
      </c>
      <c r="X2" s="272" t="s">
        <v>210</v>
      </c>
      <c r="Y2" s="272" t="s">
        <v>211</v>
      </c>
      <c r="Z2" s="272" t="s">
        <v>212</v>
      </c>
      <c r="AA2" s="272" t="s">
        <v>222</v>
      </c>
      <c r="AB2" s="272" t="s">
        <v>223</v>
      </c>
      <c r="AC2" s="272" t="s">
        <v>224</v>
      </c>
      <c r="AD2" s="272" t="s">
        <v>225</v>
      </c>
    </row>
    <row r="3" spans="1:30" s="273" customFormat="1" x14ac:dyDescent="0.25">
      <c r="A3" s="309" t="s">
        <v>213</v>
      </c>
      <c r="B3" s="309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</row>
    <row r="4" spans="1:30" s="279" customFormat="1" x14ac:dyDescent="0.25">
      <c r="A4" s="276"/>
      <c r="B4" s="276" t="s">
        <v>188</v>
      </c>
      <c r="C4" s="290">
        <v>126</v>
      </c>
      <c r="D4" s="290">
        <v>115</v>
      </c>
      <c r="E4" s="290">
        <v>112</v>
      </c>
      <c r="F4" s="290">
        <v>138</v>
      </c>
      <c r="G4" s="291">
        <f>SUM(C4:F4)</f>
        <v>491</v>
      </c>
      <c r="H4" s="276">
        <v>110</v>
      </c>
      <c r="I4" s="276">
        <v>115</v>
      </c>
      <c r="J4" s="276">
        <v>117</v>
      </c>
      <c r="K4" s="278">
        <v>142</v>
      </c>
      <c r="L4" s="277">
        <f>SUM(H4:K4)</f>
        <v>484</v>
      </c>
      <c r="M4" s="276">
        <v>105</v>
      </c>
      <c r="N4" s="276">
        <v>163</v>
      </c>
      <c r="O4" s="276">
        <v>220</v>
      </c>
      <c r="P4" s="278">
        <v>313</v>
      </c>
      <c r="Q4" s="277">
        <f>SUM(M4:P4)</f>
        <v>801</v>
      </c>
      <c r="R4" s="276">
        <v>216</v>
      </c>
      <c r="S4" s="276">
        <v>245</v>
      </c>
      <c r="T4" s="276">
        <v>259</v>
      </c>
      <c r="U4" s="276"/>
      <c r="V4" s="277">
        <f>SUM(R4:U4)</f>
        <v>720</v>
      </c>
      <c r="W4" s="276"/>
      <c r="X4" s="276"/>
      <c r="Y4" s="276"/>
      <c r="Z4" s="276"/>
      <c r="AA4" s="277"/>
      <c r="AB4" s="276"/>
      <c r="AC4" s="276"/>
      <c r="AD4" s="278"/>
    </row>
    <row r="5" spans="1:30" s="300" customFormat="1" x14ac:dyDescent="0.25">
      <c r="A5" s="296"/>
      <c r="B5" s="296" t="s">
        <v>216</v>
      </c>
      <c r="C5" s="297" t="s">
        <v>218</v>
      </c>
      <c r="D5" s="297" t="s">
        <v>218</v>
      </c>
      <c r="E5" s="297" t="s">
        <v>218</v>
      </c>
      <c r="F5" s="297" t="s">
        <v>218</v>
      </c>
      <c r="G5" s="298" t="s">
        <v>218</v>
      </c>
      <c r="H5" s="296">
        <f>H4/C4-1</f>
        <v>-0.12698412698412698</v>
      </c>
      <c r="I5" s="296">
        <f t="shared" ref="I5:K5" si="0">I4/D4-1</f>
        <v>0</v>
      </c>
      <c r="J5" s="296">
        <f t="shared" si="0"/>
        <v>4.4642857142857206E-2</v>
      </c>
      <c r="K5" s="296">
        <f t="shared" si="0"/>
        <v>2.8985507246376718E-2</v>
      </c>
      <c r="L5" s="299">
        <f>L4/G4-1</f>
        <v>-1.4256619144602856E-2</v>
      </c>
      <c r="M5" s="296">
        <f>M4/H4-1</f>
        <v>-4.5454545454545414E-2</v>
      </c>
      <c r="N5" s="296">
        <f t="shared" ref="N5" si="1">N4/I4-1</f>
        <v>0.41739130434782612</v>
      </c>
      <c r="O5" s="296">
        <f t="shared" ref="O5" si="2">O4/J4-1</f>
        <v>0.88034188034188032</v>
      </c>
      <c r="P5" s="296">
        <f t="shared" ref="P5" si="3">P4/K4-1</f>
        <v>1.204225352112676</v>
      </c>
      <c r="Q5" s="299">
        <f>Q4/L4-1</f>
        <v>0.6549586776859504</v>
      </c>
      <c r="R5" s="296">
        <f>R4/M4-1</f>
        <v>1.0571428571428569</v>
      </c>
      <c r="S5" s="296">
        <f t="shared" ref="S5" si="4">S4/N4-1</f>
        <v>0.50306748466257667</v>
      </c>
      <c r="T5" s="296">
        <f t="shared" ref="T5" si="5">T4/O4-1</f>
        <v>0.17727272727272725</v>
      </c>
      <c r="U5" s="296"/>
      <c r="V5" s="299">
        <f>V4/Q4-1</f>
        <v>-0.101123595505618</v>
      </c>
      <c r="W5" s="296"/>
      <c r="X5" s="296"/>
      <c r="Y5" s="296"/>
      <c r="Z5" s="296"/>
      <c r="AA5" s="299"/>
      <c r="AB5" s="296"/>
      <c r="AC5" s="296"/>
      <c r="AD5" s="302"/>
    </row>
    <row r="6" spans="1:30" s="279" customFormat="1" x14ac:dyDescent="0.25">
      <c r="A6" s="280"/>
      <c r="B6" s="280" t="s">
        <v>189</v>
      </c>
      <c r="C6" s="292">
        <v>383</v>
      </c>
      <c r="D6" s="292">
        <v>394</v>
      </c>
      <c r="E6" s="292">
        <v>418</v>
      </c>
      <c r="F6" s="292">
        <v>450</v>
      </c>
      <c r="G6" s="293">
        <f t="shared" ref="G6:G15" si="6">SUM(C6:F6)</f>
        <v>1645</v>
      </c>
      <c r="H6" s="280">
        <v>412</v>
      </c>
      <c r="I6" s="280">
        <v>416</v>
      </c>
      <c r="J6" s="280">
        <v>426</v>
      </c>
      <c r="K6" s="282">
        <v>444</v>
      </c>
      <c r="L6" s="281">
        <f t="shared" ref="L6:L15" si="7">SUM(H6:K6)</f>
        <v>1698</v>
      </c>
      <c r="M6" s="280">
        <v>397</v>
      </c>
      <c r="N6" s="280">
        <v>405</v>
      </c>
      <c r="O6" s="280">
        <v>417</v>
      </c>
      <c r="P6" s="282">
        <v>466</v>
      </c>
      <c r="Q6" s="281">
        <f t="shared" ref="Q6:Q15" si="8">SUM(M6:P6)</f>
        <v>1685</v>
      </c>
      <c r="R6" s="280">
        <v>407</v>
      </c>
      <c r="S6" s="280">
        <v>437</v>
      </c>
      <c r="T6" s="280">
        <v>459</v>
      </c>
      <c r="U6" s="280"/>
      <c r="V6" s="281">
        <f t="shared" ref="V6:V15" si="9">SUM(R6:U6)</f>
        <v>1303</v>
      </c>
      <c r="W6" s="280"/>
      <c r="X6" s="280"/>
      <c r="Y6" s="280"/>
      <c r="Z6" s="280"/>
      <c r="AA6" s="281"/>
      <c r="AB6" s="283"/>
      <c r="AC6" s="280"/>
      <c r="AD6" s="282"/>
    </row>
    <row r="7" spans="1:30" s="300" customFormat="1" x14ac:dyDescent="0.25">
      <c r="A7" s="296"/>
      <c r="B7" s="296" t="s">
        <v>216</v>
      </c>
      <c r="C7" s="297" t="s">
        <v>218</v>
      </c>
      <c r="D7" s="297" t="s">
        <v>218</v>
      </c>
      <c r="E7" s="297" t="s">
        <v>218</v>
      </c>
      <c r="F7" s="297" t="s">
        <v>218</v>
      </c>
      <c r="G7" s="298" t="s">
        <v>218</v>
      </c>
      <c r="H7" s="296">
        <f>H6/C6-1</f>
        <v>7.571801566579639E-2</v>
      </c>
      <c r="I7" s="296">
        <f t="shared" ref="I7" si="10">I6/D6-1</f>
        <v>5.5837563451776706E-2</v>
      </c>
      <c r="J7" s="296">
        <f t="shared" ref="J7" si="11">J6/E6-1</f>
        <v>1.9138755980861344E-2</v>
      </c>
      <c r="K7" s="296">
        <f t="shared" ref="K7" si="12">K6/F6-1</f>
        <v>-1.3333333333333308E-2</v>
      </c>
      <c r="L7" s="299">
        <f>L6/G6-1</f>
        <v>3.2218844984802431E-2</v>
      </c>
      <c r="M7" s="296">
        <f>M6/H6-1</f>
        <v>-3.6407766990291246E-2</v>
      </c>
      <c r="N7" s="296">
        <f t="shared" ref="N7" si="13">N6/I6-1</f>
        <v>-2.6442307692307709E-2</v>
      </c>
      <c r="O7" s="296">
        <f t="shared" ref="O7" si="14">O6/J6-1</f>
        <v>-2.1126760563380254E-2</v>
      </c>
      <c r="P7" s="296">
        <f t="shared" ref="P7" si="15">P6/K6-1</f>
        <v>4.9549549549549488E-2</v>
      </c>
      <c r="Q7" s="299">
        <f>Q6/L6-1</f>
        <v>-7.6560659599529401E-3</v>
      </c>
      <c r="R7" s="296">
        <f>R6/M6-1</f>
        <v>2.5188916876574208E-2</v>
      </c>
      <c r="S7" s="296">
        <f t="shared" ref="S7" si="16">S6/N6-1</f>
        <v>7.9012345679012386E-2</v>
      </c>
      <c r="T7" s="296">
        <f t="shared" ref="T7" si="17">T6/O6-1</f>
        <v>0.10071942446043169</v>
      </c>
      <c r="U7" s="296"/>
      <c r="V7" s="299">
        <f>V6/Q6-1</f>
        <v>-0.22670623145400592</v>
      </c>
      <c r="W7" s="296"/>
      <c r="X7" s="296"/>
      <c r="Y7" s="296"/>
      <c r="Z7" s="296"/>
      <c r="AA7" s="299"/>
      <c r="AB7" s="296"/>
      <c r="AC7" s="296"/>
      <c r="AD7" s="302"/>
    </row>
    <row r="8" spans="1:30" s="279" customFormat="1" x14ac:dyDescent="0.25">
      <c r="A8" s="280"/>
      <c r="B8" s="280" t="s">
        <v>190</v>
      </c>
      <c r="C8" s="292">
        <v>151</v>
      </c>
      <c r="D8" s="292">
        <v>168</v>
      </c>
      <c r="E8" s="292">
        <v>174</v>
      </c>
      <c r="F8" s="292">
        <v>205</v>
      </c>
      <c r="G8" s="293">
        <f t="shared" si="6"/>
        <v>698</v>
      </c>
      <c r="H8" s="280">
        <v>165</v>
      </c>
      <c r="I8" s="280">
        <v>151</v>
      </c>
      <c r="J8" s="280">
        <v>157</v>
      </c>
      <c r="K8" s="282">
        <v>175</v>
      </c>
      <c r="L8" s="281">
        <f t="shared" si="7"/>
        <v>648</v>
      </c>
      <c r="M8" s="280">
        <v>130</v>
      </c>
      <c r="N8" s="280">
        <v>149</v>
      </c>
      <c r="O8" s="280">
        <v>148</v>
      </c>
      <c r="P8" s="282">
        <v>186</v>
      </c>
      <c r="Q8" s="281">
        <f t="shared" si="8"/>
        <v>613</v>
      </c>
      <c r="R8" s="280">
        <v>149</v>
      </c>
      <c r="S8" s="280">
        <v>167</v>
      </c>
      <c r="T8" s="280">
        <v>161</v>
      </c>
      <c r="U8" s="280"/>
      <c r="V8" s="281">
        <f t="shared" si="9"/>
        <v>477</v>
      </c>
      <c r="W8" s="280"/>
      <c r="X8" s="280"/>
      <c r="Y8" s="280"/>
      <c r="Z8" s="280"/>
      <c r="AA8" s="281"/>
      <c r="AB8" s="283"/>
      <c r="AC8" s="280"/>
      <c r="AD8" s="282"/>
    </row>
    <row r="9" spans="1:30" s="300" customFormat="1" x14ac:dyDescent="0.25">
      <c r="A9" s="296"/>
      <c r="B9" s="296" t="s">
        <v>216</v>
      </c>
      <c r="C9" s="297" t="s">
        <v>218</v>
      </c>
      <c r="D9" s="297" t="s">
        <v>218</v>
      </c>
      <c r="E9" s="297" t="s">
        <v>218</v>
      </c>
      <c r="F9" s="297" t="s">
        <v>218</v>
      </c>
      <c r="G9" s="298" t="s">
        <v>218</v>
      </c>
      <c r="H9" s="296">
        <f>H8/C8-1</f>
        <v>9.27152317880795E-2</v>
      </c>
      <c r="I9" s="296">
        <f t="shared" ref="I9" si="18">I8/D8-1</f>
        <v>-0.10119047619047616</v>
      </c>
      <c r="J9" s="296">
        <f t="shared" ref="J9" si="19">J8/E8-1</f>
        <v>-9.7701149425287404E-2</v>
      </c>
      <c r="K9" s="296">
        <f t="shared" ref="K9" si="20">K8/F8-1</f>
        <v>-0.14634146341463417</v>
      </c>
      <c r="L9" s="299">
        <f>L8/G8-1</f>
        <v>-7.1633237822349538E-2</v>
      </c>
      <c r="M9" s="296">
        <f>M8/H8-1</f>
        <v>-0.21212121212121215</v>
      </c>
      <c r="N9" s="296">
        <f t="shared" ref="N9" si="21">N8/I8-1</f>
        <v>-1.3245033112582738E-2</v>
      </c>
      <c r="O9" s="296">
        <f t="shared" ref="O9" si="22">O8/J8-1</f>
        <v>-5.7324840764331197E-2</v>
      </c>
      <c r="P9" s="296">
        <f t="shared" ref="P9" si="23">P8/K8-1</f>
        <v>6.2857142857142945E-2</v>
      </c>
      <c r="Q9" s="299">
        <f>Q8/L8-1</f>
        <v>-5.4012345679012363E-2</v>
      </c>
      <c r="R9" s="296">
        <f>R8/M8-1</f>
        <v>0.14615384615384608</v>
      </c>
      <c r="S9" s="296">
        <f t="shared" ref="S9" si="24">S8/N8-1</f>
        <v>0.12080536912751683</v>
      </c>
      <c r="T9" s="296">
        <f t="shared" ref="T9" si="25">T8/O8-1</f>
        <v>8.783783783783794E-2</v>
      </c>
      <c r="U9" s="296"/>
      <c r="V9" s="299">
        <f>V8/Q8-1</f>
        <v>-0.22185970636215335</v>
      </c>
      <c r="W9" s="296"/>
      <c r="X9" s="296"/>
      <c r="Y9" s="296"/>
      <c r="Z9" s="296"/>
      <c r="AA9" s="299"/>
      <c r="AB9" s="296"/>
      <c r="AC9" s="296"/>
      <c r="AD9" s="302"/>
    </row>
    <row r="10" spans="1:30" s="289" customFormat="1" x14ac:dyDescent="0.25">
      <c r="A10" s="284" t="s">
        <v>191</v>
      </c>
      <c r="B10" s="284"/>
      <c r="C10" s="294">
        <f>SUM(C8,C6,C4)</f>
        <v>660</v>
      </c>
      <c r="D10" s="294">
        <f t="shared" ref="D10:T10" si="26">SUM(D8,D6,D4)</f>
        <v>677</v>
      </c>
      <c r="E10" s="294">
        <f t="shared" si="26"/>
        <v>704</v>
      </c>
      <c r="F10" s="294">
        <f t="shared" si="26"/>
        <v>793</v>
      </c>
      <c r="G10" s="295">
        <f t="shared" si="26"/>
        <v>2834</v>
      </c>
      <c r="H10" s="284">
        <f t="shared" si="26"/>
        <v>687</v>
      </c>
      <c r="I10" s="284">
        <f t="shared" si="26"/>
        <v>682</v>
      </c>
      <c r="J10" s="284">
        <f t="shared" si="26"/>
        <v>700</v>
      </c>
      <c r="K10" s="286">
        <f t="shared" si="26"/>
        <v>761</v>
      </c>
      <c r="L10" s="285">
        <f t="shared" si="26"/>
        <v>2830</v>
      </c>
      <c r="M10" s="284">
        <f t="shared" si="26"/>
        <v>632</v>
      </c>
      <c r="N10" s="284">
        <f t="shared" si="26"/>
        <v>717</v>
      </c>
      <c r="O10" s="284">
        <f t="shared" si="26"/>
        <v>785</v>
      </c>
      <c r="P10" s="286">
        <f t="shared" si="26"/>
        <v>965</v>
      </c>
      <c r="Q10" s="285">
        <f t="shared" si="26"/>
        <v>3099</v>
      </c>
      <c r="R10" s="284">
        <f t="shared" si="26"/>
        <v>772</v>
      </c>
      <c r="S10" s="284">
        <f t="shared" si="26"/>
        <v>849</v>
      </c>
      <c r="T10" s="284">
        <f t="shared" si="26"/>
        <v>879</v>
      </c>
      <c r="U10" s="284">
        <f>P10*(1+U11)</f>
        <v>1042.9353881412899</v>
      </c>
      <c r="V10" s="285">
        <f>SUM(R10:U10)</f>
        <v>3542.9353881412899</v>
      </c>
      <c r="W10" s="284">
        <f t="shared" ref="W10:Z10" si="27">R10*(1+W11)</f>
        <v>857.69200000000001</v>
      </c>
      <c r="X10" s="284">
        <f t="shared" si="27"/>
        <v>934.74900000000002</v>
      </c>
      <c r="Y10" s="284">
        <f t="shared" si="27"/>
        <v>964.26300000000003</v>
      </c>
      <c r="Z10" s="284">
        <f t="shared" si="27"/>
        <v>1127.4131545807343</v>
      </c>
      <c r="AA10" s="285">
        <f>SUM(W10:Z10)</f>
        <v>3884.1171545807347</v>
      </c>
      <c r="AB10" s="287">
        <f>AA10*(1+AB11)</f>
        <v>4233.6876984930013</v>
      </c>
      <c r="AC10" s="288">
        <f t="shared" ref="AC10:AD10" si="28">AB10*(1+AC11)</f>
        <v>4572.382714372442</v>
      </c>
      <c r="AD10" s="286">
        <f t="shared" si="28"/>
        <v>4892.4495043785137</v>
      </c>
    </row>
    <row r="11" spans="1:30" s="300" customFormat="1" x14ac:dyDescent="0.25">
      <c r="A11" s="296"/>
      <c r="B11" s="296" t="s">
        <v>216</v>
      </c>
      <c r="C11" s="297" t="s">
        <v>218</v>
      </c>
      <c r="D11" s="297" t="s">
        <v>218</v>
      </c>
      <c r="E11" s="297" t="s">
        <v>218</v>
      </c>
      <c r="F11" s="297" t="s">
        <v>218</v>
      </c>
      <c r="G11" s="298" t="s">
        <v>218</v>
      </c>
      <c r="H11" s="296">
        <f>H10/C10-1</f>
        <v>4.0909090909091006E-2</v>
      </c>
      <c r="I11" s="296">
        <f t="shared" ref="I11" si="29">I10/D10-1</f>
        <v>7.3855243722305008E-3</v>
      </c>
      <c r="J11" s="296">
        <f t="shared" ref="J11" si="30">J10/E10-1</f>
        <v>-5.6818181818182323E-3</v>
      </c>
      <c r="K11" s="296">
        <f t="shared" ref="K11" si="31">K10/F10-1</f>
        <v>-4.035308953341743E-2</v>
      </c>
      <c r="L11" s="299">
        <f>L10/G10-1</f>
        <v>-1.4114326040931546E-3</v>
      </c>
      <c r="M11" s="296">
        <f>M10/H10-1</f>
        <v>-8.0058224163027658E-2</v>
      </c>
      <c r="N11" s="296">
        <f t="shared" ref="N11" si="32">N10/I10-1</f>
        <v>5.1319648093841597E-2</v>
      </c>
      <c r="O11" s="296">
        <f t="shared" ref="O11" si="33">O10/J10-1</f>
        <v>0.12142857142857144</v>
      </c>
      <c r="P11" s="296">
        <f t="shared" ref="P11" si="34">P10/K10-1</f>
        <v>0.26806833114323259</v>
      </c>
      <c r="Q11" s="299">
        <f>Q10/L10-1</f>
        <v>9.5053003533568825E-2</v>
      </c>
      <c r="R11" s="296">
        <f>R10/M10-1</f>
        <v>0.22151898734177222</v>
      </c>
      <c r="S11" s="296">
        <f t="shared" ref="S11" si="35">S10/N10-1</f>
        <v>0.18410041841004188</v>
      </c>
      <c r="T11" s="296">
        <f t="shared" ref="T11" si="36">T10/O10-1</f>
        <v>0.11974522292993628</v>
      </c>
      <c r="U11" s="304">
        <f>AVERAGE(R11:T11,M11:P11,H11:K11)</f>
        <v>8.076206025004129E-2</v>
      </c>
      <c r="V11" s="299">
        <f>V10/Q10-1</f>
        <v>0.1432511739726654</v>
      </c>
      <c r="W11" s="304">
        <v>0.111</v>
      </c>
      <c r="X11" s="304">
        <v>0.10100000000000001</v>
      </c>
      <c r="Y11" s="304">
        <v>9.7000000000000003E-2</v>
      </c>
      <c r="Z11" s="304">
        <v>8.1000000000000003E-2</v>
      </c>
      <c r="AA11" s="299">
        <f>AA10/V10-1</f>
        <v>9.6299178241135541E-2</v>
      </c>
      <c r="AB11" s="304">
        <v>0.09</v>
      </c>
      <c r="AC11" s="304">
        <v>0.08</v>
      </c>
      <c r="AD11" s="305">
        <v>7.0000000000000007E-2</v>
      </c>
    </row>
    <row r="12" spans="1:30" s="289" customFormat="1" x14ac:dyDescent="0.25">
      <c r="A12" s="284"/>
      <c r="B12" s="284"/>
      <c r="C12" s="284"/>
      <c r="D12" s="284"/>
      <c r="E12" s="284"/>
      <c r="F12" s="284"/>
      <c r="G12" s="285"/>
      <c r="H12" s="284"/>
      <c r="I12" s="284"/>
      <c r="J12" s="284"/>
      <c r="K12" s="286"/>
      <c r="L12" s="285"/>
      <c r="M12" s="284"/>
      <c r="N12" s="284"/>
      <c r="O12" s="284"/>
      <c r="P12" s="286"/>
      <c r="Q12" s="285"/>
      <c r="R12" s="284"/>
      <c r="S12" s="284"/>
      <c r="T12" s="284"/>
      <c r="U12" s="284"/>
      <c r="V12" s="285"/>
      <c r="W12" s="284"/>
      <c r="X12" s="284"/>
      <c r="Y12" s="284"/>
      <c r="Z12" s="284"/>
      <c r="AA12" s="285"/>
      <c r="AB12" s="284"/>
      <c r="AC12" s="284"/>
      <c r="AD12" s="286"/>
    </row>
    <row r="13" spans="1:30" s="279" customFormat="1" x14ac:dyDescent="0.25">
      <c r="A13" s="280"/>
      <c r="B13" s="280" t="s">
        <v>157</v>
      </c>
      <c r="C13" s="280">
        <v>108</v>
      </c>
      <c r="D13" s="280">
        <v>102</v>
      </c>
      <c r="E13" s="280">
        <v>97</v>
      </c>
      <c r="F13" s="280">
        <v>119</v>
      </c>
      <c r="G13" s="281">
        <f t="shared" si="6"/>
        <v>426</v>
      </c>
      <c r="H13" s="280">
        <v>96</v>
      </c>
      <c r="I13" s="280">
        <v>99</v>
      </c>
      <c r="J13" s="280">
        <v>100</v>
      </c>
      <c r="K13" s="282">
        <v>122</v>
      </c>
      <c r="L13" s="281">
        <f t="shared" si="7"/>
        <v>417</v>
      </c>
      <c r="M13" s="280">
        <v>92</v>
      </c>
      <c r="N13" s="280">
        <v>144</v>
      </c>
      <c r="O13" s="280">
        <v>192</v>
      </c>
      <c r="P13" s="282">
        <v>275</v>
      </c>
      <c r="Q13" s="281">
        <f t="shared" si="8"/>
        <v>703</v>
      </c>
      <c r="R13" s="280">
        <v>196</v>
      </c>
      <c r="S13" s="280">
        <v>216</v>
      </c>
      <c r="T13" s="280">
        <v>224</v>
      </c>
      <c r="U13" s="280">
        <f>U10*U14</f>
        <v>260.73384703532247</v>
      </c>
      <c r="V13" s="281">
        <f t="shared" si="9"/>
        <v>896.73384703532247</v>
      </c>
      <c r="W13" s="280">
        <f t="shared" ref="W13:Z13" si="37">W10*W14</f>
        <v>214.423</v>
      </c>
      <c r="X13" s="280">
        <f t="shared" si="37"/>
        <v>233.68725000000001</v>
      </c>
      <c r="Y13" s="280">
        <f t="shared" si="37"/>
        <v>241.06575000000001</v>
      </c>
      <c r="Z13" s="280">
        <f t="shared" si="37"/>
        <v>281.85328864518357</v>
      </c>
      <c r="AA13" s="281">
        <f t="shared" ref="AA13:AA15" si="38">SUM(W13:Z13)</f>
        <v>971.02928864518367</v>
      </c>
      <c r="AB13" s="280">
        <f t="shared" ref="AB13" si="39">AB10*AB14</f>
        <v>1058.4219246232503</v>
      </c>
      <c r="AC13" s="280">
        <f t="shared" ref="AC13" si="40">AC10*AC14</f>
        <v>1143.0956785931105</v>
      </c>
      <c r="AD13" s="282">
        <f t="shared" ref="AD13" si="41">AD10*AD14</f>
        <v>1223.1123760946284</v>
      </c>
    </row>
    <row r="14" spans="1:30" s="300" customFormat="1" x14ac:dyDescent="0.25">
      <c r="B14" s="301" t="s">
        <v>217</v>
      </c>
      <c r="C14" s="301">
        <f>C13/C10</f>
        <v>0.16363636363636364</v>
      </c>
      <c r="D14" s="301">
        <f t="shared" ref="D14:G14" si="42">D13/D10</f>
        <v>0.15066469719350073</v>
      </c>
      <c r="E14" s="301">
        <f t="shared" si="42"/>
        <v>0.13778409090909091</v>
      </c>
      <c r="F14" s="301">
        <f t="shared" si="42"/>
        <v>0.15006305170239598</v>
      </c>
      <c r="G14" s="299">
        <f t="shared" si="42"/>
        <v>0.15031757233592097</v>
      </c>
      <c r="H14" s="301">
        <f>H13/H10</f>
        <v>0.13973799126637554</v>
      </c>
      <c r="I14" s="301">
        <f t="shared" ref="I14" si="43">I13/I10</f>
        <v>0.14516129032258066</v>
      </c>
      <c r="J14" s="301">
        <f t="shared" ref="J14" si="44">J13/J10</f>
        <v>0.14285714285714285</v>
      </c>
      <c r="K14" s="301">
        <f t="shared" ref="K14" si="45">K13/K10</f>
        <v>0.16031537450722733</v>
      </c>
      <c r="L14" s="299">
        <f t="shared" ref="L14" si="46">L13/L10</f>
        <v>0.14734982332155477</v>
      </c>
      <c r="M14" s="301">
        <f>M13/M10</f>
        <v>0.14556962025316456</v>
      </c>
      <c r="N14" s="301">
        <f t="shared" ref="N14" si="47">N13/N10</f>
        <v>0.20083682008368201</v>
      </c>
      <c r="O14" s="301">
        <f t="shared" ref="O14" si="48">O13/O10</f>
        <v>0.2445859872611465</v>
      </c>
      <c r="P14" s="301">
        <f t="shared" ref="P14" si="49">P13/P10</f>
        <v>0.28497409326424872</v>
      </c>
      <c r="Q14" s="299">
        <f t="shared" ref="Q14" si="50">Q13/Q10</f>
        <v>0.22684737011939335</v>
      </c>
      <c r="R14" s="301">
        <f>R13/R10</f>
        <v>0.25388601036269431</v>
      </c>
      <c r="S14" s="301">
        <f t="shared" ref="S14" si="51">S13/S10</f>
        <v>0.25441696113074203</v>
      </c>
      <c r="T14" s="301">
        <f t="shared" ref="T14" si="52">T13/T10</f>
        <v>0.25483503981797495</v>
      </c>
      <c r="U14" s="304">
        <v>0.25</v>
      </c>
      <c r="V14" s="299">
        <f t="shared" ref="V14" si="53">V13/V10</f>
        <v>0.25310477013970351</v>
      </c>
      <c r="W14" s="304">
        <v>0.25</v>
      </c>
      <c r="X14" s="304">
        <v>0.25</v>
      </c>
      <c r="Y14" s="304">
        <v>0.25</v>
      </c>
      <c r="Z14" s="304">
        <v>0.25</v>
      </c>
      <c r="AA14" s="299">
        <f t="shared" ref="AA14" si="54">AA13/AA10</f>
        <v>0.25</v>
      </c>
      <c r="AB14" s="304">
        <v>0.25</v>
      </c>
      <c r="AC14" s="304">
        <v>0.25</v>
      </c>
      <c r="AD14" s="305">
        <v>0.25</v>
      </c>
    </row>
    <row r="15" spans="1:30" s="279" customFormat="1" x14ac:dyDescent="0.25">
      <c r="A15" s="280"/>
      <c r="B15" s="280" t="s">
        <v>52</v>
      </c>
      <c r="C15" s="280">
        <f>84+24+151+2</f>
        <v>261</v>
      </c>
      <c r="D15" s="280">
        <f>89+14+163+16</f>
        <v>282</v>
      </c>
      <c r="E15" s="280">
        <f>96+15+166+26</f>
        <v>303</v>
      </c>
      <c r="F15" s="280">
        <f>121+16+204+23</f>
        <v>364</v>
      </c>
      <c r="G15" s="281">
        <f t="shared" si="6"/>
        <v>1210</v>
      </c>
      <c r="H15" s="280">
        <f>89+26+164+1</f>
        <v>280</v>
      </c>
      <c r="I15" s="280">
        <f>90+16+150+1</f>
        <v>257</v>
      </c>
      <c r="J15" s="280">
        <f>86+15+156-1</f>
        <v>256</v>
      </c>
      <c r="K15" s="282">
        <f>118+15+178-1</f>
        <v>310</v>
      </c>
      <c r="L15" s="281">
        <f t="shared" si="7"/>
        <v>1103</v>
      </c>
      <c r="M15" s="280">
        <f>83+17+129-2</f>
        <v>227</v>
      </c>
      <c r="N15" s="280">
        <f>84+9+147-1</f>
        <v>239</v>
      </c>
      <c r="O15" s="280">
        <f>86+20+148</f>
        <v>254</v>
      </c>
      <c r="P15" s="282">
        <f>110+17+186</f>
        <v>313</v>
      </c>
      <c r="Q15" s="281">
        <f t="shared" si="8"/>
        <v>1033</v>
      </c>
      <c r="R15" s="280">
        <f>80+16+149</f>
        <v>245</v>
      </c>
      <c r="S15" s="280">
        <f>86+20+162</f>
        <v>268</v>
      </c>
      <c r="T15" s="280">
        <f>88+15+160</f>
        <v>263</v>
      </c>
      <c r="U15" s="280">
        <f>U16*U10</f>
        <v>312.88061644238695</v>
      </c>
      <c r="V15" s="281">
        <f t="shared" si="9"/>
        <v>1088.880616442387</v>
      </c>
      <c r="W15" s="280">
        <f t="shared" ref="W15:Z15" si="55">W16*W10</f>
        <v>257.30759999999998</v>
      </c>
      <c r="X15" s="280">
        <f t="shared" si="55"/>
        <v>280.42469999999997</v>
      </c>
      <c r="Y15" s="280">
        <f t="shared" si="55"/>
        <v>289.27890000000002</v>
      </c>
      <c r="Z15" s="280">
        <f t="shared" si="55"/>
        <v>338.22394637422025</v>
      </c>
      <c r="AA15" s="281">
        <f t="shared" si="38"/>
        <v>1165.2351463742202</v>
      </c>
      <c r="AB15" s="280">
        <f t="shared" ref="AB15" si="56">AB16*AB10</f>
        <v>1270.1063095479003</v>
      </c>
      <c r="AC15" s="280">
        <f t="shared" ref="AC15" si="57">AC16*AC10</f>
        <v>1371.7148143117327</v>
      </c>
      <c r="AD15" s="282">
        <f t="shared" ref="AD15" si="58">AD16*AD10</f>
        <v>1467.7348513135541</v>
      </c>
    </row>
    <row r="16" spans="1:30" s="300" customFormat="1" x14ac:dyDescent="0.25">
      <c r="B16" s="301" t="s">
        <v>217</v>
      </c>
      <c r="C16" s="301">
        <f>C15/C10</f>
        <v>0.39545454545454545</v>
      </c>
      <c r="D16" s="301">
        <f t="shared" ref="D16:G16" si="59">D15/D10</f>
        <v>0.41654357459379615</v>
      </c>
      <c r="E16" s="301">
        <f t="shared" si="59"/>
        <v>0.43039772727272729</v>
      </c>
      <c r="F16" s="301">
        <f t="shared" si="59"/>
        <v>0.45901639344262296</v>
      </c>
      <c r="G16" s="299">
        <f t="shared" si="59"/>
        <v>0.42695836273817928</v>
      </c>
      <c r="H16" s="301">
        <f>H15/H10</f>
        <v>0.40756914119359533</v>
      </c>
      <c r="I16" s="301">
        <f t="shared" ref="I16" si="60">I15/I10</f>
        <v>0.37683284457478006</v>
      </c>
      <c r="J16" s="301">
        <f t="shared" ref="J16" si="61">J15/J10</f>
        <v>0.36571428571428571</v>
      </c>
      <c r="K16" s="301">
        <f t="shared" ref="K16" si="62">K15/K10</f>
        <v>0.40735873850197107</v>
      </c>
      <c r="L16" s="299">
        <f t="shared" ref="L16" si="63">L15/L10</f>
        <v>0.38975265017667843</v>
      </c>
      <c r="M16" s="301">
        <f>M15/M10</f>
        <v>0.35917721518987344</v>
      </c>
      <c r="N16" s="301">
        <f t="shared" ref="N16" si="64">N15/N10</f>
        <v>0.33333333333333331</v>
      </c>
      <c r="O16" s="301">
        <f t="shared" ref="O16" si="65">O15/O10</f>
        <v>0.3235668789808917</v>
      </c>
      <c r="P16" s="301">
        <f t="shared" ref="P16" si="66">P15/P10</f>
        <v>0.32435233160621763</v>
      </c>
      <c r="Q16" s="299">
        <f t="shared" ref="Q16" si="67">Q15/Q10</f>
        <v>0.33333333333333331</v>
      </c>
      <c r="R16" s="301">
        <f>R15/R10</f>
        <v>0.31735751295336789</v>
      </c>
      <c r="S16" s="301">
        <f t="shared" ref="S16" si="68">S15/S10</f>
        <v>0.31566548881036516</v>
      </c>
      <c r="T16" s="301">
        <f t="shared" ref="T16" si="69">T15/T10</f>
        <v>0.2992036405005688</v>
      </c>
      <c r="U16" s="304">
        <v>0.3</v>
      </c>
      <c r="V16" s="299">
        <f t="shared" ref="V16" si="70">V15/V10</f>
        <v>0.30733854760293561</v>
      </c>
      <c r="W16" s="304">
        <v>0.3</v>
      </c>
      <c r="X16" s="304">
        <v>0.3</v>
      </c>
      <c r="Y16" s="304">
        <v>0.3</v>
      </c>
      <c r="Z16" s="304">
        <v>0.3</v>
      </c>
      <c r="AA16" s="299">
        <f t="shared" ref="AA16" si="71">AA15/AA10</f>
        <v>0.29999999999999993</v>
      </c>
      <c r="AB16" s="304">
        <v>0.3</v>
      </c>
      <c r="AC16" s="304">
        <v>0.3</v>
      </c>
      <c r="AD16" s="305">
        <v>0.3</v>
      </c>
    </row>
    <row r="17" spans="1:30" s="289" customFormat="1" x14ac:dyDescent="0.25">
      <c r="A17" s="284" t="s">
        <v>192</v>
      </c>
      <c r="B17" s="284"/>
      <c r="C17" s="284">
        <f>C10-SUM(C13:C15)</f>
        <v>290.83636363636367</v>
      </c>
      <c r="D17" s="284">
        <f>D10-SUM(D13:D15)</f>
        <v>292.84933530280648</v>
      </c>
      <c r="E17" s="284">
        <f>E10-SUM(E13:E15)</f>
        <v>303.86221590909088</v>
      </c>
      <c r="F17" s="284">
        <f>F10-SUM(F13:F15)</f>
        <v>309.84993694829762</v>
      </c>
      <c r="G17" s="285">
        <f>G10-SUM(G13:G15)</f>
        <v>1197.849682427664</v>
      </c>
      <c r="H17" s="284">
        <f>H10-SUM(H13:H15)</f>
        <v>310.86026200873363</v>
      </c>
      <c r="I17" s="284">
        <f>I10-SUM(I13:I15)</f>
        <v>325.85483870967744</v>
      </c>
      <c r="J17" s="284">
        <f>J10-SUM(J13:J15)</f>
        <v>343.85714285714289</v>
      </c>
      <c r="K17" s="286">
        <f>K10-SUM(K13:K15)</f>
        <v>328.83968462549279</v>
      </c>
      <c r="L17" s="285">
        <f>L10-SUM(L13:L15)</f>
        <v>1309.8526501766785</v>
      </c>
      <c r="M17" s="284">
        <f>M10-SUM(M13:M15)</f>
        <v>312.85443037974682</v>
      </c>
      <c r="N17" s="284">
        <f>N10-SUM(N13:N15)</f>
        <v>333.79916317991632</v>
      </c>
      <c r="O17" s="284">
        <f>O10-SUM(O13:O15)</f>
        <v>338.75541401273881</v>
      </c>
      <c r="P17" s="286">
        <f>P10-SUM(P13:P15)</f>
        <v>376.71502590673572</v>
      </c>
      <c r="Q17" s="285">
        <f>Q10-SUM(Q13:Q15)</f>
        <v>1362.7731526298808</v>
      </c>
      <c r="R17" s="284">
        <f>R10-SUM(R13:R15)</f>
        <v>330.74611398963731</v>
      </c>
      <c r="S17" s="284">
        <f>S10-SUM(S13:S15)</f>
        <v>364.74558303886926</v>
      </c>
      <c r="T17" s="284">
        <f>T10-SUM(T13:T15)</f>
        <v>391.74516496018202</v>
      </c>
      <c r="U17" s="284">
        <f>U10-SUM(U13:U15)</f>
        <v>469.0709246635804</v>
      </c>
      <c r="V17" s="285">
        <f>V10-SUM(V13:V15)</f>
        <v>1557.0678198934406</v>
      </c>
      <c r="W17" s="284">
        <f t="shared" ref="W17:Z17" si="72">W10-SUM(W13:W15)</f>
        <v>385.71140000000003</v>
      </c>
      <c r="X17" s="284">
        <f t="shared" si="72"/>
        <v>420.38705000000004</v>
      </c>
      <c r="Y17" s="284">
        <f t="shared" si="72"/>
        <v>433.66835000000003</v>
      </c>
      <c r="Z17" s="284">
        <f t="shared" si="72"/>
        <v>507.08591956133046</v>
      </c>
      <c r="AA17" s="285">
        <f>AA10-SUM(AA13:AA15)</f>
        <v>1747.6027195613306</v>
      </c>
      <c r="AB17" s="284">
        <f t="shared" ref="AB17:AD17" si="73">AB10-SUM(AB13:AB15)</f>
        <v>1904.9094643218505</v>
      </c>
      <c r="AC17" s="284">
        <f t="shared" si="73"/>
        <v>2057.3222214675989</v>
      </c>
      <c r="AD17" s="286">
        <f t="shared" si="73"/>
        <v>2201.3522769703313</v>
      </c>
    </row>
    <row r="18" spans="1:30" s="300" customFormat="1" x14ac:dyDescent="0.25">
      <c r="B18" s="301" t="s">
        <v>217</v>
      </c>
      <c r="C18" s="301">
        <f>C17/C10</f>
        <v>0.44066115702479342</v>
      </c>
      <c r="D18" s="301">
        <f t="shared" ref="D18:G18" si="74">D17/D10</f>
        <v>0.43256918065407163</v>
      </c>
      <c r="E18" s="301">
        <f t="shared" si="74"/>
        <v>0.43162246577995861</v>
      </c>
      <c r="F18" s="301">
        <f t="shared" si="74"/>
        <v>0.39073132023744972</v>
      </c>
      <c r="G18" s="299">
        <f t="shared" si="74"/>
        <v>0.42267102414525898</v>
      </c>
      <c r="H18" s="301">
        <f>H17/H10</f>
        <v>0.45248946435041287</v>
      </c>
      <c r="I18" s="301">
        <f t="shared" ref="I18" si="75">I17/I10</f>
        <v>0.47779301863589069</v>
      </c>
      <c r="J18" s="301">
        <f t="shared" ref="J18" si="76">J17/J10</f>
        <v>0.49122448979591843</v>
      </c>
      <c r="K18" s="301">
        <f t="shared" ref="K18" si="77">K17/K10</f>
        <v>0.43211522289815085</v>
      </c>
      <c r="L18" s="299">
        <f t="shared" ref="L18" si="78">L17/L10</f>
        <v>0.46284545942638816</v>
      </c>
      <c r="M18" s="301">
        <f>M17/M10</f>
        <v>0.49502283287934623</v>
      </c>
      <c r="N18" s="301">
        <f t="shared" ref="N18" si="79">N17/N10</f>
        <v>0.46554973944200323</v>
      </c>
      <c r="O18" s="301">
        <f t="shared" ref="O18" si="80">O17/O10</f>
        <v>0.43153555925189657</v>
      </c>
      <c r="P18" s="301">
        <f t="shared" ref="P18" si="81">P17/P10</f>
        <v>0.39037826518832719</v>
      </c>
      <c r="Q18" s="299">
        <f t="shared" ref="Q18" si="82">Q17/Q10</f>
        <v>0.43974609636330453</v>
      </c>
      <c r="R18" s="301">
        <f>R17/R10</f>
        <v>0.42842760879486697</v>
      </c>
      <c r="S18" s="301">
        <f t="shared" ref="S18" si="83">S17/S10</f>
        <v>0.42961788343800855</v>
      </c>
      <c r="T18" s="301">
        <f t="shared" ref="T18" si="84">T17/T10</f>
        <v>0.44567140496038909</v>
      </c>
      <c r="U18" s="301">
        <f t="shared" ref="U18" si="85">U17/U10</f>
        <v>0.44976029195783107</v>
      </c>
      <c r="V18" s="299">
        <f t="shared" ref="V18" si="86">V17/V10</f>
        <v>0.4394852429725839</v>
      </c>
      <c r="W18" s="301">
        <f>W17/W10</f>
        <v>0.44970852007480544</v>
      </c>
      <c r="X18" s="301">
        <f t="shared" ref="X18" si="87">X17/X10</f>
        <v>0.44973254852372135</v>
      </c>
      <c r="Y18" s="301">
        <f t="shared" ref="Y18" si="88">Y17/Y10</f>
        <v>0.44974073463360104</v>
      </c>
      <c r="Z18" s="301">
        <f t="shared" ref="Z18" si="89">Z17/Z10</f>
        <v>0.44977825343000105</v>
      </c>
      <c r="AA18" s="299">
        <f t="shared" ref="AA18" si="90">AA17/AA10</f>
        <v>0.44993563530911901</v>
      </c>
      <c r="AB18" s="301">
        <f t="shared" ref="AB18" si="91">AB17/AB10</f>
        <v>0.44994094982487981</v>
      </c>
      <c r="AC18" s="301">
        <f t="shared" ref="AC18" si="92">AC17/AC10</f>
        <v>0.44994532391192577</v>
      </c>
      <c r="AD18" s="303">
        <f t="shared" ref="AD18" si="93">AD17/AD10</f>
        <v>0.44994890085226713</v>
      </c>
    </row>
    <row r="19" spans="1:30" s="273" customFormat="1" x14ac:dyDescent="0.25">
      <c r="A19" s="309" t="s">
        <v>214</v>
      </c>
      <c r="B19" s="309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8"/>
      <c r="Y19" s="308"/>
      <c r="Z19" s="308"/>
      <c r="AA19" s="308"/>
      <c r="AB19" s="308"/>
      <c r="AC19" s="308"/>
      <c r="AD19" s="308"/>
    </row>
    <row r="20" spans="1:30" s="279" customFormat="1" x14ac:dyDescent="0.25">
      <c r="A20" s="276"/>
      <c r="B20" s="276" t="s">
        <v>188</v>
      </c>
      <c r="C20" s="276">
        <v>214</v>
      </c>
      <c r="D20" s="276">
        <v>243</v>
      </c>
      <c r="E20" s="276">
        <v>234</v>
      </c>
      <c r="F20" s="276">
        <v>311</v>
      </c>
      <c r="G20" s="277">
        <f>SUM(C20:F20)</f>
        <v>1002</v>
      </c>
      <c r="H20" s="276">
        <v>229</v>
      </c>
      <c r="I20" s="276">
        <v>253</v>
      </c>
      <c r="J20" s="276">
        <v>256</v>
      </c>
      <c r="K20" s="278">
        <v>331</v>
      </c>
      <c r="L20" s="277">
        <f>SUM(H20:K20)</f>
        <v>1069</v>
      </c>
      <c r="M20" s="276">
        <v>240</v>
      </c>
      <c r="N20" s="276">
        <v>268</v>
      </c>
      <c r="O20" s="276">
        <v>267</v>
      </c>
      <c r="P20" s="278">
        <v>380</v>
      </c>
      <c r="Q20" s="277">
        <f>SUM(M20:P20)</f>
        <v>1155</v>
      </c>
      <c r="R20" s="276">
        <v>263</v>
      </c>
      <c r="S20" s="276">
        <v>287</v>
      </c>
      <c r="T20" s="276">
        <v>298</v>
      </c>
      <c r="U20" s="276"/>
      <c r="V20" s="277">
        <f>SUM(R20:U20)</f>
        <v>848</v>
      </c>
      <c r="W20" s="276"/>
      <c r="X20" s="276"/>
      <c r="Y20" s="276"/>
      <c r="Z20" s="276"/>
      <c r="AA20" s="277">
        <f>SUM(W20:Z20)</f>
        <v>0</v>
      </c>
      <c r="AB20" s="276"/>
      <c r="AC20" s="276"/>
      <c r="AD20" s="278"/>
    </row>
    <row r="21" spans="1:30" s="279" customFormat="1" x14ac:dyDescent="0.25">
      <c r="A21" s="283"/>
      <c r="B21" s="283" t="s">
        <v>216</v>
      </c>
      <c r="C21" s="297" t="s">
        <v>218</v>
      </c>
      <c r="D21" s="297" t="s">
        <v>218</v>
      </c>
      <c r="E21" s="297" t="s">
        <v>218</v>
      </c>
      <c r="F21" s="297" t="s">
        <v>218</v>
      </c>
      <c r="G21" s="298" t="s">
        <v>218</v>
      </c>
      <c r="H21" s="296">
        <f>H20/C20-1</f>
        <v>7.0093457943925186E-2</v>
      </c>
      <c r="I21" s="296">
        <f t="shared" ref="I21" si="94">I20/D20-1</f>
        <v>4.1152263374485631E-2</v>
      </c>
      <c r="J21" s="296">
        <f t="shared" ref="J21" si="95">J20/E20-1</f>
        <v>9.4017094017094127E-2</v>
      </c>
      <c r="K21" s="296">
        <f t="shared" ref="K21" si="96">K20/F20-1</f>
        <v>6.4308681672025747E-2</v>
      </c>
      <c r="L21" s="299">
        <f>L20/G20-1</f>
        <v>6.6866267465069962E-2</v>
      </c>
      <c r="M21" s="296">
        <f>M20/H20-1</f>
        <v>4.8034934497816595E-2</v>
      </c>
      <c r="N21" s="296">
        <f t="shared" ref="N21" si="97">N20/I20-1</f>
        <v>5.9288537549407216E-2</v>
      </c>
      <c r="O21" s="296">
        <f t="shared" ref="O21" si="98">O20/J20-1</f>
        <v>4.296875E-2</v>
      </c>
      <c r="P21" s="296">
        <f t="shared" ref="P21" si="99">P20/K20-1</f>
        <v>0.14803625377643503</v>
      </c>
      <c r="Q21" s="299">
        <f>Q20/L20-1</f>
        <v>8.0449017773620124E-2</v>
      </c>
      <c r="R21" s="296">
        <f>R20/M20-1</f>
        <v>9.5833333333333437E-2</v>
      </c>
      <c r="S21" s="296">
        <f t="shared" ref="S21" si="100">S20/N20-1</f>
        <v>7.0895522388059629E-2</v>
      </c>
      <c r="T21" s="296">
        <f t="shared" ref="T21" si="101">T20/O20-1</f>
        <v>0.11610486891385774</v>
      </c>
      <c r="U21" s="296"/>
      <c r="V21" s="299">
        <f>V20/Q20-1</f>
        <v>-0.26580086580086582</v>
      </c>
      <c r="W21" s="283"/>
      <c r="X21" s="283"/>
      <c r="Y21" s="283"/>
      <c r="Z21" s="283"/>
      <c r="AA21" s="299">
        <f>AA20/V20-1</f>
        <v>-1</v>
      </c>
      <c r="AB21" s="283"/>
      <c r="AC21" s="283"/>
      <c r="AD21" s="282"/>
    </row>
    <row r="22" spans="1:30" s="279" customFormat="1" x14ac:dyDescent="0.25">
      <c r="A22" s="280"/>
      <c r="B22" s="280" t="s">
        <v>189</v>
      </c>
      <c r="C22" s="280">
        <v>179</v>
      </c>
      <c r="D22" s="280">
        <v>199</v>
      </c>
      <c r="E22" s="280">
        <v>196</v>
      </c>
      <c r="F22" s="280">
        <v>263</v>
      </c>
      <c r="G22" s="281">
        <f t="shared" ref="G22:G31" si="102">SUM(C22:F22)</f>
        <v>837</v>
      </c>
      <c r="H22" s="280">
        <v>201</v>
      </c>
      <c r="I22" s="280">
        <v>218</v>
      </c>
      <c r="J22" s="280">
        <v>218</v>
      </c>
      <c r="K22" s="282">
        <v>281</v>
      </c>
      <c r="L22" s="281">
        <f t="shared" ref="L22:L31" si="103">SUM(H22:K22)</f>
        <v>918</v>
      </c>
      <c r="M22" s="280">
        <v>210</v>
      </c>
      <c r="N22" s="280">
        <v>234</v>
      </c>
      <c r="O22" s="280">
        <v>234</v>
      </c>
      <c r="P22" s="282">
        <v>319</v>
      </c>
      <c r="Q22" s="281">
        <f t="shared" ref="Q22:Q31" si="104">SUM(M22:P22)</f>
        <v>997</v>
      </c>
      <c r="R22" s="280">
        <v>234</v>
      </c>
      <c r="S22" s="280">
        <v>248</v>
      </c>
      <c r="T22" s="280">
        <v>254</v>
      </c>
      <c r="U22" s="280"/>
      <c r="V22" s="281">
        <f t="shared" ref="V22:V31" si="105">SUM(R22:U22)</f>
        <v>736</v>
      </c>
      <c r="W22" s="280"/>
      <c r="X22" s="280"/>
      <c r="Y22" s="280"/>
      <c r="Z22" s="280"/>
      <c r="AA22" s="281">
        <f t="shared" ref="AA22:AA31" si="106">SUM(W22:Z22)</f>
        <v>0</v>
      </c>
      <c r="AB22" s="283"/>
      <c r="AC22" s="280"/>
      <c r="AD22" s="282"/>
    </row>
    <row r="23" spans="1:30" s="279" customFormat="1" x14ac:dyDescent="0.25">
      <c r="A23" s="280"/>
      <c r="B23" s="280" t="s">
        <v>216</v>
      </c>
      <c r="C23" s="297" t="s">
        <v>218</v>
      </c>
      <c r="D23" s="297" t="s">
        <v>218</v>
      </c>
      <c r="E23" s="297" t="s">
        <v>218</v>
      </c>
      <c r="F23" s="297" t="s">
        <v>218</v>
      </c>
      <c r="G23" s="298" t="s">
        <v>218</v>
      </c>
      <c r="H23" s="296">
        <f>H22/C22-1</f>
        <v>0.12290502793296088</v>
      </c>
      <c r="I23" s="296">
        <f t="shared" ref="I23" si="107">I22/D22-1</f>
        <v>9.5477386934673447E-2</v>
      </c>
      <c r="J23" s="296">
        <f t="shared" ref="J23" si="108">J22/E22-1</f>
        <v>0.11224489795918369</v>
      </c>
      <c r="K23" s="296">
        <f t="shared" ref="K23" si="109">K22/F22-1</f>
        <v>6.8441064638783189E-2</v>
      </c>
      <c r="L23" s="299">
        <f>L22/G22-1</f>
        <v>9.6774193548387011E-2</v>
      </c>
      <c r="M23" s="296">
        <f>M22/H22-1</f>
        <v>4.4776119402984982E-2</v>
      </c>
      <c r="N23" s="296">
        <f t="shared" ref="N23" si="110">N22/I22-1</f>
        <v>7.3394495412844041E-2</v>
      </c>
      <c r="O23" s="296">
        <f t="shared" ref="O23" si="111">O22/J22-1</f>
        <v>7.3394495412844041E-2</v>
      </c>
      <c r="P23" s="296">
        <f t="shared" ref="P23" si="112">P22/K22-1</f>
        <v>0.13523131672597866</v>
      </c>
      <c r="Q23" s="299">
        <f>Q22/L22-1</f>
        <v>8.6056644880174282E-2</v>
      </c>
      <c r="R23" s="296">
        <f>R22/M22-1</f>
        <v>0.11428571428571432</v>
      </c>
      <c r="S23" s="296">
        <f t="shared" ref="S23" si="113">S22/N22-1</f>
        <v>5.9829059829059839E-2</v>
      </c>
      <c r="T23" s="296">
        <f t="shared" ref="T23" si="114">T22/O22-1</f>
        <v>8.5470085470085388E-2</v>
      </c>
      <c r="U23" s="296"/>
      <c r="V23" s="299">
        <f>V22/Q22-1</f>
        <v>-0.26178535606820463</v>
      </c>
      <c r="W23" s="280"/>
      <c r="X23" s="280"/>
      <c r="Y23" s="280"/>
      <c r="Z23" s="280"/>
      <c r="AA23" s="299">
        <f>AA22/V22-1</f>
        <v>-1</v>
      </c>
      <c r="AB23" s="283"/>
      <c r="AC23" s="280"/>
      <c r="AD23" s="282"/>
    </row>
    <row r="24" spans="1:30" s="279" customFormat="1" x14ac:dyDescent="0.25">
      <c r="A24" s="280"/>
      <c r="B24" s="280" t="s">
        <v>190</v>
      </c>
      <c r="C24" s="280">
        <v>124</v>
      </c>
      <c r="D24" s="280">
        <v>144</v>
      </c>
      <c r="E24" s="280">
        <v>138</v>
      </c>
      <c r="F24" s="280">
        <v>192</v>
      </c>
      <c r="G24" s="281">
        <f t="shared" si="102"/>
        <v>598</v>
      </c>
      <c r="H24" s="280">
        <v>142</v>
      </c>
      <c r="I24" s="280">
        <v>150</v>
      </c>
      <c r="J24" s="280">
        <v>155</v>
      </c>
      <c r="K24" s="282">
        <v>207</v>
      </c>
      <c r="L24" s="281">
        <f t="shared" si="103"/>
        <v>654</v>
      </c>
      <c r="M24" s="280">
        <v>148</v>
      </c>
      <c r="N24" s="280">
        <v>164</v>
      </c>
      <c r="O24" s="280">
        <v>165</v>
      </c>
      <c r="P24" s="282">
        <v>231</v>
      </c>
      <c r="Q24" s="281">
        <f t="shared" si="104"/>
        <v>708</v>
      </c>
      <c r="R24" s="280">
        <v>160</v>
      </c>
      <c r="S24" s="280">
        <v>176</v>
      </c>
      <c r="T24" s="280">
        <v>178</v>
      </c>
      <c r="U24" s="280"/>
      <c r="V24" s="281">
        <f t="shared" si="105"/>
        <v>514</v>
      </c>
      <c r="W24" s="280"/>
      <c r="X24" s="280"/>
      <c r="Y24" s="280"/>
      <c r="Z24" s="280"/>
      <c r="AA24" s="281">
        <f t="shared" si="106"/>
        <v>0</v>
      </c>
      <c r="AB24" s="283"/>
      <c r="AC24" s="280"/>
      <c r="AD24" s="282"/>
    </row>
    <row r="25" spans="1:30" s="279" customFormat="1" x14ac:dyDescent="0.25">
      <c r="A25" s="280"/>
      <c r="B25" s="280" t="s">
        <v>216</v>
      </c>
      <c r="C25" s="297" t="s">
        <v>218</v>
      </c>
      <c r="D25" s="297" t="s">
        <v>218</v>
      </c>
      <c r="E25" s="297" t="s">
        <v>218</v>
      </c>
      <c r="F25" s="297" t="s">
        <v>218</v>
      </c>
      <c r="G25" s="298" t="s">
        <v>218</v>
      </c>
      <c r="H25" s="296">
        <f>H24/C24-1</f>
        <v>0.14516129032258074</v>
      </c>
      <c r="I25" s="296">
        <f t="shared" ref="I25" si="115">I24/D24-1</f>
        <v>4.1666666666666741E-2</v>
      </c>
      <c r="J25" s="296">
        <f t="shared" ref="J25" si="116">J24/E24-1</f>
        <v>0.12318840579710155</v>
      </c>
      <c r="K25" s="296">
        <f t="shared" ref="K25" si="117">K24/F24-1</f>
        <v>7.8125E-2</v>
      </c>
      <c r="L25" s="299">
        <f>L24/G24-1</f>
        <v>9.3645484949832714E-2</v>
      </c>
      <c r="M25" s="296">
        <f>M24/H24-1</f>
        <v>4.2253521126760507E-2</v>
      </c>
      <c r="N25" s="296">
        <f t="shared" ref="N25" si="118">N24/I24-1</f>
        <v>9.3333333333333268E-2</v>
      </c>
      <c r="O25" s="296">
        <f t="shared" ref="O25" si="119">O24/J24-1</f>
        <v>6.4516129032258007E-2</v>
      </c>
      <c r="P25" s="296">
        <f t="shared" ref="P25" si="120">P24/K24-1</f>
        <v>0.11594202898550732</v>
      </c>
      <c r="Q25" s="299">
        <f>Q24/L24-1</f>
        <v>8.256880733944949E-2</v>
      </c>
      <c r="R25" s="296">
        <f>R24/M24-1</f>
        <v>8.1081081081081141E-2</v>
      </c>
      <c r="S25" s="296">
        <f t="shared" ref="S25" si="121">S24/N24-1</f>
        <v>7.3170731707317138E-2</v>
      </c>
      <c r="T25" s="296">
        <f t="shared" ref="T25" si="122">T24/O24-1</f>
        <v>7.8787878787878851E-2</v>
      </c>
      <c r="U25" s="296"/>
      <c r="V25" s="299">
        <f>V24/Q24-1</f>
        <v>-0.27401129943502822</v>
      </c>
      <c r="W25" s="280"/>
      <c r="X25" s="280"/>
      <c r="Y25" s="280"/>
      <c r="Z25" s="280"/>
      <c r="AA25" s="299">
        <f>AA24/V24-1</f>
        <v>-1</v>
      </c>
      <c r="AB25" s="283"/>
      <c r="AC25" s="280"/>
      <c r="AD25" s="282"/>
    </row>
    <row r="26" spans="1:30" s="279" customFormat="1" x14ac:dyDescent="0.25">
      <c r="A26" s="284" t="s">
        <v>191</v>
      </c>
      <c r="B26" s="280"/>
      <c r="C26" s="284">
        <f>SUM(C20:C24)</f>
        <v>517</v>
      </c>
      <c r="D26" s="284">
        <f t="shared" ref="D26:T26" si="123">SUM(D24,D22,D20)</f>
        <v>586</v>
      </c>
      <c r="E26" s="284">
        <f t="shared" si="123"/>
        <v>568</v>
      </c>
      <c r="F26" s="284">
        <f t="shared" si="123"/>
        <v>766</v>
      </c>
      <c r="G26" s="285">
        <f t="shared" si="123"/>
        <v>2437</v>
      </c>
      <c r="H26" s="284">
        <f t="shared" si="123"/>
        <v>572</v>
      </c>
      <c r="I26" s="284">
        <f t="shared" si="123"/>
        <v>621</v>
      </c>
      <c r="J26" s="284">
        <f t="shared" si="123"/>
        <v>629</v>
      </c>
      <c r="K26" s="286">
        <f t="shared" si="123"/>
        <v>819</v>
      </c>
      <c r="L26" s="285">
        <f t="shared" si="123"/>
        <v>2641</v>
      </c>
      <c r="M26" s="284">
        <f t="shared" si="123"/>
        <v>598</v>
      </c>
      <c r="N26" s="284">
        <f t="shared" si="123"/>
        <v>666</v>
      </c>
      <c r="O26" s="284">
        <f t="shared" si="123"/>
        <v>666</v>
      </c>
      <c r="P26" s="286">
        <f t="shared" si="123"/>
        <v>930</v>
      </c>
      <c r="Q26" s="285">
        <f t="shared" si="123"/>
        <v>2860</v>
      </c>
      <c r="R26" s="284">
        <f t="shared" si="123"/>
        <v>657</v>
      </c>
      <c r="S26" s="284">
        <f t="shared" si="123"/>
        <v>711</v>
      </c>
      <c r="T26" s="284">
        <f t="shared" si="123"/>
        <v>730</v>
      </c>
      <c r="U26" s="284">
        <f>P26*(1+U27)</f>
        <v>1007.5530176740524</v>
      </c>
      <c r="V26" s="285">
        <f>SUM(R26:U26)</f>
        <v>3105.5530176740522</v>
      </c>
      <c r="W26" s="284">
        <f t="shared" ref="W26" si="124">R26*(1+W27)</f>
        <v>729.92700000000002</v>
      </c>
      <c r="X26" s="284">
        <f t="shared" ref="X26" si="125">S26*(1+X27)</f>
        <v>782.81100000000004</v>
      </c>
      <c r="Y26" s="284">
        <f t="shared" ref="Y26" si="126">T26*(1+Y27)</f>
        <v>800.81</v>
      </c>
      <c r="Z26" s="284">
        <f t="shared" ref="Z26" si="127">U26*(1+Z27)</f>
        <v>1089.1648121056505</v>
      </c>
      <c r="AA26" s="285">
        <f>SUM(W26:Z26)</f>
        <v>3402.7128121056503</v>
      </c>
      <c r="AB26" s="287">
        <f>AA26*(1+AB27)</f>
        <v>3742.9840933162154</v>
      </c>
      <c r="AC26" s="288">
        <f t="shared" ref="AC26" si="128">AB26*(1+AC27)</f>
        <v>4079.8526617146749</v>
      </c>
      <c r="AD26" s="286">
        <f t="shared" ref="AD26" si="129">AC26*(1+AD27)</f>
        <v>4406.2408746518495</v>
      </c>
    </row>
    <row r="27" spans="1:30" s="279" customFormat="1" x14ac:dyDescent="0.25">
      <c r="A27" s="284"/>
      <c r="B27" s="280" t="s">
        <v>216</v>
      </c>
      <c r="C27" s="297" t="s">
        <v>218</v>
      </c>
      <c r="D27" s="297" t="s">
        <v>218</v>
      </c>
      <c r="E27" s="297" t="s">
        <v>218</v>
      </c>
      <c r="F27" s="297" t="s">
        <v>218</v>
      </c>
      <c r="G27" s="298" t="s">
        <v>218</v>
      </c>
      <c r="H27" s="296">
        <f>H26/C26-1</f>
        <v>0.1063829787234043</v>
      </c>
      <c r="I27" s="296">
        <f t="shared" ref="I27" si="130">I26/D26-1</f>
        <v>5.9726962457337773E-2</v>
      </c>
      <c r="J27" s="296">
        <f t="shared" ref="J27" si="131">J26/E26-1</f>
        <v>0.10739436619718301</v>
      </c>
      <c r="K27" s="296">
        <f t="shared" ref="K27" si="132">K26/F26-1</f>
        <v>6.9190600522193169E-2</v>
      </c>
      <c r="L27" s="299">
        <f>L26/G26-1</f>
        <v>8.3709478867459941E-2</v>
      </c>
      <c r="M27" s="296">
        <f>M26/H26-1</f>
        <v>4.5454545454545414E-2</v>
      </c>
      <c r="N27" s="296">
        <f t="shared" ref="N27" si="133">N26/I26-1</f>
        <v>7.2463768115942129E-2</v>
      </c>
      <c r="O27" s="296">
        <f t="shared" ref="O27" si="134">O26/J26-1</f>
        <v>5.8823529411764719E-2</v>
      </c>
      <c r="P27" s="296">
        <f t="shared" ref="P27" si="135">P26/K26-1</f>
        <v>0.13553113553113549</v>
      </c>
      <c r="Q27" s="299">
        <f>Q26/L26-1</f>
        <v>8.2923135176069751E-2</v>
      </c>
      <c r="R27" s="296">
        <f>R26/M26-1</f>
        <v>9.8662207357859577E-2</v>
      </c>
      <c r="S27" s="296">
        <f t="shared" ref="S27" si="136">S26/N26-1</f>
        <v>6.7567567567567544E-2</v>
      </c>
      <c r="T27" s="296">
        <f t="shared" ref="T27" si="137">T26/O26-1</f>
        <v>9.6096096096096151E-2</v>
      </c>
      <c r="U27" s="304">
        <f>AVERAGE(R27:T27,M27:P27,H27:K27)</f>
        <v>8.3390341585002664E-2</v>
      </c>
      <c r="V27" s="299">
        <f>V26/Q26-1</f>
        <v>8.5857698487430856E-2</v>
      </c>
      <c r="W27" s="304">
        <v>0.111</v>
      </c>
      <c r="X27" s="304">
        <v>0.10100000000000001</v>
      </c>
      <c r="Y27" s="304">
        <v>9.7000000000000003E-2</v>
      </c>
      <c r="Z27" s="304">
        <v>8.1000000000000003E-2</v>
      </c>
      <c r="AA27" s="299">
        <f>AA26/V26-1</f>
        <v>9.5686595186244894E-2</v>
      </c>
      <c r="AB27" s="304">
        <v>0.1</v>
      </c>
      <c r="AC27" s="304">
        <v>0.09</v>
      </c>
      <c r="AD27" s="305">
        <v>0.08</v>
      </c>
    </row>
    <row r="28" spans="1:30" s="279" customFormat="1" x14ac:dyDescent="0.25">
      <c r="A28" s="284"/>
      <c r="B28" s="280"/>
      <c r="C28" s="284"/>
      <c r="D28" s="284"/>
      <c r="E28" s="284"/>
      <c r="F28" s="284"/>
      <c r="G28" s="285"/>
      <c r="H28" s="284"/>
      <c r="I28" s="284"/>
      <c r="J28" s="284"/>
      <c r="K28" s="286"/>
      <c r="L28" s="285"/>
      <c r="M28" s="284"/>
      <c r="N28" s="284"/>
      <c r="O28" s="284"/>
      <c r="P28" s="286"/>
      <c r="Q28" s="285"/>
      <c r="R28" s="284"/>
      <c r="S28" s="284"/>
      <c r="T28" s="284"/>
      <c r="U28" s="284"/>
      <c r="V28" s="285"/>
      <c r="W28" s="284"/>
      <c r="X28" s="284"/>
      <c r="Y28" s="284"/>
      <c r="Z28" s="284"/>
      <c r="AA28" s="285"/>
      <c r="AB28" s="284"/>
      <c r="AC28" s="284"/>
      <c r="AD28" s="286"/>
    </row>
    <row r="29" spans="1:30" s="279" customFormat="1" x14ac:dyDescent="0.25">
      <c r="A29" s="280"/>
      <c r="B29" s="280" t="s">
        <v>157</v>
      </c>
      <c r="C29" s="280">
        <v>167</v>
      </c>
      <c r="D29" s="280">
        <v>181</v>
      </c>
      <c r="E29" s="280">
        <v>177</v>
      </c>
      <c r="F29" s="280">
        <v>241</v>
      </c>
      <c r="G29" s="281">
        <f t="shared" si="102"/>
        <v>766</v>
      </c>
      <c r="H29" s="280">
        <v>179</v>
      </c>
      <c r="I29" s="280">
        <v>187</v>
      </c>
      <c r="J29" s="280">
        <v>195</v>
      </c>
      <c r="K29" s="282">
        <v>256</v>
      </c>
      <c r="L29" s="281">
        <f t="shared" si="103"/>
        <v>817</v>
      </c>
      <c r="M29" s="280">
        <v>186</v>
      </c>
      <c r="N29" s="280">
        <v>199</v>
      </c>
      <c r="O29" s="280">
        <v>205</v>
      </c>
      <c r="P29" s="282">
        <v>282</v>
      </c>
      <c r="Q29" s="281">
        <f t="shared" si="104"/>
        <v>872</v>
      </c>
      <c r="R29" s="280">
        <v>204</v>
      </c>
      <c r="S29" s="280">
        <v>217</v>
      </c>
      <c r="T29" s="280">
        <v>227</v>
      </c>
      <c r="U29" s="280">
        <f>U26*U30</f>
        <v>311.82577468835012</v>
      </c>
      <c r="V29" s="281">
        <f t="shared" si="105"/>
        <v>959.82577468835007</v>
      </c>
      <c r="W29" s="280">
        <f t="shared" ref="W29:Z29" si="138">W26*W30</f>
        <v>226.3954377795977</v>
      </c>
      <c r="X29" s="280">
        <f t="shared" si="138"/>
        <v>241.48757371102471</v>
      </c>
      <c r="Y29" s="280">
        <f t="shared" si="138"/>
        <v>246.89902606297414</v>
      </c>
      <c r="Z29" s="280">
        <f t="shared" si="138"/>
        <v>335.50924053625926</v>
      </c>
      <c r="AA29" s="281">
        <f t="shared" si="106"/>
        <v>1050.2912780898557</v>
      </c>
      <c r="AB29" s="280">
        <f t="shared" ref="AB29" si="139">AB26*AB30</f>
        <v>1156.3590479974857</v>
      </c>
      <c r="AC29" s="280">
        <f t="shared" ref="AC29" si="140">AC26*AC30</f>
        <v>1256.1710803283545</v>
      </c>
      <c r="AD29" s="282">
        <f t="shared" ref="AD29" si="141">AD26*AD30</f>
        <v>1357.1469620400485</v>
      </c>
    </row>
    <row r="30" spans="1:30" s="300" customFormat="1" x14ac:dyDescent="0.25">
      <c r="B30" s="301" t="s">
        <v>217</v>
      </c>
      <c r="C30" s="301">
        <f>C29/C26</f>
        <v>0.32301740812379109</v>
      </c>
      <c r="D30" s="301">
        <f t="shared" ref="D30" si="142">D29/D26</f>
        <v>0.30887372013651876</v>
      </c>
      <c r="E30" s="301">
        <f t="shared" ref="E30" si="143">E29/E26</f>
        <v>0.31161971830985913</v>
      </c>
      <c r="F30" s="301">
        <f t="shared" ref="F30" si="144">F29/F26</f>
        <v>0.31462140992167104</v>
      </c>
      <c r="G30" s="299">
        <f t="shared" ref="G30" si="145">G29/G26</f>
        <v>0.31432088633565858</v>
      </c>
      <c r="H30" s="301">
        <f>H29/H26</f>
        <v>0.31293706293706292</v>
      </c>
      <c r="I30" s="301">
        <f t="shared" ref="I30" si="146">I29/I26</f>
        <v>0.30112721417069244</v>
      </c>
      <c r="J30" s="301">
        <f t="shared" ref="J30" si="147">J29/J26</f>
        <v>0.31001589825119236</v>
      </c>
      <c r="K30" s="301">
        <f t="shared" ref="K30" si="148">K29/K26</f>
        <v>0.31257631257631258</v>
      </c>
      <c r="L30" s="299">
        <f t="shared" ref="L30" si="149">L29/L26</f>
        <v>0.30935251798561153</v>
      </c>
      <c r="M30" s="301">
        <f>M29/M26</f>
        <v>0.31103678929765888</v>
      </c>
      <c r="N30" s="301">
        <f t="shared" ref="N30" si="150">N29/N26</f>
        <v>0.29879879879879878</v>
      </c>
      <c r="O30" s="301">
        <f t="shared" ref="O30" si="151">O29/O26</f>
        <v>0.30780780780780781</v>
      </c>
      <c r="P30" s="301">
        <f t="shared" ref="P30" si="152">P29/P26</f>
        <v>0.3032258064516129</v>
      </c>
      <c r="Q30" s="299">
        <f t="shared" ref="Q30" si="153">Q29/Q26</f>
        <v>0.30489510489510491</v>
      </c>
      <c r="R30" s="301">
        <f>R29/R26</f>
        <v>0.31050228310502281</v>
      </c>
      <c r="S30" s="301">
        <f t="shared" ref="S30" si="154">S29/S26</f>
        <v>0.30520393811533053</v>
      </c>
      <c r="T30" s="301">
        <f t="shared" ref="T30" si="155">T29/T26</f>
        <v>0.31095890410958904</v>
      </c>
      <c r="U30" s="304">
        <f>AVERAGE(R30:T30,C30:F30,M30:P30,H30:K30)</f>
        <v>0.30948820480752809</v>
      </c>
      <c r="V30" s="299">
        <f t="shared" ref="V30" si="156">V29/V26</f>
        <v>0.30906758610330382</v>
      </c>
      <c r="W30" s="304">
        <f t="shared" ref="W30:Z30" si="157">AVERAGE(T30:V30,E30:H30,O30:R30,J30:M30)</f>
        <v>0.31016175285966635</v>
      </c>
      <c r="X30" s="304">
        <f t="shared" si="157"/>
        <v>0.30848771122406904</v>
      </c>
      <c r="Y30" s="304">
        <f t="shared" si="157"/>
        <v>0.30831161706643795</v>
      </c>
      <c r="Z30" s="304">
        <f t="shared" si="157"/>
        <v>0.30804267343858549</v>
      </c>
      <c r="AA30" s="299">
        <f t="shared" ref="AA30" si="158">AA29/AA26</f>
        <v>0.30866292164101838</v>
      </c>
      <c r="AB30" s="304">
        <f t="shared" ref="AB30" si="159">AVERAGE(Y30:AA30,J30:M30,T30:W30,O30:R30)</f>
        <v>0.30894041202643019</v>
      </c>
      <c r="AC30" s="304">
        <f t="shared" ref="AC30" si="160">AVERAGE(Z30:AB30,K30:N30,U30:X30,P30:S30)</f>
        <v>0.30789618755507037</v>
      </c>
      <c r="AD30" s="305">
        <f t="shared" ref="AD30" si="161">AVERAGE(AA30:AC30,L30:O30,V30:Y30,Q30:T30)</f>
        <v>0.30800562217272809</v>
      </c>
    </row>
    <row r="31" spans="1:30" s="279" customFormat="1" x14ac:dyDescent="0.25">
      <c r="A31" s="280"/>
      <c r="B31" s="280" t="s">
        <v>52</v>
      </c>
      <c r="C31" s="280">
        <f>36+6+123</f>
        <v>165</v>
      </c>
      <c r="D31" s="280">
        <f>39+8+144-1</f>
        <v>190</v>
      </c>
      <c r="E31" s="280">
        <f>41+8+139-1</f>
        <v>187</v>
      </c>
      <c r="F31" s="280">
        <f>75+11+193</f>
        <v>279</v>
      </c>
      <c r="G31" s="281">
        <f t="shared" si="102"/>
        <v>821</v>
      </c>
      <c r="H31" s="280">
        <f>45+5+138+1</f>
        <v>189</v>
      </c>
      <c r="I31" s="280">
        <f>49+9+148</f>
        <v>206</v>
      </c>
      <c r="J31" s="280">
        <f>47+7+153+1</f>
        <v>208</v>
      </c>
      <c r="K31" s="282">
        <f>63+11+205-2</f>
        <v>277</v>
      </c>
      <c r="L31" s="281">
        <f t="shared" si="103"/>
        <v>880</v>
      </c>
      <c r="M31" s="280">
        <f>49+8+147</f>
        <v>204</v>
      </c>
      <c r="N31" s="280">
        <f>47+8+163-1</f>
        <v>217</v>
      </c>
      <c r="O31" s="280">
        <f>41+6+163</f>
        <v>210</v>
      </c>
      <c r="P31" s="282">
        <f>62+11+235</f>
        <v>308</v>
      </c>
      <c r="Q31" s="281">
        <f t="shared" si="104"/>
        <v>939</v>
      </c>
      <c r="R31" s="280">
        <f>49+6+157</f>
        <v>212</v>
      </c>
      <c r="S31" s="280">
        <f>49+7+176</f>
        <v>232</v>
      </c>
      <c r="T31" s="280">
        <f>50+8+177</f>
        <v>235</v>
      </c>
      <c r="U31" s="280">
        <f>U32*U26</f>
        <v>322.4169656556968</v>
      </c>
      <c r="V31" s="281">
        <f t="shared" si="105"/>
        <v>1001.4169656556968</v>
      </c>
      <c r="W31" s="280">
        <f t="shared" ref="W31:Z31" si="162">W32*W26</f>
        <v>233.57664</v>
      </c>
      <c r="X31" s="280">
        <f t="shared" si="162"/>
        <v>250.49952000000002</v>
      </c>
      <c r="Y31" s="280">
        <f t="shared" si="162"/>
        <v>256.25919999999996</v>
      </c>
      <c r="Z31" s="280">
        <f t="shared" si="162"/>
        <v>348.53273987380817</v>
      </c>
      <c r="AA31" s="281">
        <f t="shared" si="106"/>
        <v>1088.8680998738082</v>
      </c>
      <c r="AB31" s="280">
        <f t="shared" ref="AB31" si="163">AB32*AB26</f>
        <v>1197.7549098611889</v>
      </c>
      <c r="AC31" s="280">
        <f t="shared" ref="AC31" si="164">AC32*AC26</f>
        <v>1305.552851748696</v>
      </c>
      <c r="AD31" s="282">
        <f t="shared" ref="AD31" si="165">AD32*AD26</f>
        <v>1409.9970798885918</v>
      </c>
    </row>
    <row r="32" spans="1:30" s="300" customFormat="1" x14ac:dyDescent="0.25">
      <c r="B32" s="301" t="s">
        <v>217</v>
      </c>
      <c r="C32" s="301">
        <f>C31/C26</f>
        <v>0.31914893617021278</v>
      </c>
      <c r="D32" s="301">
        <f t="shared" ref="D32" si="166">D31/D26</f>
        <v>0.32423208191126279</v>
      </c>
      <c r="E32" s="301">
        <f t="shared" ref="E32" si="167">E31/E26</f>
        <v>0.32922535211267606</v>
      </c>
      <c r="F32" s="301">
        <f t="shared" ref="F32" si="168">F31/F26</f>
        <v>0.36422976501305482</v>
      </c>
      <c r="G32" s="299">
        <f t="shared" ref="G32" si="169">G31/G26</f>
        <v>0.33688961838325809</v>
      </c>
      <c r="H32" s="301">
        <f>H31/H26</f>
        <v>0.33041958041958042</v>
      </c>
      <c r="I32" s="301">
        <f t="shared" ref="I32" si="170">I31/I26</f>
        <v>0.33172302737520126</v>
      </c>
      <c r="J32" s="301">
        <f t="shared" ref="J32" si="171">J31/J26</f>
        <v>0.33068362480127184</v>
      </c>
      <c r="K32" s="301">
        <f t="shared" ref="K32" si="172">K31/K26</f>
        <v>0.33821733821733824</v>
      </c>
      <c r="L32" s="299">
        <f t="shared" ref="L32" si="173">L31/L26</f>
        <v>0.33320711851571372</v>
      </c>
      <c r="M32" s="301">
        <f>M31/M26</f>
        <v>0.34113712374581939</v>
      </c>
      <c r="N32" s="301">
        <f t="shared" ref="N32" si="174">N31/N26</f>
        <v>0.32582582582582581</v>
      </c>
      <c r="O32" s="301">
        <f t="shared" ref="O32" si="175">O31/O26</f>
        <v>0.31531531531531531</v>
      </c>
      <c r="P32" s="301">
        <f t="shared" ref="P32" si="176">P31/P26</f>
        <v>0.33118279569892473</v>
      </c>
      <c r="Q32" s="299">
        <f t="shared" ref="Q32" si="177">Q31/Q26</f>
        <v>0.3283216783216783</v>
      </c>
      <c r="R32" s="301">
        <f>R31/R26</f>
        <v>0.32267884322678841</v>
      </c>
      <c r="S32" s="301">
        <f t="shared" ref="S32" si="178">S31/S26</f>
        <v>0.3263009845288326</v>
      </c>
      <c r="T32" s="301">
        <f t="shared" ref="T32" si="179">T31/T26</f>
        <v>0.32191780821917809</v>
      </c>
      <c r="U32" s="304">
        <v>0.32</v>
      </c>
      <c r="V32" s="299">
        <f t="shared" ref="V32" si="180">V31/V26</f>
        <v>0.32246010934494435</v>
      </c>
      <c r="W32" s="304">
        <v>0.32</v>
      </c>
      <c r="X32" s="304">
        <v>0.32</v>
      </c>
      <c r="Y32" s="304">
        <v>0.32</v>
      </c>
      <c r="Z32" s="304">
        <v>0.32</v>
      </c>
      <c r="AA32" s="299">
        <f t="shared" ref="AA32" si="181">AA31/AA26</f>
        <v>0.32</v>
      </c>
      <c r="AB32" s="304">
        <v>0.32</v>
      </c>
      <c r="AC32" s="304">
        <v>0.32</v>
      </c>
      <c r="AD32" s="305">
        <v>0.32</v>
      </c>
    </row>
    <row r="33" spans="1:30" s="279" customFormat="1" x14ac:dyDescent="0.25">
      <c r="A33" s="284" t="s">
        <v>192</v>
      </c>
      <c r="B33" s="280"/>
      <c r="C33" s="284">
        <f t="shared" ref="C33" si="182">C26-SUM(C29:C31)</f>
        <v>184.6769825918762</v>
      </c>
      <c r="D33" s="284">
        <f t="shared" ref="D33" si="183">D26-SUM(D29:D31)</f>
        <v>214.69112627986351</v>
      </c>
      <c r="E33" s="284">
        <f t="shared" ref="E33:G33" si="184">E26-SUM(E29:E31)</f>
        <v>203.68838028169012</v>
      </c>
      <c r="F33" s="284">
        <f t="shared" si="184"/>
        <v>245.68537859007836</v>
      </c>
      <c r="G33" s="285">
        <f t="shared" si="184"/>
        <v>849.68567911366426</v>
      </c>
      <c r="H33" s="284">
        <f t="shared" ref="H33" si="185">H26-SUM(H29:H31)</f>
        <v>203.68706293706293</v>
      </c>
      <c r="I33" s="284">
        <f t="shared" ref="I33" si="186">I26-SUM(I29:I31)</f>
        <v>227.69887278582928</v>
      </c>
      <c r="J33" s="284">
        <f t="shared" ref="J33:L33" si="187">J26-SUM(J29:J31)</f>
        <v>225.68998410174879</v>
      </c>
      <c r="K33" s="286">
        <f t="shared" si="187"/>
        <v>285.68742368742369</v>
      </c>
      <c r="L33" s="285">
        <f t="shared" si="187"/>
        <v>943.69064748201436</v>
      </c>
      <c r="M33" s="284">
        <f t="shared" ref="M33" si="188">M26-SUM(M29:M31)</f>
        <v>207.68896321070235</v>
      </c>
      <c r="N33" s="284">
        <f t="shared" ref="N33" si="189">N26-SUM(N29:N31)</f>
        <v>249.70120120120123</v>
      </c>
      <c r="O33" s="284">
        <f t="shared" ref="O33" si="190">O26-SUM(O29:O31)</f>
        <v>250.69219219219218</v>
      </c>
      <c r="P33" s="286">
        <f t="shared" ref="P33:Q33" si="191">P26-SUM(P29:P31)</f>
        <v>339.69677419354844</v>
      </c>
      <c r="Q33" s="285">
        <f t="shared" si="191"/>
        <v>1048.695104895105</v>
      </c>
      <c r="R33" s="284">
        <f t="shared" ref="R33" si="192">R26-SUM(R29:R31)</f>
        <v>240.68949771689495</v>
      </c>
      <c r="S33" s="284">
        <f t="shared" ref="S33" si="193">S26-SUM(S29:S31)</f>
        <v>261.69479606188463</v>
      </c>
      <c r="T33" s="284">
        <f>T26-SUM(T29:T31)</f>
        <v>267.68904109589039</v>
      </c>
      <c r="U33" s="284">
        <f>U26-SUM(U29:U31)</f>
        <v>373.00078912519803</v>
      </c>
      <c r="V33" s="285">
        <f t="shared" ref="V33:AA33" si="194">V26-SUM(V29:V31)</f>
        <v>1144.0012097439021</v>
      </c>
      <c r="W33" s="284">
        <f t="shared" si="194"/>
        <v>269.64476046754265</v>
      </c>
      <c r="X33" s="284">
        <f t="shared" si="194"/>
        <v>290.51541857775123</v>
      </c>
      <c r="Y33" s="284">
        <f t="shared" si="194"/>
        <v>297.34346231995937</v>
      </c>
      <c r="Z33" s="284">
        <f t="shared" si="194"/>
        <v>404.81478902214451</v>
      </c>
      <c r="AA33" s="285">
        <f t="shared" si="194"/>
        <v>1263.2447712203457</v>
      </c>
      <c r="AB33" s="284">
        <f t="shared" ref="AB33" si="195">AB26-SUM(AB29:AB31)</f>
        <v>1388.5611950455145</v>
      </c>
      <c r="AC33" s="284">
        <f t="shared" ref="AC33" si="196">AC26-SUM(AC29:AC31)</f>
        <v>1517.8208334500691</v>
      </c>
      <c r="AD33" s="286">
        <f t="shared" ref="AD33" si="197">AD26-SUM(AD29:AD31)</f>
        <v>1638.7888271010365</v>
      </c>
    </row>
    <row r="34" spans="1:30" s="300" customFormat="1" x14ac:dyDescent="0.25">
      <c r="B34" s="301" t="s">
        <v>217</v>
      </c>
      <c r="C34" s="301">
        <f>C33/C26</f>
        <v>0.35720886381407391</v>
      </c>
      <c r="D34" s="301">
        <f t="shared" ref="D34" si="198">D33/D26</f>
        <v>0.36636710969259983</v>
      </c>
      <c r="E34" s="301">
        <f t="shared" ref="E34" si="199">E33/E26</f>
        <v>0.35860630331283472</v>
      </c>
      <c r="F34" s="301">
        <f t="shared" ref="F34" si="200">F33/F26</f>
        <v>0.32073809215414928</v>
      </c>
      <c r="G34" s="299">
        <f t="shared" ref="G34" si="201">G33/G26</f>
        <v>0.34866051666543468</v>
      </c>
      <c r="H34" s="301">
        <f>H33/H26</f>
        <v>0.35609626387598414</v>
      </c>
      <c r="I34" s="301">
        <f t="shared" ref="I34" si="202">I33/I26</f>
        <v>0.36666485150697148</v>
      </c>
      <c r="J34" s="301">
        <f t="shared" ref="J34" si="203">J33/J26</f>
        <v>0.35880760588513322</v>
      </c>
      <c r="K34" s="301">
        <f t="shared" ref="K34" si="204">K33/K26</f>
        <v>0.34882469314703746</v>
      </c>
      <c r="L34" s="299">
        <f t="shared" ref="L34" si="205">L33/L26</f>
        <v>0.35732322888376161</v>
      </c>
      <c r="M34" s="301">
        <f>M33/M26</f>
        <v>0.34730595854632501</v>
      </c>
      <c r="N34" s="301">
        <f t="shared" ref="N34" si="206">N33/N26</f>
        <v>0.37492672853033215</v>
      </c>
      <c r="O34" s="301">
        <f t="shared" ref="O34" si="207">O33/O26</f>
        <v>0.37641470299127955</v>
      </c>
      <c r="P34" s="301">
        <f t="shared" ref="P34" si="208">P33/P26</f>
        <v>0.36526534859521337</v>
      </c>
      <c r="Q34" s="299">
        <f t="shared" ref="Q34" si="209">Q33/Q26</f>
        <v>0.36667661010318359</v>
      </c>
      <c r="R34" s="301">
        <f>R33/R26</f>
        <v>0.36634626745341697</v>
      </c>
      <c r="S34" s="301">
        <f t="shared" ref="S34" si="210">S33/S26</f>
        <v>0.36806581724596993</v>
      </c>
      <c r="T34" s="301">
        <f t="shared" ref="T34" si="211">T33/T26</f>
        <v>0.36669731656971288</v>
      </c>
      <c r="U34" s="301">
        <f t="shared" ref="U34" si="212">U33/U26</f>
        <v>0.37020462703419277</v>
      </c>
      <c r="V34" s="299">
        <f t="shared" ref="V34" si="213">V33/V26</f>
        <v>0.36837278360190995</v>
      </c>
      <c r="W34" s="301">
        <f>W33/W26</f>
        <v>0.36941332553466666</v>
      </c>
      <c r="X34" s="301">
        <f t="shared" ref="X34" si="214">X33/X26</f>
        <v>0.37111821190268307</v>
      </c>
      <c r="Y34" s="301">
        <f t="shared" ref="Y34" si="215">Y33/Y26</f>
        <v>0.37130338322443451</v>
      </c>
      <c r="Z34" s="301">
        <f t="shared" ref="Z34" si="216">Z33/Z26</f>
        <v>0.37167450189611606</v>
      </c>
      <c r="AA34" s="299">
        <f t="shared" ref="AA34" si="217">AA33/AA26</f>
        <v>0.37124636752363205</v>
      </c>
      <c r="AB34" s="301">
        <f t="shared" ref="AB34" si="218">AB33/AB26</f>
        <v>0.37097704944165943</v>
      </c>
      <c r="AC34" s="301">
        <f t="shared" ref="AC34" si="219">AC33/AC26</f>
        <v>0.37202834496777182</v>
      </c>
      <c r="AD34" s="303">
        <f t="shared" ref="AD34" si="220">AD33/AD26</f>
        <v>0.37192447569733061</v>
      </c>
    </row>
    <row r="35" spans="1:30" s="273" customFormat="1" x14ac:dyDescent="0.25">
      <c r="A35" s="309" t="s">
        <v>215</v>
      </c>
      <c r="B35" s="309"/>
      <c r="C35" s="308"/>
      <c r="D35" s="308"/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  <c r="U35" s="308"/>
      <c r="V35" s="308"/>
      <c r="W35" s="308"/>
      <c r="X35" s="308"/>
      <c r="Y35" s="308"/>
      <c r="Z35" s="308"/>
      <c r="AA35" s="308"/>
      <c r="AB35" s="308"/>
      <c r="AC35" s="308"/>
      <c r="AD35" s="308"/>
    </row>
    <row r="36" spans="1:30" s="279" customFormat="1" x14ac:dyDescent="0.25">
      <c r="A36" s="280"/>
      <c r="B36" s="280" t="s">
        <v>189</v>
      </c>
      <c r="C36" s="280">
        <v>151</v>
      </c>
      <c r="D36" s="280">
        <v>142</v>
      </c>
      <c r="E36" s="280">
        <v>145</v>
      </c>
      <c r="F36" s="280">
        <v>169</v>
      </c>
      <c r="G36" s="281">
        <f t="shared" ref="G36:G43" si="221">SUM(C36:F36)</f>
        <v>607</v>
      </c>
      <c r="H36" s="280">
        <v>155</v>
      </c>
      <c r="I36" s="280">
        <v>149</v>
      </c>
      <c r="J36" s="280">
        <v>150</v>
      </c>
      <c r="K36" s="282">
        <v>168</v>
      </c>
      <c r="L36" s="281">
        <f t="shared" ref="L36:L43" si="222">SUM(H36:K36)</f>
        <v>622</v>
      </c>
      <c r="M36" s="280">
        <v>148</v>
      </c>
      <c r="N36" s="280">
        <v>148</v>
      </c>
      <c r="O36" s="280">
        <v>150</v>
      </c>
      <c r="P36" s="282">
        <v>176</v>
      </c>
      <c r="Q36" s="281">
        <f t="shared" ref="Q36:Q43" si="223">SUM(M36:P36)</f>
        <v>622</v>
      </c>
      <c r="R36" s="280">
        <v>143</v>
      </c>
      <c r="S36" s="280">
        <v>147</v>
      </c>
      <c r="T36" s="280">
        <v>146</v>
      </c>
      <c r="U36" s="280"/>
      <c r="V36" s="281">
        <f t="shared" ref="V36:V43" si="224">SUM(R36:U36)</f>
        <v>436</v>
      </c>
      <c r="W36" s="280"/>
      <c r="X36" s="280"/>
      <c r="Y36" s="280"/>
      <c r="Z36" s="280"/>
      <c r="AA36" s="281">
        <f t="shared" ref="AA36:AA43" si="225">SUM(W36:Z36)</f>
        <v>0</v>
      </c>
      <c r="AB36" s="283"/>
      <c r="AC36" s="280"/>
      <c r="AD36" s="282"/>
    </row>
    <row r="37" spans="1:30" s="279" customFormat="1" x14ac:dyDescent="0.25">
      <c r="A37" s="283"/>
      <c r="B37" s="283" t="s">
        <v>216</v>
      </c>
      <c r="C37" s="297" t="s">
        <v>218</v>
      </c>
      <c r="D37" s="297" t="s">
        <v>218</v>
      </c>
      <c r="E37" s="297" t="s">
        <v>218</v>
      </c>
      <c r="F37" s="297" t="s">
        <v>218</v>
      </c>
      <c r="G37" s="298" t="s">
        <v>218</v>
      </c>
      <c r="H37" s="296">
        <f>H36/C36-1</f>
        <v>2.6490066225165476E-2</v>
      </c>
      <c r="I37" s="296">
        <f t="shared" ref="I37" si="226">I36/D36-1</f>
        <v>4.9295774647887258E-2</v>
      </c>
      <c r="J37" s="296">
        <f t="shared" ref="J37" si="227">J36/E36-1</f>
        <v>3.4482758620689724E-2</v>
      </c>
      <c r="K37" s="296">
        <f t="shared" ref="K37" si="228">K36/F36-1</f>
        <v>-5.9171597633136397E-3</v>
      </c>
      <c r="L37" s="299">
        <f>L36/G36-1</f>
        <v>2.4711696869851751E-2</v>
      </c>
      <c r="M37" s="296">
        <f>M36/H36-1</f>
        <v>-4.5161290322580649E-2</v>
      </c>
      <c r="N37" s="296">
        <f t="shared" ref="N37" si="229">N36/I36-1</f>
        <v>-6.7114093959731447E-3</v>
      </c>
      <c r="O37" s="296">
        <f t="shared" ref="O37" si="230">O36/J36-1</f>
        <v>0</v>
      </c>
      <c r="P37" s="296">
        <f t="shared" ref="P37" si="231">P36/K36-1</f>
        <v>4.7619047619047672E-2</v>
      </c>
      <c r="Q37" s="299">
        <f>Q36/L36-1</f>
        <v>0</v>
      </c>
      <c r="R37" s="296">
        <f>R36/M36-1</f>
        <v>-3.3783783783783772E-2</v>
      </c>
      <c r="S37" s="296">
        <f t="shared" ref="S37" si="232">S36/N36-1</f>
        <v>-6.7567567567567988E-3</v>
      </c>
      <c r="T37" s="296">
        <f t="shared" ref="T37" si="233">T36/O36-1</f>
        <v>-2.6666666666666616E-2</v>
      </c>
      <c r="U37" s="296"/>
      <c r="V37" s="299">
        <f>V36/Q36-1</f>
        <v>-0.29903536977491962</v>
      </c>
      <c r="W37" s="283"/>
      <c r="X37" s="283"/>
      <c r="Y37" s="283"/>
      <c r="Z37" s="283"/>
      <c r="AA37" s="299">
        <f>AA36/V36-1</f>
        <v>-1</v>
      </c>
      <c r="AB37" s="283"/>
      <c r="AC37" s="283"/>
      <c r="AD37" s="282"/>
    </row>
    <row r="38" spans="1:30" s="279" customFormat="1" x14ac:dyDescent="0.25">
      <c r="A38" s="280"/>
      <c r="B38" s="280" t="s">
        <v>190</v>
      </c>
      <c r="C38" s="280">
        <v>88</v>
      </c>
      <c r="D38" s="280">
        <v>88</v>
      </c>
      <c r="E38" s="280">
        <v>88</v>
      </c>
      <c r="F38" s="280">
        <v>112</v>
      </c>
      <c r="G38" s="281">
        <f t="shared" si="221"/>
        <v>376</v>
      </c>
      <c r="H38" s="280">
        <v>94</v>
      </c>
      <c r="I38" s="280">
        <v>89</v>
      </c>
      <c r="J38" s="280">
        <v>90</v>
      </c>
      <c r="K38" s="282">
        <v>110</v>
      </c>
      <c r="L38" s="281">
        <f t="shared" si="222"/>
        <v>383</v>
      </c>
      <c r="M38" s="280">
        <v>88</v>
      </c>
      <c r="N38" s="280">
        <v>89</v>
      </c>
      <c r="O38" s="280">
        <v>87</v>
      </c>
      <c r="P38" s="282">
        <v>114</v>
      </c>
      <c r="Q38" s="281">
        <f t="shared" si="223"/>
        <v>378</v>
      </c>
      <c r="R38" s="280">
        <v>85</v>
      </c>
      <c r="S38" s="280">
        <v>85</v>
      </c>
      <c r="T38" s="280">
        <v>85</v>
      </c>
      <c r="U38" s="280"/>
      <c r="V38" s="281">
        <f t="shared" si="224"/>
        <v>255</v>
      </c>
      <c r="W38" s="280"/>
      <c r="X38" s="280"/>
      <c r="Y38" s="280"/>
      <c r="Z38" s="280"/>
      <c r="AA38" s="281">
        <f t="shared" si="225"/>
        <v>0</v>
      </c>
      <c r="AB38" s="283"/>
      <c r="AC38" s="280"/>
      <c r="AD38" s="282"/>
    </row>
    <row r="39" spans="1:30" s="279" customFormat="1" x14ac:dyDescent="0.25">
      <c r="A39" s="283"/>
      <c r="B39" s="283" t="s">
        <v>216</v>
      </c>
      <c r="C39" s="297" t="s">
        <v>218</v>
      </c>
      <c r="D39" s="297" t="s">
        <v>218</v>
      </c>
      <c r="E39" s="297" t="s">
        <v>218</v>
      </c>
      <c r="F39" s="297" t="s">
        <v>218</v>
      </c>
      <c r="G39" s="298" t="s">
        <v>218</v>
      </c>
      <c r="H39" s="296">
        <f>H38/C38-1</f>
        <v>6.8181818181818121E-2</v>
      </c>
      <c r="I39" s="296">
        <f t="shared" ref="I39" si="234">I38/D38-1</f>
        <v>1.1363636363636465E-2</v>
      </c>
      <c r="J39" s="296">
        <f t="shared" ref="J39" si="235">J38/E38-1</f>
        <v>2.2727272727272707E-2</v>
      </c>
      <c r="K39" s="296">
        <f t="shared" ref="K39" si="236">K38/F38-1</f>
        <v>-1.7857142857142905E-2</v>
      </c>
      <c r="L39" s="299">
        <f>L38/G38-1</f>
        <v>1.8617021276595702E-2</v>
      </c>
      <c r="M39" s="296">
        <f>M38/H38-1</f>
        <v>-6.3829787234042534E-2</v>
      </c>
      <c r="N39" s="296">
        <f t="shared" ref="N39" si="237">N38/I38-1</f>
        <v>0</v>
      </c>
      <c r="O39" s="296">
        <f t="shared" ref="O39" si="238">O38/J38-1</f>
        <v>-3.3333333333333326E-2</v>
      </c>
      <c r="P39" s="296">
        <f t="shared" ref="P39" si="239">P38/K38-1</f>
        <v>3.6363636363636376E-2</v>
      </c>
      <c r="Q39" s="299">
        <f>Q38/L38-1</f>
        <v>-1.3054830287206221E-2</v>
      </c>
      <c r="R39" s="296">
        <f>R38/M38-1</f>
        <v>-3.4090909090909061E-2</v>
      </c>
      <c r="S39" s="296">
        <f t="shared" ref="S39" si="240">S38/N38-1</f>
        <v>-4.49438202247191E-2</v>
      </c>
      <c r="T39" s="296">
        <f t="shared" ref="T39" si="241">T38/O38-1</f>
        <v>-2.2988505747126409E-2</v>
      </c>
      <c r="U39" s="296"/>
      <c r="V39" s="299">
        <f>V38/Q38-1</f>
        <v>-0.32539682539682535</v>
      </c>
      <c r="W39" s="283"/>
      <c r="X39" s="283"/>
      <c r="Y39" s="283"/>
      <c r="Z39" s="283"/>
      <c r="AA39" s="299">
        <f>AA38/V38-1</f>
        <v>-1</v>
      </c>
      <c r="AB39" s="283"/>
      <c r="AC39" s="283"/>
      <c r="AD39" s="282"/>
    </row>
    <row r="40" spans="1:30" s="279" customFormat="1" x14ac:dyDescent="0.25">
      <c r="A40" s="284" t="s">
        <v>191</v>
      </c>
      <c r="B40" s="280"/>
      <c r="C40" s="284">
        <f t="shared" ref="C40:Q40" si="242">SUM(C34:C38)</f>
        <v>239.35720886381407</v>
      </c>
      <c r="D40" s="284">
        <f t="shared" si="242"/>
        <v>230.36636710969259</v>
      </c>
      <c r="E40" s="284">
        <f t="shared" si="242"/>
        <v>233.35860630331283</v>
      </c>
      <c r="F40" s="284">
        <f t="shared" si="242"/>
        <v>281.32073809215416</v>
      </c>
      <c r="G40" s="285">
        <f t="shared" si="242"/>
        <v>983.3486605166654</v>
      </c>
      <c r="H40" s="284">
        <f t="shared" si="242"/>
        <v>249.38258633010116</v>
      </c>
      <c r="I40" s="284">
        <f t="shared" si="242"/>
        <v>238.41596062615486</v>
      </c>
      <c r="J40" s="284">
        <f t="shared" si="242"/>
        <v>240.39329036450584</v>
      </c>
      <c r="K40" s="286">
        <f t="shared" si="242"/>
        <v>278.34290753338371</v>
      </c>
      <c r="L40" s="285">
        <f t="shared" si="242"/>
        <v>1005.3820349257536</v>
      </c>
      <c r="M40" s="284">
        <f t="shared" si="242"/>
        <v>236.30214466822375</v>
      </c>
      <c r="N40" s="284">
        <f t="shared" si="242"/>
        <v>237.36821531913438</v>
      </c>
      <c r="O40" s="284">
        <f t="shared" si="242"/>
        <v>237.37641470299127</v>
      </c>
      <c r="P40" s="286">
        <f t="shared" si="242"/>
        <v>290.41288439621428</v>
      </c>
      <c r="Q40" s="285">
        <f t="shared" si="242"/>
        <v>1000.3666766101031</v>
      </c>
      <c r="R40" s="284">
        <f t="shared" ref="R40:T40" si="243">SUM(R38,R36,R34)</f>
        <v>228.36634626745342</v>
      </c>
      <c r="S40" s="284">
        <f t="shared" si="243"/>
        <v>232.36806581724596</v>
      </c>
      <c r="T40" s="284">
        <f t="shared" si="243"/>
        <v>231.36669731656971</v>
      </c>
      <c r="U40" s="284">
        <f>P40*(1+U41)</f>
        <v>299.12527092810069</v>
      </c>
      <c r="V40" s="285">
        <f>SUM(R40:U40)</f>
        <v>991.22638032936982</v>
      </c>
      <c r="W40" s="284">
        <f t="shared" ref="W40" si="244">R40*(1+W41)</f>
        <v>253.71501070314076</v>
      </c>
      <c r="X40" s="284">
        <f t="shared" ref="X40" si="245">S40*(1+X41)</f>
        <v>255.83724046478781</v>
      </c>
      <c r="Y40" s="284">
        <f t="shared" ref="Y40" si="246">T40*(1+Y41)</f>
        <v>253.80926695627696</v>
      </c>
      <c r="Z40" s="284">
        <f t="shared" ref="Z40" si="247">U40*(1+Z41)</f>
        <v>323.35441787327682</v>
      </c>
      <c r="AA40" s="285">
        <f>SUM(W40:Z40)</f>
        <v>1086.7159359974823</v>
      </c>
      <c r="AB40" s="287">
        <f>AA40*(1+AB41)</f>
        <v>1119.3174140774067</v>
      </c>
      <c r="AC40" s="288">
        <f t="shared" ref="AC40" si="248">AB40*(1+AC41)</f>
        <v>1152.896936499729</v>
      </c>
      <c r="AD40" s="286">
        <f t="shared" ref="AD40" si="249">AC40*(1+AD41)</f>
        <v>1187.4838445947209</v>
      </c>
    </row>
    <row r="41" spans="1:30" s="279" customFormat="1" x14ac:dyDescent="0.25">
      <c r="A41" s="283"/>
      <c r="B41" s="283" t="s">
        <v>216</v>
      </c>
      <c r="C41" s="297" t="s">
        <v>218</v>
      </c>
      <c r="D41" s="297" t="s">
        <v>218</v>
      </c>
      <c r="E41" s="297" t="s">
        <v>218</v>
      </c>
      <c r="F41" s="297" t="s">
        <v>218</v>
      </c>
      <c r="G41" s="298" t="s">
        <v>218</v>
      </c>
      <c r="H41" s="296">
        <f>H40/C40-1</f>
        <v>4.1884585443972E-2</v>
      </c>
      <c r="I41" s="296">
        <f t="shared" ref="I41" si="250">I40/D40-1</f>
        <v>3.4942572639648173E-2</v>
      </c>
      <c r="J41" s="296">
        <f t="shared" ref="J41" si="251">J40/E40-1</f>
        <v>3.0145380848090708E-2</v>
      </c>
      <c r="K41" s="296">
        <f t="shared" ref="K41" si="252">K40/F40-1</f>
        <v>-1.0585179674151846E-2</v>
      </c>
      <c r="L41" s="299">
        <f>L40/G40-1</f>
        <v>2.2406472184048676E-2</v>
      </c>
      <c r="M41" s="296">
        <f>M40/H40-1</f>
        <v>-5.2451303254041903E-2</v>
      </c>
      <c r="N41" s="296">
        <f t="shared" ref="N41" si="253">N40/I40-1</f>
        <v>-4.3946105968273308E-3</v>
      </c>
      <c r="O41" s="296">
        <f t="shared" ref="O41" si="254">O40/J40-1</f>
        <v>-1.2549749857577619E-2</v>
      </c>
      <c r="P41" s="296">
        <f t="shared" ref="P41" si="255">P40/K40-1</f>
        <v>4.3363694695123245E-2</v>
      </c>
      <c r="Q41" s="299">
        <f>Q40/L40-1</f>
        <v>-4.9885099807068789E-3</v>
      </c>
      <c r="R41" s="296">
        <f>R40/M40-1</f>
        <v>-3.3583268623788687E-2</v>
      </c>
      <c r="S41" s="296">
        <f t="shared" ref="S41" si="256">S40/N40-1</f>
        <v>-2.1064949640228203E-2</v>
      </c>
      <c r="T41" s="296">
        <f t="shared" ref="T41" si="257">T40/O40-1</f>
        <v>-2.5317247267134801E-2</v>
      </c>
      <c r="U41" s="304">
        <v>0.03</v>
      </c>
      <c r="V41" s="299">
        <f>V40/Q40-1</f>
        <v>-9.136945976356059E-3</v>
      </c>
      <c r="W41" s="304">
        <v>0.111</v>
      </c>
      <c r="X41" s="304">
        <v>0.10100000000000001</v>
      </c>
      <c r="Y41" s="304">
        <v>9.7000000000000003E-2</v>
      </c>
      <c r="Z41" s="304">
        <v>8.1000000000000003E-2</v>
      </c>
      <c r="AA41" s="299">
        <f>AA40/V40-1</f>
        <v>9.633476021530285E-2</v>
      </c>
      <c r="AB41" s="304">
        <v>0.03</v>
      </c>
      <c r="AC41" s="304">
        <v>0.03</v>
      </c>
      <c r="AD41" s="305">
        <v>0.03</v>
      </c>
    </row>
    <row r="42" spans="1:30" s="279" customFormat="1" x14ac:dyDescent="0.25">
      <c r="A42" s="284"/>
      <c r="B42" s="280"/>
      <c r="C42" s="284"/>
      <c r="D42" s="284"/>
      <c r="E42" s="284"/>
      <c r="F42" s="284"/>
      <c r="G42" s="285"/>
      <c r="H42" s="284"/>
      <c r="I42" s="284"/>
      <c r="J42" s="284"/>
      <c r="K42" s="286"/>
      <c r="L42" s="285"/>
      <c r="M42" s="284"/>
      <c r="N42" s="284"/>
      <c r="O42" s="284"/>
      <c r="P42" s="286"/>
      <c r="Q42" s="285"/>
      <c r="R42" s="284"/>
      <c r="S42" s="284"/>
      <c r="T42" s="284"/>
      <c r="U42" s="284"/>
      <c r="V42" s="285"/>
      <c r="W42" s="284"/>
      <c r="X42" s="284"/>
      <c r="Y42" s="284"/>
      <c r="Z42" s="284"/>
      <c r="AA42" s="285"/>
      <c r="AB42" s="284"/>
      <c r="AC42" s="284"/>
      <c r="AD42" s="286"/>
    </row>
    <row r="43" spans="1:30" s="279" customFormat="1" x14ac:dyDescent="0.25">
      <c r="A43" s="280"/>
      <c r="B43" s="280" t="s">
        <v>52</v>
      </c>
      <c r="C43" s="280">
        <f>50+2+87-2</f>
        <v>137</v>
      </c>
      <c r="D43" s="280">
        <f>50+1+88-3</f>
        <v>136</v>
      </c>
      <c r="E43" s="280">
        <f>45+5+91-1</f>
        <v>140</v>
      </c>
      <c r="F43" s="280">
        <f>66+4+116-4</f>
        <v>182</v>
      </c>
      <c r="G43" s="281">
        <f t="shared" si="221"/>
        <v>595</v>
      </c>
      <c r="H43" s="280">
        <f>51+3+93-2</f>
        <v>145</v>
      </c>
      <c r="I43" s="280">
        <f>53+6+89-1</f>
        <v>147</v>
      </c>
      <c r="J43" s="280">
        <f>51+5+91-4</f>
        <v>143</v>
      </c>
      <c r="K43" s="282">
        <f>66+1+116-4</f>
        <v>179</v>
      </c>
      <c r="L43" s="281">
        <f t="shared" si="222"/>
        <v>614</v>
      </c>
      <c r="M43" s="280">
        <f>52+5+90-4</f>
        <v>143</v>
      </c>
      <c r="N43" s="280">
        <f>50+5+91-3</f>
        <v>143</v>
      </c>
      <c r="O43" s="280">
        <f>51+9+89-3</f>
        <v>146</v>
      </c>
      <c r="P43" s="282">
        <f>66+15+120-6</f>
        <v>195</v>
      </c>
      <c r="Q43" s="281">
        <f t="shared" si="223"/>
        <v>627</v>
      </c>
      <c r="R43" s="280">
        <f>55+11+89</f>
        <v>155</v>
      </c>
      <c r="S43" s="280">
        <f>54+10+90-3</f>
        <v>151</v>
      </c>
      <c r="T43" s="280">
        <f>50+11+89-4</f>
        <v>146</v>
      </c>
      <c r="U43" s="280">
        <f>U40*U44</f>
        <v>185.44328920036349</v>
      </c>
      <c r="V43" s="281">
        <f t="shared" si="224"/>
        <v>637.44328920036355</v>
      </c>
      <c r="W43" s="280">
        <f t="shared" ref="W43:Z43" si="258">W40*W44</f>
        <v>158.54320509936647</v>
      </c>
      <c r="X43" s="280">
        <f t="shared" si="258"/>
        <v>160.77065200442075</v>
      </c>
      <c r="Y43" s="280">
        <f t="shared" si="258"/>
        <v>157.59959485940558</v>
      </c>
      <c r="Z43" s="280">
        <f t="shared" si="258"/>
        <v>202.28731613334881</v>
      </c>
      <c r="AA43" s="281">
        <f t="shared" si="225"/>
        <v>679.20076809654154</v>
      </c>
      <c r="AB43" s="280">
        <f t="shared" ref="AB43" si="259">AB40*AB44</f>
        <v>704.14968612048619</v>
      </c>
      <c r="AC43" s="280">
        <f t="shared" ref="AC43" si="260">AC40*AC44</f>
        <v>728.95449868174569</v>
      </c>
      <c r="AD43" s="282">
        <f t="shared" ref="AD43" si="261">AD40*AD44</f>
        <v>746.01114512988102</v>
      </c>
    </row>
    <row r="44" spans="1:30" s="300" customFormat="1" x14ac:dyDescent="0.25">
      <c r="B44" s="301" t="s">
        <v>217</v>
      </c>
      <c r="C44" s="301">
        <f>C43/C40</f>
        <v>0.57236629993437227</v>
      </c>
      <c r="D44" s="301">
        <f>D43/D40</f>
        <v>0.59036395679774489</v>
      </c>
      <c r="E44" s="301">
        <f>E43/E40</f>
        <v>0.59993501940113581</v>
      </c>
      <c r="F44" s="301">
        <f>F43/F40</f>
        <v>0.6469483950393341</v>
      </c>
      <c r="G44" s="299">
        <f>G43/G40</f>
        <v>0.60507531447429697</v>
      </c>
      <c r="H44" s="301">
        <f>H43/H40</f>
        <v>0.58143594600493609</v>
      </c>
      <c r="I44" s="301">
        <f>I43/I40</f>
        <v>0.61656945958622922</v>
      </c>
      <c r="J44" s="301">
        <f>J43/J40</f>
        <v>0.59485853279503176</v>
      </c>
      <c r="K44" s="301">
        <f>K43/K40</f>
        <v>0.64309165118041034</v>
      </c>
      <c r="L44" s="299">
        <f>L43/L40</f>
        <v>0.6107131206550187</v>
      </c>
      <c r="M44" s="301">
        <f>M43/M40</f>
        <v>0.60515743604772132</v>
      </c>
      <c r="N44" s="301">
        <f>N43/N40</f>
        <v>0.60243954654055443</v>
      </c>
      <c r="O44" s="301">
        <f>O43/O40</f>
        <v>0.61505689258419904</v>
      </c>
      <c r="P44" s="301">
        <f>P43/P40</f>
        <v>0.67145781222970402</v>
      </c>
      <c r="Q44" s="299">
        <f>Q43/Q40</f>
        <v>0.62677017803580415</v>
      </c>
      <c r="R44" s="301">
        <f>R43/R40</f>
        <v>0.6787339839403056</v>
      </c>
      <c r="S44" s="301">
        <f>S43/S40</f>
        <v>0.64983111801067905</v>
      </c>
      <c r="T44" s="301">
        <f>T43/T40</f>
        <v>0.63103290876920848</v>
      </c>
      <c r="U44" s="304">
        <f>AVERAGE(R44:T44,C44:F44,M44:P44,H44:K44)</f>
        <v>0.61995193059077114</v>
      </c>
      <c r="V44" s="299">
        <f>V43/V40</f>
        <v>0.64308547658764958</v>
      </c>
      <c r="W44" s="304">
        <f t="shared" ref="W44:Z44" si="262">AVERAGE(T44:V44,E44:H44,O44:R44,J44:M44)</f>
        <v>0.62488697322236852</v>
      </c>
      <c r="X44" s="304">
        <f t="shared" si="262"/>
        <v>0.62840988947638543</v>
      </c>
      <c r="Y44" s="304">
        <f t="shared" si="262"/>
        <v>0.62093711844869259</v>
      </c>
      <c r="Z44" s="304">
        <f t="shared" si="262"/>
        <v>0.62559007996181326</v>
      </c>
      <c r="AA44" s="299">
        <f>AA43/AA40</f>
        <v>0.62500304412404883</v>
      </c>
      <c r="AB44" s="304">
        <f t="shared" ref="AB44" si="263">AVERAGE(Y44:AA44,J44:M44,T44:W44,O44:R44)</f>
        <v>0.62908847594484985</v>
      </c>
      <c r="AC44" s="304">
        <f t="shared" ref="AC44" si="264">AVERAGE(Z44:AB44,K44:N44,U44:X44,P44:S44)</f>
        <v>0.63228071443653888</v>
      </c>
      <c r="AD44" s="305">
        <f t="shared" ref="AD44" si="265">AVERAGE(AA44:AC44,L44:O44,V44:Y44,Q44:T44)</f>
        <v>0.62822845845493491</v>
      </c>
    </row>
    <row r="45" spans="1:30" s="279" customFormat="1" x14ac:dyDescent="0.25">
      <c r="A45" s="284" t="s">
        <v>192</v>
      </c>
      <c r="B45" s="280"/>
      <c r="C45" s="284">
        <f>C40-SUM(C43:C43)</f>
        <v>102.35720886381407</v>
      </c>
      <c r="D45" s="284">
        <f>D40-SUM(D43:D43)</f>
        <v>94.36636710969259</v>
      </c>
      <c r="E45" s="284">
        <f>E40-SUM(E43:E43)</f>
        <v>93.358606303312826</v>
      </c>
      <c r="F45" s="284">
        <f>F40-SUM(F43:F43)</f>
        <v>99.320738092154158</v>
      </c>
      <c r="G45" s="285">
        <f>G40-SUM(G43:G43)</f>
        <v>388.3486605166654</v>
      </c>
      <c r="H45" s="284">
        <f>H40-SUM(H43:H43)</f>
        <v>104.38258633010116</v>
      </c>
      <c r="I45" s="284">
        <f>I40-SUM(I43:I43)</f>
        <v>91.415960626154856</v>
      </c>
      <c r="J45" s="284">
        <f>J40-SUM(J43:J43)</f>
        <v>97.393290364505845</v>
      </c>
      <c r="K45" s="286">
        <f>K40-SUM(K43:K43)</f>
        <v>99.342907533383709</v>
      </c>
      <c r="L45" s="285">
        <f>L40-SUM(L43:L43)</f>
        <v>391.3820349257536</v>
      </c>
      <c r="M45" s="284">
        <f>M40-SUM(M43:M43)</f>
        <v>93.302144668223747</v>
      </c>
      <c r="N45" s="284">
        <f>N40-SUM(N43:N43)</f>
        <v>94.368215319134379</v>
      </c>
      <c r="O45" s="284">
        <f>O40-SUM(O43:O43)</f>
        <v>91.376414702991269</v>
      </c>
      <c r="P45" s="286">
        <f>P40-SUM(P43:P43)</f>
        <v>95.412884396214281</v>
      </c>
      <c r="Q45" s="285">
        <f>Q40-SUM(Q43:Q43)</f>
        <v>373.36667661010313</v>
      </c>
      <c r="R45" s="284">
        <f>R40-SUM(R43:R43)</f>
        <v>73.366346267453423</v>
      </c>
      <c r="S45" s="284">
        <f>S40-SUM(S43:S43)</f>
        <v>81.368065817245963</v>
      </c>
      <c r="T45" s="284">
        <f>T40-SUM(T43:T43)</f>
        <v>85.366697316569713</v>
      </c>
      <c r="U45" s="284">
        <f>U40-SUM(U43:U43)</f>
        <v>113.6819817277372</v>
      </c>
      <c r="V45" s="285">
        <f>V40-SUM(V43:V43)</f>
        <v>353.78309112900627</v>
      </c>
      <c r="W45" s="284">
        <f>W40-SUM(W43:W43)</f>
        <v>95.171805603774288</v>
      </c>
      <c r="X45" s="284">
        <f>X40-SUM(X43:X43)</f>
        <v>95.066588460367058</v>
      </c>
      <c r="Y45" s="284">
        <f>Y40-SUM(Y43:Y43)</f>
        <v>96.209672096871373</v>
      </c>
      <c r="Z45" s="284">
        <f>Z40-SUM(Z43:Z43)</f>
        <v>121.06710173992801</v>
      </c>
      <c r="AA45" s="285">
        <f>AA40-SUM(AA43:AA43)</f>
        <v>407.51516790094081</v>
      </c>
      <c r="AB45" s="284">
        <f>AB40-SUM(AB43:AB43)</f>
        <v>415.16772795692054</v>
      </c>
      <c r="AC45" s="284">
        <f>AC40-SUM(AC43:AC43)</f>
        <v>423.94243781798332</v>
      </c>
      <c r="AD45" s="286">
        <f>AD40-SUM(AD43:AD43)</f>
        <v>441.47269946483993</v>
      </c>
    </row>
    <row r="46" spans="1:30" s="300" customFormat="1" x14ac:dyDescent="0.25">
      <c r="B46" s="301" t="s">
        <v>217</v>
      </c>
      <c r="C46" s="301">
        <f>C45/C40</f>
        <v>0.42763370006562768</v>
      </c>
      <c r="D46" s="301">
        <f>D45/D40</f>
        <v>0.40963604320225511</v>
      </c>
      <c r="E46" s="301">
        <f>E45/E40</f>
        <v>0.40006498059886414</v>
      </c>
      <c r="F46" s="301">
        <f>F45/F40</f>
        <v>0.3530516049606659</v>
      </c>
      <c r="G46" s="299">
        <f>G45/G40</f>
        <v>0.39492468552570303</v>
      </c>
      <c r="H46" s="301">
        <f>H45/H40</f>
        <v>0.41856405399506397</v>
      </c>
      <c r="I46" s="301">
        <f>I45/I40</f>
        <v>0.38343054041377078</v>
      </c>
      <c r="J46" s="301">
        <f>J45/J40</f>
        <v>0.40514146720496819</v>
      </c>
      <c r="K46" s="301">
        <f>K45/K40</f>
        <v>0.35690834881958966</v>
      </c>
      <c r="L46" s="299">
        <f>L45/L40</f>
        <v>0.3892868793449813</v>
      </c>
      <c r="M46" s="301">
        <f>M45/M40</f>
        <v>0.39484256395227868</v>
      </c>
      <c r="N46" s="301">
        <f>N45/N40</f>
        <v>0.39756045345944557</v>
      </c>
      <c r="O46" s="301">
        <f>O45/O40</f>
        <v>0.3849431074158009</v>
      </c>
      <c r="P46" s="301">
        <f>P45/P40</f>
        <v>0.32854218777029592</v>
      </c>
      <c r="Q46" s="299">
        <f>Q45/Q40</f>
        <v>0.37322982196419591</v>
      </c>
      <c r="R46" s="301">
        <f>R45/R40</f>
        <v>0.3212660160596944</v>
      </c>
      <c r="S46" s="301">
        <f>S45/S40</f>
        <v>0.35016888198932095</v>
      </c>
      <c r="T46" s="301">
        <f>T45/T40</f>
        <v>0.36896709123079158</v>
      </c>
      <c r="U46" s="301">
        <f>U45/U40</f>
        <v>0.38004806940922886</v>
      </c>
      <c r="V46" s="299">
        <f>V45/V40</f>
        <v>0.35691452341235047</v>
      </c>
      <c r="W46" s="301">
        <f>W45/W40</f>
        <v>0.37511302677763142</v>
      </c>
      <c r="X46" s="301">
        <f>X45/X40</f>
        <v>0.37159011052361457</v>
      </c>
      <c r="Y46" s="301">
        <f>Y45/Y40</f>
        <v>0.37906288155130741</v>
      </c>
      <c r="Z46" s="301">
        <f>Z45/Z40</f>
        <v>0.37440992003818679</v>
      </c>
      <c r="AA46" s="299">
        <f>AA45/AA40</f>
        <v>0.37499695587595111</v>
      </c>
      <c r="AB46" s="301"/>
      <c r="AC46" s="301"/>
      <c r="AD46" s="302"/>
    </row>
    <row r="47" spans="1:30" s="273" customFormat="1" x14ac:dyDescent="0.25">
      <c r="A47" s="309" t="s">
        <v>220</v>
      </c>
      <c r="B47" s="309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  <c r="U47" s="308"/>
      <c r="V47" s="308"/>
      <c r="W47" s="308"/>
      <c r="X47" s="308"/>
      <c r="Y47" s="308"/>
      <c r="Z47" s="308"/>
      <c r="AA47" s="308"/>
      <c r="AB47" s="308"/>
      <c r="AC47" s="308"/>
      <c r="AD47" s="308"/>
    </row>
    <row r="48" spans="1:30" s="289" customFormat="1" x14ac:dyDescent="0.25">
      <c r="A48" s="284"/>
      <c r="B48" s="284" t="s">
        <v>219</v>
      </c>
      <c r="C48" s="284">
        <f>SUM(C40,C26,C10)</f>
        <v>1416.3572088638141</v>
      </c>
      <c r="D48" s="284">
        <f>SUM(D40,D26,D10)</f>
        <v>1493.3663671096926</v>
      </c>
      <c r="E48" s="284">
        <f>SUM(E40,E26,E10)</f>
        <v>1505.3586063033129</v>
      </c>
      <c r="F48" s="286">
        <f>SUM(F40,F26,F10)</f>
        <v>1840.3207380921542</v>
      </c>
      <c r="G48" s="285">
        <f>SUM(G40,G26,G10)</f>
        <v>6254.3486605166654</v>
      </c>
      <c r="H48" s="284">
        <f>SUM(H40,H26,H10)</f>
        <v>1508.3825863301013</v>
      </c>
      <c r="I48" s="284">
        <f>SUM(I40,I26,I10)</f>
        <v>1541.4159606261549</v>
      </c>
      <c r="J48" s="284">
        <f>SUM(J40,J26,J10)</f>
        <v>1569.3932903645059</v>
      </c>
      <c r="K48" s="284">
        <f>SUM(K40,K26,K10)</f>
        <v>1858.3429075333838</v>
      </c>
      <c r="L48" s="285">
        <f>SUM(L40,L26,L10)</f>
        <v>6476.382034925753</v>
      </c>
      <c r="M48" s="284">
        <f>SUM(M40,M26,M10)</f>
        <v>1466.3021446682237</v>
      </c>
      <c r="N48" s="284">
        <f>SUM(N40,N26,N10)</f>
        <v>1620.3682153191344</v>
      </c>
      <c r="O48" s="284">
        <f>SUM(O40,O26,O10)</f>
        <v>1688.3764147029913</v>
      </c>
      <c r="P48" s="284">
        <f>SUM(P40,P26,P10)</f>
        <v>2185.4128843962144</v>
      </c>
      <c r="Q48" s="285">
        <f>SUM(Q40,Q26,Q10)</f>
        <v>6959.3666766101032</v>
      </c>
      <c r="R48" s="284">
        <f>SUM(R40,R26,R10)</f>
        <v>1657.3663462674535</v>
      </c>
      <c r="S48" s="284">
        <f>SUM(S40,S26,S10)</f>
        <v>1792.3680658172459</v>
      </c>
      <c r="T48" s="284">
        <f>SUM(T40,T26,T10)</f>
        <v>1840.3666973165696</v>
      </c>
      <c r="U48" s="284">
        <f>SUM(U40,U26,U10)</f>
        <v>2349.6136767434427</v>
      </c>
      <c r="V48" s="285">
        <f>SUM(V40,V26,V10)</f>
        <v>7639.714786144712</v>
      </c>
      <c r="W48" s="284">
        <f>SUM(W40,W26,W10)</f>
        <v>1841.3340107031408</v>
      </c>
      <c r="X48" s="284">
        <f>SUM(X40,X26,X10)</f>
        <v>1973.397240464788</v>
      </c>
      <c r="Y48" s="284">
        <f>SUM(Y40,Y26,Y10)</f>
        <v>2018.8822669562769</v>
      </c>
      <c r="Z48" s="284">
        <f>SUM(Z40,Z26,Z10)</f>
        <v>2539.9323845596618</v>
      </c>
      <c r="AA48" s="285">
        <f>SUM(AA40,AA26,AA10)</f>
        <v>8373.5459026838671</v>
      </c>
      <c r="AB48" s="284">
        <f>SUM(AB40,AB26,AB10)</f>
        <v>9095.9892058866244</v>
      </c>
      <c r="AC48" s="284">
        <f>SUM(AC40,AC26,AC10)</f>
        <v>9805.1323125868457</v>
      </c>
      <c r="AD48" s="286">
        <f>SUM(AD40,AD26,AD10)</f>
        <v>10486.174223625083</v>
      </c>
    </row>
    <row r="49" spans="1:30" s="300" customFormat="1" x14ac:dyDescent="0.25">
      <c r="A49" s="301"/>
      <c r="B49" s="301" t="s">
        <v>216</v>
      </c>
      <c r="C49" s="306" t="s">
        <v>218</v>
      </c>
      <c r="D49" s="306" t="s">
        <v>218</v>
      </c>
      <c r="E49" s="306" t="s">
        <v>218</v>
      </c>
      <c r="F49" s="307" t="s">
        <v>218</v>
      </c>
      <c r="G49" s="298" t="s">
        <v>218</v>
      </c>
      <c r="H49" s="301">
        <f>H48/C48-1</f>
        <v>6.4973282792205378E-2</v>
      </c>
      <c r="I49" s="301">
        <f t="shared" ref="I49:K49" si="266">I48/D48-1</f>
        <v>3.2175355341274248E-2</v>
      </c>
      <c r="J49" s="301">
        <f t="shared" si="266"/>
        <v>4.2537827061979616E-2</v>
      </c>
      <c r="K49" s="301">
        <f t="shared" si="266"/>
        <v>9.792950254917443E-3</v>
      </c>
      <c r="L49" s="299">
        <f>L48/G48-1</f>
        <v>3.5500639069064199E-2</v>
      </c>
      <c r="M49" s="301">
        <f>M48/H48-1</f>
        <v>-2.7897724385866463E-2</v>
      </c>
      <c r="N49" s="301">
        <f t="shared" ref="N49" si="267">N48/I48-1</f>
        <v>5.1220602815678307E-2</v>
      </c>
      <c r="O49" s="301">
        <f t="shared" ref="O49" si="268">O48/J48-1</f>
        <v>7.5814727301943829E-2</v>
      </c>
      <c r="P49" s="301">
        <f t="shared" ref="P49" si="269">P48/K48-1</f>
        <v>0.17600087450865409</v>
      </c>
      <c r="Q49" s="299">
        <f>Q48/L48-1</f>
        <v>7.4576304961584405E-2</v>
      </c>
      <c r="R49" s="301">
        <f>R48/M48-1</f>
        <v>0.13030343186360227</v>
      </c>
      <c r="S49" s="301">
        <f t="shared" ref="S49" si="270">S48/N48-1</f>
        <v>0.10614862033950456</v>
      </c>
      <c r="T49" s="301">
        <f t="shared" ref="T49" si="271">T48/O48-1</f>
        <v>9.0021562306836334E-2</v>
      </c>
      <c r="U49" s="301">
        <f t="shared" ref="U49" si="272">U48/P48-1</f>
        <v>7.5134906323476525E-2</v>
      </c>
      <c r="V49" s="299">
        <f>V48/Q48-1</f>
        <v>9.7760060814327643E-2</v>
      </c>
      <c r="W49" s="301">
        <f>W48/R48-1</f>
        <v>0.11099999999999999</v>
      </c>
      <c r="X49" s="301">
        <f t="shared" ref="X49" si="273">X48/S48-1</f>
        <v>0.1010000000000002</v>
      </c>
      <c r="Y49" s="301">
        <f t="shared" ref="Y49" si="274">Y48/T48-1</f>
        <v>9.6999999999999975E-2</v>
      </c>
      <c r="Z49" s="301">
        <f t="shared" ref="Z49" si="275">Z48/U48-1</f>
        <v>8.1000000000000183E-2</v>
      </c>
      <c r="AA49" s="299">
        <f>AA48/V48-1</f>
        <v>9.6054779148303071E-2</v>
      </c>
      <c r="AB49" s="301">
        <f>AB48/AA48-1</f>
        <v>8.6276866646327388E-2</v>
      </c>
      <c r="AC49" s="301">
        <f t="shared" ref="AC49:AD49" si="276">AC48/AB48-1</f>
        <v>7.7962175487333196E-2</v>
      </c>
      <c r="AD49" s="302">
        <f t="shared" si="276"/>
        <v>6.9457697186195322E-2</v>
      </c>
    </row>
    <row r="50" spans="1:30" s="279" customFormat="1" x14ac:dyDescent="0.25">
      <c r="A50" s="280"/>
      <c r="B50" s="280" t="s">
        <v>157</v>
      </c>
      <c r="C50" s="280">
        <f>SUM(C29,C13)</f>
        <v>275</v>
      </c>
      <c r="D50" s="280">
        <f>SUM(D29,D13)</f>
        <v>283</v>
      </c>
      <c r="E50" s="280">
        <f>SUM(E29,E13)</f>
        <v>274</v>
      </c>
      <c r="F50" s="282">
        <f>SUM(F29,F13)</f>
        <v>360</v>
      </c>
      <c r="G50" s="281">
        <f>SUM(G29,G13)</f>
        <v>1192</v>
      </c>
      <c r="H50" s="280">
        <f>SUM(H29,H13)</f>
        <v>275</v>
      </c>
      <c r="I50" s="280">
        <f>SUM(I29,I13)</f>
        <v>286</v>
      </c>
      <c r="J50" s="280">
        <f>SUM(J29,J13)</f>
        <v>295</v>
      </c>
      <c r="K50" s="280">
        <f>SUM(K29,K13)</f>
        <v>378</v>
      </c>
      <c r="L50" s="281">
        <f>SUM(L29,L13)</f>
        <v>1234</v>
      </c>
      <c r="M50" s="280">
        <f>SUM(M29,M13)</f>
        <v>278</v>
      </c>
      <c r="N50" s="280">
        <f>SUM(N29,N13)</f>
        <v>343</v>
      </c>
      <c r="O50" s="280">
        <f>SUM(O29,O13)</f>
        <v>397</v>
      </c>
      <c r="P50" s="280">
        <f>SUM(P29,P13)</f>
        <v>557</v>
      </c>
      <c r="Q50" s="281">
        <f>SUM(Q29,Q13)</f>
        <v>1575</v>
      </c>
      <c r="R50" s="280">
        <f>SUM(R29,R13)</f>
        <v>400</v>
      </c>
      <c r="S50" s="280">
        <f>SUM(S29,S13)</f>
        <v>433</v>
      </c>
      <c r="T50" s="280">
        <f>SUM(T29,T13)</f>
        <v>451</v>
      </c>
      <c r="U50" s="280">
        <f>SUM(U29,U13)</f>
        <v>572.55962172367254</v>
      </c>
      <c r="V50" s="281">
        <f>SUM(V29,V13)</f>
        <v>1856.5596217236725</v>
      </c>
      <c r="W50" s="280">
        <f>SUM(W29,W13)</f>
        <v>440.81843777959773</v>
      </c>
      <c r="X50" s="280">
        <f>SUM(X29,X13)</f>
        <v>475.17482371102471</v>
      </c>
      <c r="Y50" s="280">
        <f>SUM(Y29,Y13)</f>
        <v>487.96477606297412</v>
      </c>
      <c r="Z50" s="280">
        <f>SUM(Z29,Z13)</f>
        <v>617.36252918144282</v>
      </c>
      <c r="AA50" s="281">
        <f>SUM(AA29,AA13)</f>
        <v>2021.3205667350394</v>
      </c>
      <c r="AB50" s="280">
        <f>SUM(AB29,AB13)</f>
        <v>2214.7809726207361</v>
      </c>
      <c r="AC50" s="280">
        <f>SUM(AC29,AC13)</f>
        <v>2399.2667589214652</v>
      </c>
      <c r="AD50" s="282">
        <f>SUM(AD29,AD13)</f>
        <v>2580.2593381346769</v>
      </c>
    </row>
    <row r="51" spans="1:30" s="300" customFormat="1" x14ac:dyDescent="0.25">
      <c r="A51" s="301"/>
      <c r="B51" s="301" t="s">
        <v>217</v>
      </c>
      <c r="C51" s="301">
        <f>C50/C48</f>
        <v>0.19416005953794802</v>
      </c>
      <c r="D51" s="301">
        <f t="shared" ref="D51:AD51" si="277">D50/D48</f>
        <v>0.18950473656891506</v>
      </c>
      <c r="E51" s="301">
        <f t="shared" si="277"/>
        <v>0.18201643040581394</v>
      </c>
      <c r="F51" s="302">
        <f t="shared" si="277"/>
        <v>0.19561807490862115</v>
      </c>
      <c r="G51" s="299">
        <f t="shared" si="277"/>
        <v>0.19058739202133482</v>
      </c>
      <c r="H51" s="301">
        <f t="shared" si="277"/>
        <v>0.1823144887061284</v>
      </c>
      <c r="I51" s="301">
        <f t="shared" si="277"/>
        <v>0.18554368665277146</v>
      </c>
      <c r="J51" s="301">
        <f t="shared" si="277"/>
        <v>0.18797072844085089</v>
      </c>
      <c r="K51" s="301">
        <f t="shared" si="277"/>
        <v>0.20340702378858971</v>
      </c>
      <c r="L51" s="299">
        <f t="shared" si="277"/>
        <v>0.19053848172410151</v>
      </c>
      <c r="M51" s="301">
        <f t="shared" si="277"/>
        <v>0.18959257545306415</v>
      </c>
      <c r="N51" s="301">
        <f t="shared" si="277"/>
        <v>0.21168028152937174</v>
      </c>
      <c r="O51" s="301">
        <f t="shared" si="277"/>
        <v>0.23513713917274648</v>
      </c>
      <c r="P51" s="301">
        <f t="shared" si="277"/>
        <v>0.25487174710873362</v>
      </c>
      <c r="Q51" s="299">
        <f t="shared" si="277"/>
        <v>0.22631369680425864</v>
      </c>
      <c r="R51" s="301">
        <f t="shared" si="277"/>
        <v>0.24134676132457861</v>
      </c>
      <c r="S51" s="301">
        <f t="shared" si="277"/>
        <v>0.2415798452660837</v>
      </c>
      <c r="T51" s="301">
        <f t="shared" si="277"/>
        <v>0.24505985717824663</v>
      </c>
      <c r="U51" s="301">
        <f t="shared" si="277"/>
        <v>0.24368245188172313</v>
      </c>
      <c r="V51" s="299">
        <f t="shared" si="277"/>
        <v>0.24301425821428635</v>
      </c>
      <c r="W51" s="301">
        <f t="shared" si="277"/>
        <v>0.2394016703201309</v>
      </c>
      <c r="X51" s="301">
        <f t="shared" si="277"/>
        <v>0.24079025447461774</v>
      </c>
      <c r="Y51" s="301">
        <f t="shared" si="277"/>
        <v>0.24170046171074819</v>
      </c>
      <c r="Z51" s="301">
        <f t="shared" si="277"/>
        <v>0.24306258423823063</v>
      </c>
      <c r="AA51" s="299">
        <f t="shared" si="277"/>
        <v>0.24139362108078621</v>
      </c>
      <c r="AB51" s="301">
        <f t="shared" si="277"/>
        <v>0.24348984178514668</v>
      </c>
      <c r="AC51" s="301">
        <f t="shared" si="277"/>
        <v>0.24469499058585137</v>
      </c>
      <c r="AD51" s="302">
        <f t="shared" si="277"/>
        <v>0.24606298570945145</v>
      </c>
    </row>
    <row r="52" spans="1:30" s="279" customFormat="1" x14ac:dyDescent="0.25">
      <c r="A52" s="280"/>
      <c r="B52" s="280" t="s">
        <v>52</v>
      </c>
      <c r="C52" s="280">
        <f>SUM(C43,C31,C15)</f>
        <v>563</v>
      </c>
      <c r="D52" s="280">
        <f>SUM(D43,D31,D15)</f>
        <v>608</v>
      </c>
      <c r="E52" s="280">
        <f>SUM(E43,E31,E15)</f>
        <v>630</v>
      </c>
      <c r="F52" s="282">
        <f>SUM(F43,F31,F15)</f>
        <v>825</v>
      </c>
      <c r="G52" s="281">
        <f>SUM(G43,G31,G15)</f>
        <v>2626</v>
      </c>
      <c r="H52" s="280">
        <f>SUM(H43,H31,H15)</f>
        <v>614</v>
      </c>
      <c r="I52" s="280">
        <f>SUM(I43,I31,I15)</f>
        <v>610</v>
      </c>
      <c r="J52" s="280">
        <f>SUM(J43,J31,J15)</f>
        <v>607</v>
      </c>
      <c r="K52" s="280">
        <f>SUM(K43,K31,K15)</f>
        <v>766</v>
      </c>
      <c r="L52" s="281">
        <f>SUM(L43,L31,L15)</f>
        <v>2597</v>
      </c>
      <c r="M52" s="280">
        <f>SUM(M43,M31,M15)</f>
        <v>574</v>
      </c>
      <c r="N52" s="280">
        <f>SUM(N43,N31,N15)</f>
        <v>599</v>
      </c>
      <c r="O52" s="280">
        <f>SUM(O43,O31,O15)</f>
        <v>610</v>
      </c>
      <c r="P52" s="280">
        <f>SUM(P43,P31,P15)</f>
        <v>816</v>
      </c>
      <c r="Q52" s="281">
        <f>SUM(Q43,Q31,Q15)</f>
        <v>2599</v>
      </c>
      <c r="R52" s="280">
        <f>SUM(R43,R31,R15)</f>
        <v>612</v>
      </c>
      <c r="S52" s="280">
        <f>SUM(S43,S31,S15)</f>
        <v>651</v>
      </c>
      <c r="T52" s="280">
        <f>SUM(T43,T31,T15)</f>
        <v>644</v>
      </c>
      <c r="U52" s="280">
        <f>SUM(U43,U31,U15)</f>
        <v>820.74087129844725</v>
      </c>
      <c r="V52" s="281">
        <f>SUM(V43,V31,V15)</f>
        <v>2727.740871298447</v>
      </c>
      <c r="W52" s="280">
        <f>SUM(W43,W31,W15)</f>
        <v>649.42744509936642</v>
      </c>
      <c r="X52" s="280">
        <f>SUM(X43,X31,X15)</f>
        <v>691.69487200442074</v>
      </c>
      <c r="Y52" s="280">
        <f>SUM(Y43,Y31,Y15)</f>
        <v>703.13769485940554</v>
      </c>
      <c r="Z52" s="280">
        <f>SUM(Z43,Z31,Z15)</f>
        <v>889.04400238137714</v>
      </c>
      <c r="AA52" s="281">
        <f>SUM(AA43,AA31,AA15)</f>
        <v>2933.3040143445701</v>
      </c>
      <c r="AB52" s="280">
        <f>SUM(AB43,AB31,AB15)</f>
        <v>3172.0109055295752</v>
      </c>
      <c r="AC52" s="280">
        <f>SUM(AC43,AC31,AC15)</f>
        <v>3406.2221647421743</v>
      </c>
      <c r="AD52" s="282">
        <f>SUM(AD43,AD31,AD15)</f>
        <v>3623.7430763320272</v>
      </c>
    </row>
    <row r="53" spans="1:30" s="300" customFormat="1" x14ac:dyDescent="0.25">
      <c r="A53" s="301"/>
      <c r="B53" s="301" t="s">
        <v>217</v>
      </c>
      <c r="C53" s="301">
        <f>C52/C48</f>
        <v>0.39749859461768994</v>
      </c>
      <c r="D53" s="301">
        <f t="shared" ref="D53:AD53" si="278">D52/D48</f>
        <v>0.40713385100318145</v>
      </c>
      <c r="E53" s="301">
        <f t="shared" si="278"/>
        <v>0.41850493122504662</v>
      </c>
      <c r="F53" s="302">
        <f t="shared" si="278"/>
        <v>0.44829142166559016</v>
      </c>
      <c r="G53" s="299">
        <f t="shared" si="278"/>
        <v>0.41986786195304132</v>
      </c>
      <c r="H53" s="301">
        <f t="shared" si="278"/>
        <v>0.40705853114750123</v>
      </c>
      <c r="I53" s="301">
        <f t="shared" si="278"/>
        <v>0.39574003097269439</v>
      </c>
      <c r="J53" s="301">
        <f t="shared" si="278"/>
        <v>0.38677366835117455</v>
      </c>
      <c r="K53" s="301">
        <f t="shared" si="278"/>
        <v>0.4121951857726448</v>
      </c>
      <c r="L53" s="299">
        <f t="shared" si="278"/>
        <v>0.40099549192665451</v>
      </c>
      <c r="M53" s="301">
        <f t="shared" si="278"/>
        <v>0.39146092917287345</v>
      </c>
      <c r="N53" s="301">
        <f t="shared" si="278"/>
        <v>0.36966906307899028</v>
      </c>
      <c r="O53" s="301">
        <f t="shared" si="278"/>
        <v>0.36129384104628554</v>
      </c>
      <c r="P53" s="301">
        <f t="shared" si="278"/>
        <v>0.37338482161710346</v>
      </c>
      <c r="Q53" s="299">
        <f t="shared" si="278"/>
        <v>0.3734535225360433</v>
      </c>
      <c r="R53" s="301">
        <f t="shared" si="278"/>
        <v>0.36926054482660525</v>
      </c>
      <c r="S53" s="301">
        <f t="shared" si="278"/>
        <v>0.36320664958018589</v>
      </c>
      <c r="T53" s="301">
        <f t="shared" si="278"/>
        <v>0.34993026169133223</v>
      </c>
      <c r="U53" s="301">
        <f t="shared" si="278"/>
        <v>0.34930885848263854</v>
      </c>
      <c r="V53" s="299">
        <f t="shared" si="278"/>
        <v>0.35704747463157166</v>
      </c>
      <c r="W53" s="301">
        <f t="shared" si="278"/>
        <v>0.35269399322688494</v>
      </c>
      <c r="X53" s="301">
        <f t="shared" si="278"/>
        <v>0.35050969861572728</v>
      </c>
      <c r="Y53" s="301">
        <f t="shared" si="278"/>
        <v>0.34828068301351495</v>
      </c>
      <c r="Z53" s="301">
        <f t="shared" si="278"/>
        <v>0.35002664156963659</v>
      </c>
      <c r="AA53" s="299">
        <f t="shared" si="278"/>
        <v>0.3503060768323244</v>
      </c>
      <c r="AB53" s="301">
        <f t="shared" si="278"/>
        <v>0.34872632692624067</v>
      </c>
      <c r="AC53" s="301">
        <f t="shared" si="278"/>
        <v>0.34739175935133559</v>
      </c>
      <c r="AD53" s="302">
        <f t="shared" si="278"/>
        <v>0.34557341877534575</v>
      </c>
    </row>
    <row r="54" spans="1:30" s="289" customFormat="1" x14ac:dyDescent="0.25">
      <c r="A54" s="284"/>
      <c r="B54" s="284" t="s">
        <v>192</v>
      </c>
      <c r="C54" s="284">
        <f>C48-SUM(C50,C52)</f>
        <v>578.35720886381409</v>
      </c>
      <c r="D54" s="284">
        <f t="shared" ref="D54:AD54" si="279">D48-SUM(D50,D52)</f>
        <v>602.36636710969265</v>
      </c>
      <c r="E54" s="284">
        <f t="shared" si="279"/>
        <v>601.35860630331285</v>
      </c>
      <c r="F54" s="286">
        <f t="shared" si="279"/>
        <v>655.32073809215422</v>
      </c>
      <c r="G54" s="285">
        <f t="shared" si="279"/>
        <v>2436.3486605166654</v>
      </c>
      <c r="H54" s="284">
        <f t="shared" si="279"/>
        <v>619.38258633010128</v>
      </c>
      <c r="I54" s="284">
        <f t="shared" si="279"/>
        <v>645.41596062615486</v>
      </c>
      <c r="J54" s="284">
        <f t="shared" si="279"/>
        <v>667.3932903645059</v>
      </c>
      <c r="K54" s="284">
        <f t="shared" si="279"/>
        <v>714.34290753338382</v>
      </c>
      <c r="L54" s="285">
        <f t="shared" si="279"/>
        <v>2645.382034925753</v>
      </c>
      <c r="M54" s="284">
        <f t="shared" si="279"/>
        <v>614.30214466822372</v>
      </c>
      <c r="N54" s="284">
        <f t="shared" si="279"/>
        <v>678.36821531913438</v>
      </c>
      <c r="O54" s="284">
        <f t="shared" si="279"/>
        <v>681.37641470299127</v>
      </c>
      <c r="P54" s="284">
        <f t="shared" si="279"/>
        <v>812.41288439621439</v>
      </c>
      <c r="Q54" s="285">
        <f t="shared" si="279"/>
        <v>2785.3666766101032</v>
      </c>
      <c r="R54" s="284">
        <f t="shared" si="279"/>
        <v>645.36634626745354</v>
      </c>
      <c r="S54" s="284">
        <f t="shared" si="279"/>
        <v>708.36806581724591</v>
      </c>
      <c r="T54" s="284">
        <f t="shared" si="279"/>
        <v>745.36669731656957</v>
      </c>
      <c r="U54" s="284">
        <f t="shared" si="279"/>
        <v>956.31318372132296</v>
      </c>
      <c r="V54" s="285">
        <f t="shared" si="279"/>
        <v>3055.4142931225924</v>
      </c>
      <c r="W54" s="284">
        <f t="shared" si="279"/>
        <v>751.08812782417681</v>
      </c>
      <c r="X54" s="284">
        <f t="shared" si="279"/>
        <v>806.5275447493425</v>
      </c>
      <c r="Y54" s="284">
        <f t="shared" si="279"/>
        <v>827.77979603389713</v>
      </c>
      <c r="Z54" s="284">
        <f t="shared" si="279"/>
        <v>1033.5258529968419</v>
      </c>
      <c r="AA54" s="285">
        <f t="shared" si="279"/>
        <v>3418.9213216042572</v>
      </c>
      <c r="AB54" s="284">
        <f t="shared" si="279"/>
        <v>3709.1973277363131</v>
      </c>
      <c r="AC54" s="284">
        <f t="shared" si="279"/>
        <v>3999.6433889232067</v>
      </c>
      <c r="AD54" s="286">
        <f t="shared" si="279"/>
        <v>4282.1718091583789</v>
      </c>
    </row>
    <row r="55" spans="1:30" s="300" customFormat="1" x14ac:dyDescent="0.25">
      <c r="A55" s="301"/>
      <c r="B55" s="301" t="s">
        <v>217</v>
      </c>
      <c r="C55" s="301">
        <f>C54/C48</f>
        <v>0.4083413458443621</v>
      </c>
      <c r="D55" s="301">
        <f t="shared" ref="D55:AD55" si="280">D54/D48</f>
        <v>0.40336141242790347</v>
      </c>
      <c r="E55" s="301">
        <f t="shared" si="280"/>
        <v>0.39947863836913944</v>
      </c>
      <c r="F55" s="302">
        <f t="shared" si="280"/>
        <v>0.35609050342578868</v>
      </c>
      <c r="G55" s="299">
        <f t="shared" si="280"/>
        <v>0.38954474602562389</v>
      </c>
      <c r="H55" s="301">
        <f t="shared" si="280"/>
        <v>0.41062698014637034</v>
      </c>
      <c r="I55" s="301">
        <f t="shared" si="280"/>
        <v>0.41871628237453412</v>
      </c>
      <c r="J55" s="301">
        <f t="shared" si="280"/>
        <v>0.42525560320797456</v>
      </c>
      <c r="K55" s="301">
        <f t="shared" si="280"/>
        <v>0.38439779043876549</v>
      </c>
      <c r="L55" s="299">
        <f t="shared" si="280"/>
        <v>0.408466026349244</v>
      </c>
      <c r="M55" s="301">
        <f t="shared" si="280"/>
        <v>0.41894649537406237</v>
      </c>
      <c r="N55" s="301">
        <f t="shared" si="280"/>
        <v>0.41865065539163798</v>
      </c>
      <c r="O55" s="301">
        <f t="shared" si="280"/>
        <v>0.40356901978096799</v>
      </c>
      <c r="P55" s="301">
        <f t="shared" si="280"/>
        <v>0.37174343127416298</v>
      </c>
      <c r="Q55" s="299">
        <f t="shared" si="280"/>
        <v>0.40023278065969803</v>
      </c>
      <c r="R55" s="301">
        <f t="shared" si="280"/>
        <v>0.38939269384881614</v>
      </c>
      <c r="S55" s="301">
        <f t="shared" si="280"/>
        <v>0.39521350515373038</v>
      </c>
      <c r="T55" s="301">
        <f t="shared" si="280"/>
        <v>0.40500988113042113</v>
      </c>
      <c r="U55" s="301">
        <f t="shared" si="280"/>
        <v>0.40700868963563835</v>
      </c>
      <c r="V55" s="299">
        <f t="shared" si="280"/>
        <v>0.39993826715414199</v>
      </c>
      <c r="W55" s="301">
        <f t="shared" si="280"/>
        <v>0.40790433645298424</v>
      </c>
      <c r="X55" s="301">
        <f t="shared" si="280"/>
        <v>0.40870004690965495</v>
      </c>
      <c r="Y55" s="301">
        <f t="shared" si="280"/>
        <v>0.41001885527573678</v>
      </c>
      <c r="Z55" s="301">
        <f t="shared" si="280"/>
        <v>0.40691077419213278</v>
      </c>
      <c r="AA55" s="299">
        <f t="shared" si="280"/>
        <v>0.40830030208688933</v>
      </c>
      <c r="AB55" s="301">
        <f t="shared" si="280"/>
        <v>0.40778383128861267</v>
      </c>
      <c r="AC55" s="301">
        <f t="shared" si="280"/>
        <v>0.40791325006281309</v>
      </c>
      <c r="AD55" s="302">
        <f t="shared" si="280"/>
        <v>0.40836359551520279</v>
      </c>
    </row>
    <row r="56" spans="1:30" x14ac:dyDescent="0.25"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</row>
  </sheetData>
  <phoneticPr fontId="7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8"/>
  <sheetViews>
    <sheetView showGridLines="0" zoomScaleNormal="100" workbookViewId="0">
      <selection activeCell="F34" sqref="F34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2" t="str">
        <f>CoName</f>
        <v>Yum Brands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4" t="s">
        <v>124</v>
      </c>
      <c r="B2" s="260" t="s">
        <v>125</v>
      </c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195"/>
      <c r="L2" s="195"/>
    </row>
    <row r="3" spans="1:20" x14ac:dyDescent="0.25">
      <c r="A3" s="85"/>
      <c r="B3" s="159"/>
      <c r="C3" s="195"/>
      <c r="D3" s="195"/>
      <c r="E3" s="195"/>
      <c r="F3" s="195"/>
      <c r="G3" s="195"/>
      <c r="H3" s="195"/>
      <c r="I3" s="195"/>
      <c r="J3" s="195"/>
      <c r="K3" s="195"/>
      <c r="L3" s="195"/>
    </row>
    <row r="4" spans="1:20" x14ac:dyDescent="0.25">
      <c r="B4" s="93" t="s">
        <v>131</v>
      </c>
      <c r="C4"/>
      <c r="D4" s="257">
        <v>1</v>
      </c>
      <c r="E4"/>
      <c r="F4"/>
      <c r="G4" s="88"/>
      <c r="H4" s="88"/>
      <c r="I4" s="88"/>
      <c r="J4" s="88"/>
      <c r="K4" s="88"/>
      <c r="M4" s="230"/>
      <c r="N4" s="231"/>
      <c r="O4" s="231"/>
    </row>
    <row r="5" spans="1:20" x14ac:dyDescent="0.25">
      <c r="B5" s="87"/>
      <c r="C5" s="89"/>
      <c r="D5" s="112" t="s">
        <v>126</v>
      </c>
      <c r="E5" s="90"/>
      <c r="K5" s="88"/>
      <c r="M5" s="232"/>
      <c r="N5" s="233"/>
      <c r="O5" s="233"/>
    </row>
    <row r="6" spans="1:20" x14ac:dyDescent="0.25">
      <c r="B6" s="91" t="s">
        <v>132</v>
      </c>
      <c r="D6" s="100">
        <v>0</v>
      </c>
      <c r="E6" s="92"/>
      <c r="F6" s="100">
        <f>'Quarterly Projections'!V49</f>
        <v>9.7760060814327643E-2</v>
      </c>
      <c r="G6" s="100">
        <f>'Quarterly Projections'!AA49</f>
        <v>9.6054779148303071E-2</v>
      </c>
      <c r="H6" s="100">
        <f>'Quarterly Projections'!AB49</f>
        <v>8.6276866646327388E-2</v>
      </c>
      <c r="I6" s="100">
        <f>'Quarterly Projections'!AC49</f>
        <v>7.7962175487333196E-2</v>
      </c>
      <c r="J6" s="100">
        <f>'Quarterly Projections'!AD49</f>
        <v>6.9457697186195322E-2</v>
      </c>
      <c r="K6" s="170"/>
      <c r="M6" s="170"/>
      <c r="N6" s="234"/>
      <c r="O6" s="234"/>
      <c r="P6" s="234"/>
      <c r="Q6" s="234"/>
      <c r="R6" s="234"/>
      <c r="S6" s="234"/>
      <c r="T6" s="234"/>
    </row>
    <row r="7" spans="1:20" x14ac:dyDescent="0.25">
      <c r="B7" s="4" t="s">
        <v>128</v>
      </c>
      <c r="D7" s="100">
        <v>2.5000000000000001E-2</v>
      </c>
      <c r="E7" s="92"/>
      <c r="F7" s="100">
        <f>F6+$D$7</f>
        <v>0.12276006081432764</v>
      </c>
      <c r="G7" s="100">
        <f t="shared" ref="G7:J7" si="1">G6+$D$7</f>
        <v>0.12105477914830307</v>
      </c>
      <c r="H7" s="100">
        <f t="shared" si="1"/>
        <v>0.11127686664632738</v>
      </c>
      <c r="I7" s="100">
        <f t="shared" si="1"/>
        <v>0.10296217548733319</v>
      </c>
      <c r="J7" s="100">
        <f t="shared" si="1"/>
        <v>9.4457697186195316E-2</v>
      </c>
      <c r="K7" s="170"/>
      <c r="M7" s="170"/>
      <c r="N7" s="170"/>
      <c r="O7" s="170"/>
      <c r="P7" s="170"/>
      <c r="Q7" s="170"/>
      <c r="R7" s="170"/>
      <c r="S7" s="170"/>
      <c r="T7" s="170"/>
    </row>
    <row r="8" spans="1:20" x14ac:dyDescent="0.25">
      <c r="B8" s="4" t="s">
        <v>127</v>
      </c>
      <c r="D8" s="100">
        <v>-2.5000000000000001E-2</v>
      </c>
      <c r="E8" s="92"/>
      <c r="F8" s="100">
        <f>F6+$D$8</f>
        <v>7.2760060814327648E-2</v>
      </c>
      <c r="G8" s="100">
        <f t="shared" ref="G8:J8" si="2">G6+$D$8</f>
        <v>7.1054779148303077E-2</v>
      </c>
      <c r="H8" s="100">
        <f t="shared" si="2"/>
        <v>6.1276866646327387E-2</v>
      </c>
      <c r="I8" s="100">
        <f t="shared" si="2"/>
        <v>5.2962175487333195E-2</v>
      </c>
      <c r="J8" s="100">
        <f t="shared" si="2"/>
        <v>4.445769718619532E-2</v>
      </c>
      <c r="K8" s="170"/>
    </row>
    <row r="9" spans="1:20" x14ac:dyDescent="0.25">
      <c r="K9" s="30"/>
      <c r="L9" s="30"/>
      <c r="M9" s="170"/>
      <c r="N9" s="170"/>
    </row>
    <row r="10" spans="1:20" x14ac:dyDescent="0.25">
      <c r="B10" s="117" t="s">
        <v>149</v>
      </c>
      <c r="C10" s="190"/>
      <c r="D10" s="270">
        <f>'Quarterly Projections'!L49</f>
        <v>3.5500639069064199E-2</v>
      </c>
      <c r="E10" s="191">
        <f>'Quarterly Projections'!Q49</f>
        <v>7.4576304961584405E-2</v>
      </c>
      <c r="F10" s="104">
        <f t="shared" ref="F10" si="3">CHOOSE(ScenarioREV,F6,F7,F8)</f>
        <v>9.7760060814327643E-2</v>
      </c>
      <c r="G10" s="104">
        <f t="shared" ref="G10:J10" si="4">CHOOSE(ScenarioREV,G6,G7,G8)</f>
        <v>9.6054779148303071E-2</v>
      </c>
      <c r="H10" s="104">
        <f t="shared" si="4"/>
        <v>8.6276866646327388E-2</v>
      </c>
      <c r="I10" s="104">
        <f t="shared" si="4"/>
        <v>7.7962175487333196E-2</v>
      </c>
      <c r="J10" s="104">
        <f t="shared" si="4"/>
        <v>6.9457697186195322E-2</v>
      </c>
      <c r="K10" s="29"/>
      <c r="L10" s="29"/>
      <c r="M10" s="170"/>
      <c r="N10" s="170"/>
    </row>
    <row r="11" spans="1:20" x14ac:dyDescent="0.25">
      <c r="B11" s="4" t="s">
        <v>133</v>
      </c>
      <c r="C11" s="8"/>
      <c r="D11" s="8"/>
      <c r="E11" s="8"/>
      <c r="F11" s="100">
        <f>'Quarterly Projections'!V51</f>
        <v>0.24301425821428635</v>
      </c>
      <c r="G11" s="100">
        <f>'Quarterly Projections'!AA51</f>
        <v>0.24139362108078621</v>
      </c>
      <c r="H11" s="100">
        <f>'Quarterly Projections'!AB51</f>
        <v>0.24348984178514668</v>
      </c>
      <c r="I11" s="100">
        <f>'Quarterly Projections'!AC51</f>
        <v>0.24469499058585137</v>
      </c>
      <c r="J11" s="100">
        <f>'Quarterly Projections'!AD51</f>
        <v>0.24606298570945145</v>
      </c>
      <c r="K11" s="170"/>
      <c r="L11" s="170"/>
      <c r="M11" s="170"/>
      <c r="N11" s="170"/>
    </row>
    <row r="12" spans="1:20" x14ac:dyDescent="0.25">
      <c r="B12" s="4" t="s">
        <v>45</v>
      </c>
      <c r="C12" s="8"/>
      <c r="D12" s="8"/>
      <c r="E12" s="8"/>
      <c r="F12" s="100">
        <f>'Quarterly Projections'!V53</f>
        <v>0.35704747463157166</v>
      </c>
      <c r="G12" s="100">
        <f>'Quarterly Projections'!AA53</f>
        <v>0.3503060768323244</v>
      </c>
      <c r="H12" s="100">
        <f>'Quarterly Projections'!AB53</f>
        <v>0.34872632692624067</v>
      </c>
      <c r="I12" s="100">
        <f>'Quarterly Projections'!AC53</f>
        <v>0.34739175935133559</v>
      </c>
      <c r="J12" s="100">
        <f>'Quarterly Projections'!AD53</f>
        <v>0.34557341877534575</v>
      </c>
      <c r="K12" s="170"/>
      <c r="L12" s="170"/>
    </row>
    <row r="13" spans="1:20" x14ac:dyDescent="0.25">
      <c r="B13" s="4" t="s">
        <v>135</v>
      </c>
      <c r="F13" s="101">
        <f>E13</f>
        <v>0</v>
      </c>
      <c r="G13" s="101">
        <f t="shared" ref="G13:J13" si="5">F13</f>
        <v>0</v>
      </c>
      <c r="H13" s="101">
        <f t="shared" si="5"/>
        <v>0</v>
      </c>
      <c r="I13" s="101">
        <f t="shared" si="5"/>
        <v>0</v>
      </c>
      <c r="J13" s="101">
        <f t="shared" si="5"/>
        <v>0</v>
      </c>
      <c r="K13" s="196"/>
      <c r="L13" s="196"/>
    </row>
    <row r="14" spans="1:20" x14ac:dyDescent="0.25">
      <c r="B14" s="4" t="s">
        <v>136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96"/>
      <c r="L14" s="196"/>
    </row>
    <row r="15" spans="1:20" x14ac:dyDescent="0.25">
      <c r="B15" s="4" t="s">
        <v>138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96"/>
      <c r="L15" s="196"/>
    </row>
    <row r="16" spans="1:20" x14ac:dyDescent="0.25">
      <c r="B16" s="4" t="s">
        <v>48</v>
      </c>
      <c r="C16" s="8">
        <f>IncState!C33/IncState!C31</f>
        <v>0.17548896558676533</v>
      </c>
      <c r="D16" s="8">
        <f>IncState!D33/IncState!D31</f>
        <v>0.10330085809459916</v>
      </c>
      <c r="E16" s="8">
        <f>IncState!E33/IncState!E31</f>
        <v>0.17865105431032116</v>
      </c>
      <c r="F16" s="100">
        <f>E16</f>
        <v>0.17865105431032116</v>
      </c>
      <c r="G16" s="100">
        <f t="shared" ref="G16:J16" si="6">F16</f>
        <v>0.17865105431032116</v>
      </c>
      <c r="H16" s="100">
        <f t="shared" si="6"/>
        <v>0.17865105431032116</v>
      </c>
      <c r="I16" s="100">
        <f t="shared" si="6"/>
        <v>0.17865105431032116</v>
      </c>
      <c r="J16" s="100">
        <f t="shared" si="6"/>
        <v>0.17865105431032116</v>
      </c>
      <c r="K16" s="170"/>
      <c r="L16" s="170"/>
    </row>
    <row r="17" spans="1:12" s="263" customFormat="1" x14ac:dyDescent="0.25">
      <c r="B17" s="263" t="s">
        <v>139</v>
      </c>
      <c r="C17" s="263">
        <f>IncState!C35</f>
        <v>2.2692307692307692</v>
      </c>
      <c r="D17" s="263">
        <f>IncState!D35</f>
        <v>2.4128113879003559</v>
      </c>
      <c r="E17" s="263">
        <f>IncState!E35</f>
        <v>2.6666666666666665</v>
      </c>
      <c r="F17" s="264">
        <f>E17+(E17-D17)</f>
        <v>2.9205219454329772</v>
      </c>
      <c r="G17" s="264">
        <f t="shared" ref="G17:J17" si="7">F17+(F17-E17)</f>
        <v>3.1743772241992878</v>
      </c>
      <c r="H17" s="264">
        <f t="shared" si="7"/>
        <v>3.4282325029655984</v>
      </c>
      <c r="I17" s="264">
        <f t="shared" si="7"/>
        <v>3.6820877817319091</v>
      </c>
      <c r="J17" s="264">
        <f t="shared" si="7"/>
        <v>3.9359430604982197</v>
      </c>
      <c r="K17" s="265"/>
      <c r="L17" s="265"/>
    </row>
    <row r="18" spans="1:12" x14ac:dyDescent="0.25">
      <c r="B18" s="4" t="s">
        <v>49</v>
      </c>
      <c r="C18" s="4">
        <f>IncState!C38</f>
        <v>286</v>
      </c>
      <c r="D18" s="4">
        <f>IncState!D38</f>
        <v>281</v>
      </c>
      <c r="E18" s="4">
        <f>IncState!E38</f>
        <v>282</v>
      </c>
      <c r="F18" s="101">
        <f>E18</f>
        <v>282</v>
      </c>
      <c r="G18" s="101">
        <f t="shared" ref="G18:J18" si="8">F18</f>
        <v>282</v>
      </c>
      <c r="H18" s="101">
        <f t="shared" si="8"/>
        <v>282</v>
      </c>
      <c r="I18" s="101">
        <f t="shared" si="8"/>
        <v>282</v>
      </c>
      <c r="J18" s="101">
        <f t="shared" si="8"/>
        <v>282</v>
      </c>
      <c r="K18" s="196"/>
      <c r="L18" s="196"/>
    </row>
    <row r="19" spans="1:12" x14ac:dyDescent="0.25">
      <c r="B19" s="4" t="s">
        <v>50</v>
      </c>
      <c r="C19" s="4">
        <f>IncState!C39</f>
        <v>290</v>
      </c>
      <c r="D19" s="4">
        <f>IncState!D39</f>
        <v>285</v>
      </c>
      <c r="E19" s="4">
        <f>IncState!E39</f>
        <v>285</v>
      </c>
      <c r="F19" s="101">
        <f>E19</f>
        <v>285</v>
      </c>
      <c r="G19" s="101">
        <f t="shared" ref="G19:J19" si="9">F19</f>
        <v>285</v>
      </c>
      <c r="H19" s="101">
        <f t="shared" si="9"/>
        <v>285</v>
      </c>
      <c r="I19" s="101">
        <f t="shared" si="9"/>
        <v>285</v>
      </c>
      <c r="J19" s="101">
        <f t="shared" si="9"/>
        <v>285</v>
      </c>
      <c r="K19" s="196"/>
      <c r="L19" s="196"/>
    </row>
    <row r="20" spans="1:12" x14ac:dyDescent="0.25">
      <c r="F20" s="103"/>
      <c r="G20" s="103"/>
      <c r="H20" s="103"/>
      <c r="I20" s="103"/>
      <c r="J20" s="103"/>
      <c r="K20" s="170"/>
      <c r="L20" s="170"/>
    </row>
    <row r="21" spans="1:12" x14ac:dyDescent="0.25">
      <c r="A21" s="64" t="s">
        <v>124</v>
      </c>
      <c r="B21" s="106" t="s">
        <v>144</v>
      </c>
      <c r="C21" s="260">
        <f>C2</f>
        <v>2022</v>
      </c>
      <c r="D21" s="260">
        <f>D2</f>
        <v>2023</v>
      </c>
      <c r="E21" s="260">
        <f>E2</f>
        <v>2024</v>
      </c>
      <c r="F21" s="260">
        <f>F2</f>
        <v>2025</v>
      </c>
      <c r="G21" s="260">
        <f>G2</f>
        <v>2026</v>
      </c>
      <c r="H21" s="260">
        <f>H2</f>
        <v>2027</v>
      </c>
      <c r="I21" s="260">
        <f>I2</f>
        <v>2028</v>
      </c>
      <c r="J21" s="260">
        <f>J2</f>
        <v>2029</v>
      </c>
      <c r="K21" s="197"/>
      <c r="L21" s="197"/>
    </row>
    <row r="22" spans="1:12" x14ac:dyDescent="0.25">
      <c r="A22" s="85"/>
      <c r="B22" s="159"/>
      <c r="C22" s="195"/>
      <c r="D22" s="195"/>
      <c r="E22" s="195"/>
      <c r="F22" s="197"/>
      <c r="G22" s="197"/>
      <c r="H22" s="197"/>
      <c r="I22" s="197"/>
      <c r="J22" s="197"/>
      <c r="K22" s="197"/>
      <c r="L22" s="197"/>
    </row>
    <row r="23" spans="1:12" x14ac:dyDescent="0.25">
      <c r="B23" s="4" t="s">
        <v>137</v>
      </c>
      <c r="E23" s="8">
        <f>E24+2%</f>
        <v>6.4799999999999996E-2</v>
      </c>
      <c r="F23" s="100">
        <f>E23</f>
        <v>6.4799999999999996E-2</v>
      </c>
      <c r="G23" s="100">
        <f t="shared" ref="G23:J23" si="10">F23</f>
        <v>6.4799999999999996E-2</v>
      </c>
      <c r="H23" s="100">
        <f t="shared" si="10"/>
        <v>6.4799999999999996E-2</v>
      </c>
      <c r="I23" s="100">
        <f t="shared" si="10"/>
        <v>6.4799999999999996E-2</v>
      </c>
      <c r="J23" s="100">
        <f t="shared" si="10"/>
        <v>6.4799999999999996E-2</v>
      </c>
      <c r="K23" s="170"/>
      <c r="L23" s="170"/>
    </row>
    <row r="24" spans="1:12" x14ac:dyDescent="0.25">
      <c r="B24" s="4" t="s">
        <v>26</v>
      </c>
      <c r="E24" s="8">
        <v>4.48E-2</v>
      </c>
      <c r="F24" s="100">
        <f>E24</f>
        <v>4.48E-2</v>
      </c>
      <c r="G24" s="100">
        <f t="shared" ref="G24:J24" si="11">F24</f>
        <v>4.48E-2</v>
      </c>
      <c r="H24" s="100">
        <f t="shared" si="11"/>
        <v>4.48E-2</v>
      </c>
      <c r="I24" s="100">
        <f t="shared" si="11"/>
        <v>4.48E-2</v>
      </c>
      <c r="J24" s="100">
        <f t="shared" si="11"/>
        <v>4.48E-2</v>
      </c>
      <c r="K24" s="170"/>
      <c r="L24" s="170"/>
    </row>
    <row r="25" spans="1:12" x14ac:dyDescent="0.25">
      <c r="B25" s="4" t="s">
        <v>27</v>
      </c>
      <c r="C25" s="8"/>
      <c r="D25" s="8"/>
      <c r="E25" s="8">
        <f>IncState!E28/SUM(BalSheet!E16:E17)</f>
        <v>3.4090909090909088E-2</v>
      </c>
      <c r="F25" s="126">
        <f>E25</f>
        <v>3.4090909090909088E-2</v>
      </c>
      <c r="G25" s="126">
        <f t="shared" ref="G25:J25" si="12">F25</f>
        <v>3.4090909090909088E-2</v>
      </c>
      <c r="H25" s="126">
        <f t="shared" si="12"/>
        <v>3.4090909090909088E-2</v>
      </c>
      <c r="I25" s="126">
        <f t="shared" si="12"/>
        <v>3.4090909090909088E-2</v>
      </c>
      <c r="J25" s="126">
        <f t="shared" si="12"/>
        <v>3.4090909090909088E-2</v>
      </c>
      <c r="K25" s="170"/>
      <c r="L25" s="170"/>
    </row>
    <row r="26" spans="1:12" x14ac:dyDescent="0.25">
      <c r="F26" s="103"/>
      <c r="G26" s="103"/>
      <c r="H26" s="103"/>
      <c r="I26" s="103"/>
      <c r="J26" s="103"/>
      <c r="K26" s="170"/>
      <c r="L26" s="170"/>
    </row>
    <row r="27" spans="1:12" x14ac:dyDescent="0.25">
      <c r="B27" s="4" t="s">
        <v>28</v>
      </c>
      <c r="E27" s="4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96"/>
      <c r="L27" s="196"/>
    </row>
    <row r="28" spans="1:12" x14ac:dyDescent="0.25">
      <c r="B28" s="4" t="s">
        <v>29</v>
      </c>
      <c r="E28" s="4">
        <v>0</v>
      </c>
      <c r="F28" s="101">
        <v>0</v>
      </c>
      <c r="G28" s="101">
        <v>0</v>
      </c>
      <c r="H28" s="101">
        <v>0</v>
      </c>
      <c r="I28" s="101">
        <v>0</v>
      </c>
      <c r="J28" s="101">
        <v>0</v>
      </c>
      <c r="K28" s="196"/>
      <c r="L28" s="196"/>
    </row>
    <row r="29" spans="1:12" x14ac:dyDescent="0.25">
      <c r="F29" s="103"/>
      <c r="G29" s="103"/>
      <c r="H29" s="103"/>
      <c r="I29" s="103"/>
      <c r="J29" s="103"/>
      <c r="K29" s="170"/>
      <c r="L29" s="170"/>
    </row>
    <row r="30" spans="1:12" x14ac:dyDescent="0.25">
      <c r="A30" s="64" t="s">
        <v>124</v>
      </c>
      <c r="B30" s="106" t="s">
        <v>141</v>
      </c>
      <c r="C30" s="260">
        <f>C21</f>
        <v>2022</v>
      </c>
      <c r="D30" s="260">
        <f t="shared" ref="D30:J30" si="13">D21</f>
        <v>2023</v>
      </c>
      <c r="E30" s="260">
        <f t="shared" si="13"/>
        <v>2024</v>
      </c>
      <c r="F30" s="260">
        <f t="shared" si="13"/>
        <v>2025</v>
      </c>
      <c r="G30" s="260">
        <f t="shared" si="13"/>
        <v>2026</v>
      </c>
      <c r="H30" s="260">
        <f t="shared" si="13"/>
        <v>2027</v>
      </c>
      <c r="I30" s="260">
        <f t="shared" si="13"/>
        <v>2028</v>
      </c>
      <c r="J30" s="260">
        <f t="shared" si="13"/>
        <v>2029</v>
      </c>
      <c r="K30" s="198"/>
      <c r="L30" s="198"/>
    </row>
    <row r="31" spans="1:12" x14ac:dyDescent="0.25">
      <c r="A31" s="85"/>
      <c r="B31" s="159"/>
      <c r="C31" s="195"/>
      <c r="D31" s="195"/>
      <c r="E31" s="195"/>
      <c r="F31" s="197"/>
      <c r="G31" s="197"/>
      <c r="H31" s="197"/>
      <c r="I31" s="197"/>
      <c r="J31" s="197"/>
      <c r="K31" s="198"/>
      <c r="L31" s="198"/>
    </row>
    <row r="32" spans="1:12" x14ac:dyDescent="0.25">
      <c r="B32" s="4" t="s">
        <v>142</v>
      </c>
      <c r="C32" s="8">
        <f>279/IncState!C16</f>
        <v>4.4608961723114439E-2</v>
      </c>
      <c r="D32" s="8">
        <f>285/IncState!D16</f>
        <v>4.4006051289602055E-2</v>
      </c>
      <c r="E32" s="8">
        <f>257/IncState!E16</f>
        <v>3.6928647669012361E-2</v>
      </c>
      <c r="F32" s="220">
        <f>275/IncState!F16</f>
        <v>3.5996108192250374E-2</v>
      </c>
      <c r="G32" s="220">
        <f>275/IncState!G16</f>
        <v>3.2841522957658562E-2</v>
      </c>
      <c r="H32" s="220">
        <f>275/IncState!H16</f>
        <v>3.0233105358351685E-2</v>
      </c>
      <c r="I32" s="220">
        <f>275/IncState!I16</f>
        <v>2.8046536368202046E-2</v>
      </c>
      <c r="J32" s="220">
        <f>275/IncState!J16</f>
        <v>2.6225007723067587E-2</v>
      </c>
      <c r="K32" s="170"/>
      <c r="L32" s="170"/>
    </row>
    <row r="33" spans="1:12" x14ac:dyDescent="0.25">
      <c r="B33" s="4" t="s">
        <v>155</v>
      </c>
      <c r="D33" s="8">
        <f>IncState!D21/BalSheet!C22</f>
        <v>1.1101622544833475E-2</v>
      </c>
      <c r="E33" s="8">
        <f>IncState!E21/BalSheet!D22</f>
        <v>1.0025062656641603E-2</v>
      </c>
      <c r="F33" s="100">
        <v>0.05</v>
      </c>
      <c r="G33" s="100">
        <f t="shared" ref="G33:J33" si="14">F33</f>
        <v>0.05</v>
      </c>
      <c r="H33" s="100">
        <f t="shared" si="14"/>
        <v>0.05</v>
      </c>
      <c r="I33" s="100">
        <f t="shared" si="14"/>
        <v>0.05</v>
      </c>
      <c r="J33" s="100">
        <f t="shared" si="14"/>
        <v>0.05</v>
      </c>
      <c r="K33" s="170"/>
      <c r="L33" s="170"/>
    </row>
    <row r="34" spans="1:12" x14ac:dyDescent="0.25">
      <c r="B34" s="4" t="s">
        <v>143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99"/>
      <c r="L34" s="199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4" t="s">
        <v>124</v>
      </c>
      <c r="B36" s="106" t="s">
        <v>61</v>
      </c>
      <c r="C36" s="260">
        <f>C30</f>
        <v>2022</v>
      </c>
      <c r="D36" s="260">
        <f t="shared" ref="D36:J36" si="15">D30</f>
        <v>2023</v>
      </c>
      <c r="E36" s="260">
        <f t="shared" si="15"/>
        <v>2024</v>
      </c>
      <c r="F36" s="260">
        <f t="shared" si="15"/>
        <v>2025</v>
      </c>
      <c r="G36" s="260">
        <f t="shared" si="15"/>
        <v>2026</v>
      </c>
      <c r="H36" s="260">
        <f t="shared" si="15"/>
        <v>2027</v>
      </c>
      <c r="I36" s="260">
        <f t="shared" si="15"/>
        <v>2028</v>
      </c>
      <c r="J36" s="260">
        <f t="shared" si="15"/>
        <v>2029</v>
      </c>
      <c r="K36" s="198"/>
      <c r="L36" s="198"/>
    </row>
    <row r="37" spans="1:12" x14ac:dyDescent="0.25">
      <c r="A37" s="85"/>
      <c r="B37" s="159"/>
      <c r="C37" s="195"/>
      <c r="D37" s="195"/>
      <c r="E37" s="195"/>
      <c r="F37" s="258"/>
      <c r="G37" s="258"/>
      <c r="H37" s="258"/>
      <c r="I37" s="258"/>
      <c r="J37" s="258"/>
      <c r="K37" s="198"/>
      <c r="L37" s="198"/>
    </row>
    <row r="38" spans="1:12" s="263" customFormat="1" x14ac:dyDescent="0.25">
      <c r="B38" s="263" t="str">
        <f>B17</f>
        <v>Dividend Payout Rate</v>
      </c>
      <c r="C38" s="4">
        <f>C17</f>
        <v>2.2692307692307692</v>
      </c>
      <c r="D38" s="4">
        <f t="shared" ref="D38:E38" si="16">D17</f>
        <v>2.4128113879003559</v>
      </c>
      <c r="E38" s="4">
        <f t="shared" si="16"/>
        <v>2.6666666666666665</v>
      </c>
      <c r="F38" s="313">
        <f>F17</f>
        <v>2.9205219454329772</v>
      </c>
      <c r="G38" s="313">
        <f t="shared" ref="G38:J38" si="17">G17</f>
        <v>3.1743772241992878</v>
      </c>
      <c r="H38" s="313">
        <f t="shared" si="17"/>
        <v>3.4282325029655984</v>
      </c>
      <c r="I38" s="313">
        <f t="shared" si="17"/>
        <v>3.6820877817319091</v>
      </c>
      <c r="J38" s="313">
        <f t="shared" si="17"/>
        <v>3.9359430604982197</v>
      </c>
      <c r="K38" s="265"/>
      <c r="L38" s="265"/>
    </row>
    <row r="39" spans="1:12" x14ac:dyDescent="0.25">
      <c r="B39" s="4" t="s">
        <v>49</v>
      </c>
      <c r="C39" s="4">
        <f>C18</f>
        <v>286</v>
      </c>
      <c r="D39" s="4">
        <f t="shared" ref="D39:E39" si="18">D18</f>
        <v>281</v>
      </c>
      <c r="E39" s="4">
        <f t="shared" si="18"/>
        <v>282</v>
      </c>
      <c r="F39" s="101">
        <f>F18</f>
        <v>282</v>
      </c>
      <c r="G39" s="101">
        <f t="shared" ref="G39:J40" si="19">G18</f>
        <v>282</v>
      </c>
      <c r="H39" s="101">
        <f t="shared" si="19"/>
        <v>282</v>
      </c>
      <c r="I39" s="101">
        <f t="shared" si="19"/>
        <v>282</v>
      </c>
      <c r="J39" s="101">
        <f t="shared" si="19"/>
        <v>282</v>
      </c>
      <c r="K39" s="196"/>
      <c r="L39" s="196"/>
    </row>
    <row r="40" spans="1:12" x14ac:dyDescent="0.25">
      <c r="B40" s="4" t="s">
        <v>50</v>
      </c>
      <c r="C40" s="4">
        <f t="shared" ref="C40:E40" si="20">C19</f>
        <v>290</v>
      </c>
      <c r="D40" s="4">
        <f t="shared" si="20"/>
        <v>285</v>
      </c>
      <c r="E40" s="4">
        <f t="shared" si="20"/>
        <v>285</v>
      </c>
      <c r="F40" s="101">
        <f>F19</f>
        <v>285</v>
      </c>
      <c r="G40" s="101">
        <f t="shared" si="19"/>
        <v>285</v>
      </c>
      <c r="H40" s="101">
        <f t="shared" si="19"/>
        <v>285</v>
      </c>
      <c r="I40" s="101">
        <f t="shared" si="19"/>
        <v>285</v>
      </c>
      <c r="J40" s="101">
        <f t="shared" si="19"/>
        <v>285</v>
      </c>
      <c r="K40" s="196"/>
      <c r="L40" s="196"/>
    </row>
    <row r="41" spans="1:12" x14ac:dyDescent="0.25">
      <c r="F41" s="30"/>
      <c r="G41" s="30"/>
      <c r="H41" s="30"/>
      <c r="I41" s="30"/>
      <c r="J41" s="30"/>
      <c r="K41" s="30"/>
      <c r="L41" s="30"/>
    </row>
    <row r="42" spans="1:12" x14ac:dyDescent="0.25">
      <c r="A42" s="64" t="s">
        <v>124</v>
      </c>
      <c r="B42" s="106" t="s">
        <v>129</v>
      </c>
      <c r="C42" s="260">
        <f>C36</f>
        <v>2022</v>
      </c>
      <c r="D42" s="260">
        <f t="shared" ref="D42:J42" si="21">D36</f>
        <v>2023</v>
      </c>
      <c r="E42" s="260">
        <f t="shared" si="21"/>
        <v>2024</v>
      </c>
      <c r="F42" s="260">
        <f t="shared" si="21"/>
        <v>2025</v>
      </c>
      <c r="G42" s="260">
        <f t="shared" si="21"/>
        <v>2026</v>
      </c>
      <c r="H42" s="260">
        <f t="shared" si="21"/>
        <v>2027</v>
      </c>
      <c r="I42" s="260">
        <f t="shared" si="21"/>
        <v>2028</v>
      </c>
      <c r="J42" s="260">
        <f t="shared" si="21"/>
        <v>2029</v>
      </c>
      <c r="K42" s="198"/>
      <c r="L42" s="198"/>
    </row>
    <row r="43" spans="1:12" x14ac:dyDescent="0.25">
      <c r="A43" s="85"/>
      <c r="B43" s="159"/>
      <c r="C43" s="195"/>
      <c r="D43" s="195"/>
      <c r="E43" s="195"/>
      <c r="F43" s="258"/>
      <c r="G43" s="258"/>
      <c r="H43" s="258"/>
      <c r="I43" s="258"/>
      <c r="J43" s="258"/>
      <c r="K43" s="198"/>
      <c r="L43" s="198"/>
    </row>
    <row r="44" spans="1:12" x14ac:dyDescent="0.25">
      <c r="B44" s="4" t="s">
        <v>140</v>
      </c>
      <c r="C44" s="8">
        <f>BalSheet!C16/IncState!C16</f>
        <v>5.000000000000001E-2</v>
      </c>
      <c r="D44" s="8">
        <f>BalSheet!D16/IncState!D16</f>
        <v>0.05</v>
      </c>
      <c r="E44" s="8">
        <f>BalSheet!E16/IncState!E16</f>
        <v>0.05</v>
      </c>
      <c r="F44" s="100">
        <f>E44</f>
        <v>0.05</v>
      </c>
      <c r="G44" s="100">
        <f t="shared" ref="G44:J44" si="22">F44</f>
        <v>0.05</v>
      </c>
      <c r="H44" s="100">
        <f t="shared" si="22"/>
        <v>0.05</v>
      </c>
      <c r="I44" s="100">
        <f t="shared" si="22"/>
        <v>0.05</v>
      </c>
      <c r="J44" s="100">
        <f t="shared" si="22"/>
        <v>0.05</v>
      </c>
      <c r="K44" s="170"/>
      <c r="L44" s="170"/>
    </row>
    <row r="45" spans="1:12" x14ac:dyDescent="0.25">
      <c r="B45" s="4" t="s">
        <v>153</v>
      </c>
      <c r="C45" s="8">
        <f>BalSheet!C18/IncState!C16</f>
        <v>0.10360791109884644</v>
      </c>
      <c r="D45" s="8">
        <f>BalSheet!D18/IncState!D16</f>
        <v>0.11379810456293583</v>
      </c>
      <c r="E45" s="8">
        <f>BalSheet!E18/IncState!E16</f>
        <v>0.11136070795130187</v>
      </c>
      <c r="F45" s="100">
        <f>E45</f>
        <v>0.11136070795130187</v>
      </c>
      <c r="G45" s="100">
        <f t="shared" ref="G45:J45" si="23">F45</f>
        <v>0.11136070795130187</v>
      </c>
      <c r="H45" s="100">
        <f t="shared" si="23"/>
        <v>0.11136070795130187</v>
      </c>
      <c r="I45" s="100">
        <f t="shared" si="23"/>
        <v>0.11136070795130187</v>
      </c>
      <c r="J45" s="100">
        <f t="shared" si="23"/>
        <v>0.11136070795130187</v>
      </c>
      <c r="K45" s="170"/>
      <c r="L45" s="170"/>
    </row>
    <row r="46" spans="1:12" x14ac:dyDescent="0.25">
      <c r="B46" s="4" t="s">
        <v>65</v>
      </c>
      <c r="C46" s="8">
        <f>BalSheet!C19/IncState!C16</f>
        <v>9.4973918507275906E-2</v>
      </c>
      <c r="D46" s="8">
        <f>BalSheet!D19/IncState!D16</f>
        <v>5.5586591102655222E-2</v>
      </c>
      <c r="E46" s="8">
        <f>BalSheet!E19/IncState!E16</f>
        <v>6.8971793311774068E-2</v>
      </c>
      <c r="F46" s="100">
        <f t="shared" ref="F46:J46" si="24">E46</f>
        <v>6.8971793311774068E-2</v>
      </c>
      <c r="G46" s="100">
        <f t="shared" si="24"/>
        <v>6.8971793311774068E-2</v>
      </c>
      <c r="H46" s="100">
        <f t="shared" si="24"/>
        <v>6.8971793311774068E-2</v>
      </c>
      <c r="I46" s="100">
        <f t="shared" si="24"/>
        <v>6.8971793311774068E-2</v>
      </c>
      <c r="J46" s="100">
        <f t="shared" si="24"/>
        <v>6.8971793311774068E-2</v>
      </c>
      <c r="K46" s="170"/>
      <c r="L46" s="170"/>
    </row>
    <row r="47" spans="1:12" x14ac:dyDescent="0.25">
      <c r="E47" s="8"/>
      <c r="F47" s="103"/>
      <c r="G47" s="103"/>
      <c r="H47" s="103"/>
      <c r="I47" s="103"/>
      <c r="J47" s="103"/>
      <c r="K47" s="170"/>
      <c r="L47" s="170"/>
    </row>
    <row r="48" spans="1:12" x14ac:dyDescent="0.25">
      <c r="B48" s="4" t="s">
        <v>178</v>
      </c>
      <c r="C48" s="4">
        <f>BalSheet!C24</f>
        <v>0</v>
      </c>
      <c r="D48" s="4">
        <f>BalSheet!D24</f>
        <v>0</v>
      </c>
      <c r="E48" s="4">
        <f>BalSheet!E24</f>
        <v>0</v>
      </c>
      <c r="F48" s="101">
        <f>E48</f>
        <v>0</v>
      </c>
      <c r="G48" s="101">
        <f t="shared" ref="G48:J48" si="25">F48</f>
        <v>0</v>
      </c>
      <c r="H48" s="101">
        <f t="shared" si="25"/>
        <v>0</v>
      </c>
      <c r="I48" s="101">
        <f t="shared" si="25"/>
        <v>0</v>
      </c>
      <c r="J48" s="101">
        <f t="shared" si="25"/>
        <v>0</v>
      </c>
      <c r="K48" s="196"/>
      <c r="L48" s="196"/>
    </row>
    <row r="49" spans="1:12" x14ac:dyDescent="0.25">
      <c r="B49" s="4" t="s">
        <v>66</v>
      </c>
      <c r="C49" s="8">
        <f>BalSheet!C25/IncState!C16</f>
        <v>0.3316092710169869</v>
      </c>
      <c r="D49" s="8">
        <f>BalSheet!D25/IncState!D16</f>
        <v>0.37150371720274578</v>
      </c>
      <c r="E49" s="8">
        <f>BalSheet!E25/IncState!E16</f>
        <v>0.34485896655887033</v>
      </c>
      <c r="F49" s="100">
        <f>E49</f>
        <v>0.34485896655887033</v>
      </c>
      <c r="G49" s="100">
        <f t="shared" ref="G49:J49" si="26">F49</f>
        <v>0.34485896655887033</v>
      </c>
      <c r="H49" s="100">
        <f t="shared" si="26"/>
        <v>0.34485896655887033</v>
      </c>
      <c r="I49" s="100">
        <f t="shared" si="26"/>
        <v>0.34485896655887033</v>
      </c>
      <c r="J49" s="100">
        <f t="shared" si="26"/>
        <v>0.34485896655887033</v>
      </c>
      <c r="K49" s="170"/>
      <c r="L49" s="170"/>
    </row>
    <row r="50" spans="1:12" x14ac:dyDescent="0.25">
      <c r="F50" s="30"/>
      <c r="G50" s="30"/>
      <c r="H50" s="30"/>
      <c r="I50" s="30"/>
      <c r="J50" s="30"/>
      <c r="K50" s="30"/>
      <c r="L50" s="30"/>
    </row>
    <row r="51" spans="1:12" x14ac:dyDescent="0.25">
      <c r="A51" s="64" t="s">
        <v>124</v>
      </c>
      <c r="B51" s="106" t="s">
        <v>130</v>
      </c>
      <c r="C51" s="260">
        <f>C42</f>
        <v>2022</v>
      </c>
      <c r="D51" s="260">
        <f>D42</f>
        <v>2023</v>
      </c>
      <c r="E51" s="260">
        <f>E42</f>
        <v>2024</v>
      </c>
      <c r="F51" s="260">
        <f>F42</f>
        <v>2025</v>
      </c>
      <c r="G51" s="260">
        <f>G42</f>
        <v>2026</v>
      </c>
      <c r="H51" s="260">
        <f>H42</f>
        <v>2027</v>
      </c>
      <c r="I51" s="260">
        <f>I42</f>
        <v>2028</v>
      </c>
      <c r="J51" s="260">
        <f>J42</f>
        <v>2029</v>
      </c>
      <c r="K51" s="198"/>
      <c r="L51" s="198"/>
    </row>
    <row r="52" spans="1:12" x14ac:dyDescent="0.25">
      <c r="A52" s="85"/>
      <c r="B52" s="159"/>
      <c r="C52" s="195"/>
      <c r="D52" s="195"/>
      <c r="E52" s="195"/>
      <c r="F52" s="258"/>
      <c r="G52" s="258"/>
      <c r="H52" s="258"/>
      <c r="I52" s="258"/>
      <c r="J52" s="258"/>
      <c r="K52" s="198"/>
      <c r="L52" s="198"/>
    </row>
    <row r="53" spans="1:12" x14ac:dyDescent="0.25">
      <c r="B53" s="4" t="s">
        <v>154</v>
      </c>
      <c r="C53" s="8">
        <f>BalSheet!C31/IncState!C17</f>
        <v>1.049496644295302</v>
      </c>
      <c r="D53" s="8">
        <f>BalSheet!D31/IncState!D17</f>
        <v>0.94732576985413286</v>
      </c>
      <c r="E53" s="8">
        <f>BalSheet!E31/IncState!E17</f>
        <v>0.76888888888888884</v>
      </c>
      <c r="F53" s="100">
        <f t="shared" ref="F53:J53" si="27">E53</f>
        <v>0.76888888888888884</v>
      </c>
      <c r="G53" s="100">
        <f t="shared" si="27"/>
        <v>0.76888888888888884</v>
      </c>
      <c r="H53" s="100">
        <f t="shared" si="27"/>
        <v>0.76888888888888884</v>
      </c>
      <c r="I53" s="100">
        <f t="shared" si="27"/>
        <v>0.76888888888888884</v>
      </c>
      <c r="J53" s="100">
        <f t="shared" si="27"/>
        <v>0.76888888888888884</v>
      </c>
      <c r="K53" s="170"/>
      <c r="L53" s="170"/>
    </row>
    <row r="54" spans="1:12" x14ac:dyDescent="0.25">
      <c r="B54" s="4" t="s">
        <v>67</v>
      </c>
      <c r="C54" s="8">
        <f>BalSheet!C32/IncState!C16</f>
        <v>2.558220027132011E-3</v>
      </c>
      <c r="D54" s="8">
        <f>BalSheet!D32/IncState!D16</f>
        <v>8.4923958629056599E-3</v>
      </c>
      <c r="E54" s="8">
        <f>BalSheet!E32/IncState!E16</f>
        <v>4.454428318052075E-3</v>
      </c>
      <c r="F54" s="100">
        <f t="shared" ref="F54:J54" si="28">E54</f>
        <v>4.454428318052075E-3</v>
      </c>
      <c r="G54" s="100">
        <f t="shared" si="28"/>
        <v>4.454428318052075E-3</v>
      </c>
      <c r="H54" s="100">
        <f t="shared" si="28"/>
        <v>4.454428318052075E-3</v>
      </c>
      <c r="I54" s="100">
        <f t="shared" si="28"/>
        <v>4.454428318052075E-3</v>
      </c>
      <c r="J54" s="100">
        <f t="shared" si="28"/>
        <v>4.454428318052075E-3</v>
      </c>
      <c r="K54" s="170"/>
      <c r="L54" s="170"/>
    </row>
    <row r="55" spans="1:12" x14ac:dyDescent="0.25">
      <c r="B55" s="4" t="s">
        <v>68</v>
      </c>
      <c r="C55" s="8">
        <f>BalSheet!C36/IncState!C16</f>
        <v>0.25646155771998408</v>
      </c>
      <c r="D55" s="8">
        <f>BalSheet!D36/IncState!D16</f>
        <v>0.25786001983731727</v>
      </c>
      <c r="E55" s="8">
        <f>BalSheet!E36/IncState!E16</f>
        <v>0.25864422491915273</v>
      </c>
      <c r="F55" s="100">
        <f t="shared" ref="F55:J55" si="29">E55</f>
        <v>0.25864422491915273</v>
      </c>
      <c r="G55" s="100">
        <f t="shared" si="29"/>
        <v>0.25864422491915273</v>
      </c>
      <c r="H55" s="100">
        <f t="shared" si="29"/>
        <v>0.25864422491915273</v>
      </c>
      <c r="I55" s="100">
        <f t="shared" si="29"/>
        <v>0.25864422491915273</v>
      </c>
      <c r="J55" s="100">
        <f t="shared" si="29"/>
        <v>0.25864422491915273</v>
      </c>
      <c r="K55" s="170"/>
      <c r="L55" s="170"/>
    </row>
    <row r="56" spans="1:12" x14ac:dyDescent="0.25">
      <c r="F56" s="121"/>
      <c r="G56" s="30"/>
      <c r="H56" s="30"/>
      <c r="I56" s="30"/>
      <c r="J56" s="30"/>
    </row>
    <row r="57" spans="1:12" x14ac:dyDescent="0.25">
      <c r="F57" s="122"/>
      <c r="G57" s="94"/>
      <c r="H57" s="94"/>
      <c r="I57" s="94"/>
      <c r="J57" s="94"/>
    </row>
    <row r="58" spans="1:12" x14ac:dyDescent="0.25">
      <c r="F58" s="94"/>
      <c r="G58" s="94"/>
      <c r="H58" s="94"/>
      <c r="I58" s="94"/>
      <c r="J58" s="94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K21:L21 F22:L29 K30:L30 K36:L40 F38:J40 K51:L55 F53:J55 F57:J58 F6:K8 F31:L34 K42:L49 F44:J49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25" sqref="F6:J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2" t="str">
        <f>CoName</f>
        <v>Yum Brands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1" t="s">
        <v>11</v>
      </c>
      <c r="B2" s="20"/>
      <c r="C2" s="192">
        <v>2022</v>
      </c>
      <c r="D2" s="251">
        <f>C2+1</f>
        <v>2023</v>
      </c>
      <c r="E2" s="251">
        <f t="shared" ref="E2:J2" si="0">D2+1</f>
        <v>2024</v>
      </c>
      <c r="F2" s="251">
        <f t="shared" si="0"/>
        <v>2025</v>
      </c>
      <c r="G2" s="251">
        <f t="shared" si="0"/>
        <v>2026</v>
      </c>
      <c r="H2" s="251">
        <f t="shared" si="0"/>
        <v>2027</v>
      </c>
      <c r="I2" s="251">
        <f t="shared" si="0"/>
        <v>2028</v>
      </c>
      <c r="J2" s="251">
        <f t="shared" si="0"/>
        <v>2029</v>
      </c>
      <c r="K2" s="193"/>
      <c r="L2" s="193"/>
      <c r="M2" s="193"/>
    </row>
    <row r="3" spans="1:13" x14ac:dyDescent="0.25">
      <c r="B3" s="4" t="s">
        <v>12</v>
      </c>
      <c r="C3" s="29"/>
      <c r="D3" s="29"/>
      <c r="E3" s="40"/>
      <c r="F3" s="202">
        <f>Assumptions!F32</f>
        <v>3.5996108192250374E-2</v>
      </c>
      <c r="G3" s="202">
        <f>Assumptions!G32</f>
        <v>3.2841522957658562E-2</v>
      </c>
      <c r="H3" s="202">
        <f>Assumptions!H32</f>
        <v>3.0233105358351685E-2</v>
      </c>
      <c r="I3" s="202">
        <f>Assumptions!I32</f>
        <v>2.8046536368202046E-2</v>
      </c>
      <c r="J3" s="202">
        <f>Assumptions!J32</f>
        <v>2.6225007723067587E-2</v>
      </c>
      <c r="K3" s="200"/>
      <c r="L3" s="200"/>
    </row>
    <row r="4" spans="1:13" x14ac:dyDescent="0.25">
      <c r="B4" s="4" t="s">
        <v>134</v>
      </c>
      <c r="C4" s="29"/>
      <c r="D4" s="29"/>
      <c r="E4" s="40"/>
      <c r="F4" s="202">
        <f>Assumptions!F33</f>
        <v>0.05</v>
      </c>
      <c r="G4" s="202">
        <f>F4</f>
        <v>0.05</v>
      </c>
      <c r="H4" s="202">
        <f t="shared" ref="H4:J4" si="1">G4</f>
        <v>0.05</v>
      </c>
      <c r="I4" s="202">
        <f t="shared" si="1"/>
        <v>0.05</v>
      </c>
      <c r="J4" s="202">
        <f t="shared" si="1"/>
        <v>0.05</v>
      </c>
      <c r="K4" s="200"/>
      <c r="L4" s="200"/>
    </row>
    <row r="5" spans="1:13" x14ac:dyDescent="0.25">
      <c r="E5" s="28"/>
      <c r="F5" s="78"/>
      <c r="G5" s="66"/>
      <c r="H5" s="83"/>
      <c r="I5" s="66"/>
      <c r="J5" s="66"/>
    </row>
    <row r="6" spans="1:13" x14ac:dyDescent="0.25">
      <c r="B6" s="4" t="s">
        <v>13</v>
      </c>
      <c r="E6" s="28"/>
      <c r="F6" s="4">
        <f>E9</f>
        <v>1304</v>
      </c>
      <c r="G6" s="4">
        <f t="shared" ref="G6:J6" si="2">F9</f>
        <v>1513.8</v>
      </c>
      <c r="H6" s="4">
        <f t="shared" si="2"/>
        <v>1713.11</v>
      </c>
      <c r="I6" s="4">
        <f t="shared" si="2"/>
        <v>1902.4544999999998</v>
      </c>
      <c r="J6" s="4">
        <f t="shared" si="2"/>
        <v>2082.3317749999997</v>
      </c>
    </row>
    <row r="7" spans="1:13" x14ac:dyDescent="0.25">
      <c r="B7" s="4" t="s">
        <v>14</v>
      </c>
      <c r="C7" s="13"/>
      <c r="D7" s="13"/>
      <c r="E7" s="127"/>
      <c r="F7" s="4">
        <f>F3*IncState!F16</f>
        <v>275</v>
      </c>
      <c r="G7" s="4">
        <f>G3*IncState!G16</f>
        <v>275</v>
      </c>
      <c r="H7" s="4">
        <f>H3*IncState!H16</f>
        <v>275</v>
      </c>
      <c r="I7" s="4">
        <f>I3*IncState!I16</f>
        <v>275</v>
      </c>
      <c r="J7" s="4">
        <f>J3*IncState!J16</f>
        <v>275</v>
      </c>
    </row>
    <row r="8" spans="1:13" x14ac:dyDescent="0.25">
      <c r="B8" s="4" t="s">
        <v>15</v>
      </c>
      <c r="E8" s="28"/>
      <c r="F8" s="4">
        <f>F6*F4</f>
        <v>65.2</v>
      </c>
      <c r="G8" s="4">
        <f t="shared" ref="G8:J8" si="3">G6*G4</f>
        <v>75.69</v>
      </c>
      <c r="H8" s="4">
        <f t="shared" si="3"/>
        <v>85.655500000000004</v>
      </c>
      <c r="I8" s="4">
        <f t="shared" si="3"/>
        <v>95.122725000000003</v>
      </c>
      <c r="J8" s="4">
        <f t="shared" si="3"/>
        <v>104.11658874999999</v>
      </c>
    </row>
    <row r="9" spans="1:13" x14ac:dyDescent="0.25">
      <c r="B9" s="4" t="s">
        <v>16</v>
      </c>
      <c r="E9" s="28">
        <f>BalSheet!E22</f>
        <v>1304</v>
      </c>
      <c r="F9" s="4">
        <f>F6+F7-F8</f>
        <v>1513.8</v>
      </c>
      <c r="G9" s="4">
        <f t="shared" ref="G9:J9" si="4">G6+G7-G8</f>
        <v>1713.11</v>
      </c>
      <c r="H9" s="4">
        <f t="shared" si="4"/>
        <v>1902.4544999999998</v>
      </c>
      <c r="I9" s="4">
        <f t="shared" si="4"/>
        <v>2082.3317749999997</v>
      </c>
      <c r="J9" s="4">
        <f t="shared" si="4"/>
        <v>2253.2151862499995</v>
      </c>
    </row>
    <row r="10" spans="1:13" x14ac:dyDescent="0.25">
      <c r="A10" s="21" t="s">
        <v>17</v>
      </c>
      <c r="B10" s="42"/>
      <c r="C10" s="235">
        <f t="shared" ref="C10:J10" si="5">C2</f>
        <v>2022</v>
      </c>
      <c r="D10" s="235">
        <f t="shared" si="5"/>
        <v>2023</v>
      </c>
      <c r="E10" s="235">
        <f t="shared" si="5"/>
        <v>2024</v>
      </c>
      <c r="F10" s="235">
        <f t="shared" si="5"/>
        <v>2025</v>
      </c>
      <c r="G10" s="235">
        <f t="shared" ref="G10:J10" si="6">G2</f>
        <v>2026</v>
      </c>
      <c r="H10" s="235">
        <f t="shared" si="6"/>
        <v>2027</v>
      </c>
      <c r="I10" s="235">
        <f t="shared" si="6"/>
        <v>2028</v>
      </c>
      <c r="J10" s="235">
        <f t="shared" si="6"/>
        <v>2029</v>
      </c>
      <c r="K10" s="195"/>
      <c r="L10" s="195"/>
    </row>
    <row r="11" spans="1:13" x14ac:dyDescent="0.25">
      <c r="B11" s="4" t="s">
        <v>18</v>
      </c>
      <c r="E11" s="28"/>
      <c r="F11" s="253">
        <f>Assumptions!F34</f>
        <v>0</v>
      </c>
      <c r="G11" s="253">
        <f>Assumptions!G34</f>
        <v>0</v>
      </c>
      <c r="H11" s="253">
        <f>Assumptions!H34</f>
        <v>0</v>
      </c>
      <c r="I11" s="253">
        <f>Assumptions!I34</f>
        <v>0</v>
      </c>
      <c r="J11" s="253">
        <f>Assumptions!J34</f>
        <v>0</v>
      </c>
      <c r="K11" s="201"/>
      <c r="L11" s="201"/>
    </row>
    <row r="12" spans="1:13" x14ac:dyDescent="0.25">
      <c r="E12" s="28"/>
      <c r="F12" s="78"/>
      <c r="G12" s="78"/>
      <c r="H12" s="78"/>
      <c r="I12" s="78"/>
      <c r="J12" s="78"/>
    </row>
    <row r="13" spans="1:13" x14ac:dyDescent="0.25">
      <c r="B13" s="4" t="s">
        <v>19</v>
      </c>
      <c r="E13" s="28"/>
      <c r="F13" s="4">
        <f>E17</f>
        <v>-7648</v>
      </c>
      <c r="G13" s="4">
        <f t="shared" ref="G13:J13" si="7">F17</f>
        <v>-5962.0258803106826</v>
      </c>
      <c r="H13" s="4">
        <f t="shared" si="7"/>
        <v>-4049.0728346392616</v>
      </c>
      <c r="I13" s="4">
        <f t="shared" si="7"/>
        <v>-1969.2890859843656</v>
      </c>
      <c r="J13" s="4">
        <f t="shared" si="7"/>
        <v>277.46504019400618</v>
      </c>
    </row>
    <row r="14" spans="1:13" x14ac:dyDescent="0.25">
      <c r="B14" s="4" t="s">
        <v>20</v>
      </c>
      <c r="E14" s="28"/>
      <c r="F14" s="4">
        <f>IncState!F34</f>
        <v>2509.5613083014168</v>
      </c>
      <c r="G14" s="4">
        <f>IncState!G34</f>
        <v>2808.1274228956199</v>
      </c>
      <c r="H14" s="4">
        <f>IncState!H34</f>
        <v>3046.5453144911949</v>
      </c>
      <c r="I14" s="4">
        <f>IncState!I34</f>
        <v>3285.10288062677</v>
      </c>
      <c r="J14" s="4">
        <f>IncState!J34</f>
        <v>3517.1573007142993</v>
      </c>
    </row>
    <row r="15" spans="1:13" x14ac:dyDescent="0.25">
      <c r="B15" s="4" t="s">
        <v>21</v>
      </c>
      <c r="E15" s="28"/>
      <c r="F15" s="4">
        <f>-IncState!F36</f>
        <v>-823.58718861209957</v>
      </c>
      <c r="G15" s="4">
        <f>-IncState!G36</f>
        <v>-895.17437722419913</v>
      </c>
      <c r="H15" s="4">
        <f>-IncState!H36</f>
        <v>-966.76156583629881</v>
      </c>
      <c r="I15" s="4">
        <f>-IncState!I36</f>
        <v>-1038.3487544483983</v>
      </c>
      <c r="J15" s="4">
        <f>-IncState!J36</f>
        <v>-1109.9359430604979</v>
      </c>
    </row>
    <row r="16" spans="1:13" x14ac:dyDescent="0.25">
      <c r="B16" s="4" t="s">
        <v>22</v>
      </c>
      <c r="E16" s="28"/>
      <c r="F16" s="4">
        <f>F11</f>
        <v>0</v>
      </c>
      <c r="G16" s="4">
        <f t="shared" ref="G16:J16" si="8">G11</f>
        <v>0</v>
      </c>
      <c r="H16" s="4">
        <f t="shared" si="8"/>
        <v>0</v>
      </c>
      <c r="I16" s="4">
        <f t="shared" si="8"/>
        <v>0</v>
      </c>
      <c r="J16" s="4">
        <f t="shared" si="8"/>
        <v>0</v>
      </c>
    </row>
    <row r="17" spans="1:12" x14ac:dyDescent="0.25">
      <c r="B17" s="4" t="s">
        <v>23</v>
      </c>
      <c r="E17" s="28">
        <f>BalSheet!E39</f>
        <v>-7648</v>
      </c>
      <c r="F17" s="4">
        <f>SUM(F13:F16)</f>
        <v>-5962.0258803106826</v>
      </c>
      <c r="G17" s="4">
        <f t="shared" ref="G17:J17" si="9">SUM(G13:G16)</f>
        <v>-4049.0728346392616</v>
      </c>
      <c r="H17" s="4">
        <f t="shared" si="9"/>
        <v>-1969.2890859843656</v>
      </c>
      <c r="I17" s="4">
        <f t="shared" si="9"/>
        <v>277.46504019400618</v>
      </c>
      <c r="J17" s="4">
        <f t="shared" si="9"/>
        <v>2684.6863978478077</v>
      </c>
    </row>
    <row r="18" spans="1:12" x14ac:dyDescent="0.25">
      <c r="A18" s="21" t="s">
        <v>24</v>
      </c>
      <c r="B18" s="42"/>
      <c r="C18" s="235">
        <f>C10</f>
        <v>2022</v>
      </c>
      <c r="D18" s="235">
        <f t="shared" ref="D18:J18" si="10">D10</f>
        <v>2023</v>
      </c>
      <c r="E18" s="235">
        <f t="shared" si="10"/>
        <v>2024</v>
      </c>
      <c r="F18" s="235">
        <f t="shared" si="10"/>
        <v>2025</v>
      </c>
      <c r="G18" s="235">
        <f t="shared" ref="G18:J18" si="11">G10</f>
        <v>2026</v>
      </c>
      <c r="H18" s="235">
        <f t="shared" si="11"/>
        <v>2027</v>
      </c>
      <c r="I18" s="235">
        <f t="shared" si="11"/>
        <v>2028</v>
      </c>
      <c r="J18" s="235">
        <f t="shared" si="11"/>
        <v>2029</v>
      </c>
      <c r="K18" s="195"/>
      <c r="L18" s="195"/>
    </row>
    <row r="19" spans="1:12" x14ac:dyDescent="0.25">
      <c r="A19" s="86"/>
      <c r="B19" s="172" t="s">
        <v>158</v>
      </c>
      <c r="C19" s="195"/>
      <c r="D19" s="195"/>
      <c r="E19" s="216">
        <f>BalSheet!E16</f>
        <v>347.96833383050517</v>
      </c>
      <c r="F19" s="131">
        <f>BalSheet!F16</f>
        <v>381.98573930723563</v>
      </c>
      <c r="G19" s="131">
        <f>BalSheet!G16</f>
        <v>418.6772951341934</v>
      </c>
      <c r="H19" s="131">
        <f>BalSheet!H16</f>
        <v>454.79946029433125</v>
      </c>
      <c r="I19" s="131">
        <f>BalSheet!I16</f>
        <v>490.25661562934232</v>
      </c>
      <c r="J19" s="131">
        <f>BalSheet!J16</f>
        <v>524.30871118125413</v>
      </c>
      <c r="K19" s="195"/>
      <c r="L19" s="195"/>
    </row>
    <row r="20" spans="1:12" x14ac:dyDescent="0.25">
      <c r="B20" s="4" t="str">
        <f>BalSheet!B18</f>
        <v>Accounts receivable</v>
      </c>
      <c r="C20" s="97"/>
      <c r="D20" s="97"/>
      <c r="E20" s="98">
        <f>BalSheet!E18</f>
        <v>775</v>
      </c>
      <c r="F20" s="4">
        <f>BalSheet!F18</f>
        <v>850.76404713110389</v>
      </c>
      <c r="G20" s="4">
        <f>BalSheet!G18</f>
        <v>932.4839997855986</v>
      </c>
      <c r="H20" s="4">
        <f>BalSheet!H18</f>
        <v>1012.9357974849346</v>
      </c>
      <c r="I20" s="4">
        <f>BalSheet!I18</f>
        <v>1091.9064758858569</v>
      </c>
      <c r="J20" s="4">
        <f>BalSheet!J18</f>
        <v>1167.7477852435823</v>
      </c>
      <c r="K20" s="97"/>
      <c r="L20" s="97"/>
    </row>
    <row r="21" spans="1:12" x14ac:dyDescent="0.25">
      <c r="B21" s="4" t="s">
        <v>70</v>
      </c>
      <c r="C21" s="97"/>
      <c r="D21" s="97"/>
      <c r="E21" s="98">
        <f>BalSheet!E19</f>
        <v>480</v>
      </c>
      <c r="F21" s="4">
        <f>BalSheet!F19</f>
        <v>526.92482919087729</v>
      </c>
      <c r="G21" s="4">
        <f>BalSheet!G19</f>
        <v>577.53847728656433</v>
      </c>
      <c r="H21" s="4">
        <f>BalSheet!H19</f>
        <v>627.36668747454019</v>
      </c>
      <c r="I21" s="4">
        <f>BalSheet!I19</f>
        <v>676.27755925833719</v>
      </c>
      <c r="J21" s="4">
        <f>BalSheet!J19</f>
        <v>723.25024118312206</v>
      </c>
      <c r="K21" s="97"/>
      <c r="L21" s="97"/>
    </row>
    <row r="22" spans="1:12" x14ac:dyDescent="0.25">
      <c r="B22" s="4" t="s">
        <v>164</v>
      </c>
      <c r="C22" s="97"/>
      <c r="D22" s="97"/>
      <c r="E22" s="98">
        <f>BalSheet!E31</f>
        <v>1211</v>
      </c>
      <c r="F22" s="4">
        <f>BalSheet!F31</f>
        <v>1427.4880647030905</v>
      </c>
      <c r="G22" s="4">
        <f>BalSheet!G31</f>
        <v>1554.1709246451635</v>
      </c>
      <c r="H22" s="4">
        <f>BalSheet!H31</f>
        <v>1702.9204811706104</v>
      </c>
      <c r="I22" s="4">
        <f>BalSheet!I31</f>
        <v>1844.7695524151709</v>
      </c>
      <c r="J22" s="4">
        <f>BalSheet!J31</f>
        <v>1983.9327355435512</v>
      </c>
      <c r="K22" s="97"/>
      <c r="L22" s="97"/>
    </row>
    <row r="23" spans="1:12" x14ac:dyDescent="0.25">
      <c r="B23" s="4" t="s">
        <v>76</v>
      </c>
      <c r="C23" s="97"/>
      <c r="D23" s="97"/>
      <c r="E23" s="98">
        <f>BalSheet!E32</f>
        <v>31</v>
      </c>
      <c r="F23" s="4">
        <f>BalSheet!F32</f>
        <v>34.030561885244154</v>
      </c>
      <c r="G23" s="4">
        <f>BalSheet!G32</f>
        <v>37.299359991423941</v>
      </c>
      <c r="H23" s="4">
        <f>BalSheet!H32</f>
        <v>40.517431899397387</v>
      </c>
      <c r="I23" s="4">
        <f>BalSheet!I32</f>
        <v>43.676259035434278</v>
      </c>
      <c r="J23" s="4">
        <f>BalSheet!J32</f>
        <v>46.709911409743292</v>
      </c>
      <c r="K23" s="97"/>
      <c r="L23" s="97"/>
    </row>
    <row r="24" spans="1:12" x14ac:dyDescent="0.25">
      <c r="A24" s="11" t="s">
        <v>124</v>
      </c>
      <c r="B24" s="18" t="s">
        <v>24</v>
      </c>
      <c r="C24" s="19"/>
      <c r="D24" s="19"/>
      <c r="E24" s="19">
        <f>SUM(E19:E21)-SUM(E22:E23)</f>
        <v>360.96833383050512</v>
      </c>
      <c r="F24" s="19">
        <f>SUM(F19:F21)-SUM(F22:F23)</f>
        <v>298.1559890408821</v>
      </c>
      <c r="G24" s="19">
        <f t="shared" ref="G24:J24" si="12">SUM(G19:G21)-SUM(G22:G23)</f>
        <v>337.22948756976893</v>
      </c>
      <c r="H24" s="19">
        <f t="shared" si="12"/>
        <v>351.66403218379787</v>
      </c>
      <c r="I24" s="19">
        <f t="shared" si="12"/>
        <v>369.99483932293151</v>
      </c>
      <c r="J24" s="19">
        <f t="shared" si="12"/>
        <v>384.66409065466405</v>
      </c>
      <c r="K24" s="11"/>
      <c r="L24" s="11"/>
    </row>
    <row r="25" spans="1:12" s="11" customFormat="1" x14ac:dyDescent="0.25">
      <c r="A25" s="25"/>
      <c r="B25" s="11" t="s">
        <v>150</v>
      </c>
      <c r="F25" s="11">
        <f>E24-F24</f>
        <v>62.812344789623012</v>
      </c>
      <c r="G25" s="11">
        <f t="shared" ref="G25:J25" si="13">F24-G24</f>
        <v>-39.07349852888683</v>
      </c>
      <c r="H25" s="11">
        <f t="shared" si="13"/>
        <v>-14.434544614028937</v>
      </c>
      <c r="I25" s="11">
        <f t="shared" si="13"/>
        <v>-18.33080713913364</v>
      </c>
      <c r="J25" s="11">
        <f t="shared" si="13"/>
        <v>-14.669251331732539</v>
      </c>
    </row>
    <row r="26" spans="1:12" x14ac:dyDescent="0.25">
      <c r="B26" s="66"/>
      <c r="C26" s="66"/>
      <c r="D26" s="66"/>
      <c r="E26" s="66"/>
      <c r="F26" s="66"/>
      <c r="G26" s="66"/>
      <c r="H26" s="83"/>
      <c r="I26" s="66"/>
      <c r="J26" s="66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  <row r="39" spans="8:10" x14ac:dyDescent="0.25">
      <c r="H39" s="6"/>
      <c r="I39" s="4"/>
      <c r="J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2" t="str">
        <f>CoName</f>
        <v>Yum Brands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7" t="s">
        <v>10</v>
      </c>
      <c r="B2" s="194"/>
      <c r="C2" s="260">
        <v>2022</v>
      </c>
      <c r="D2" s="260">
        <f>C2+1</f>
        <v>2023</v>
      </c>
      <c r="E2" s="260">
        <f t="shared" ref="E2:J2" si="0">D2+1</f>
        <v>2024</v>
      </c>
      <c r="F2" s="260">
        <f t="shared" si="0"/>
        <v>2025</v>
      </c>
      <c r="G2" s="260">
        <f t="shared" si="0"/>
        <v>2026</v>
      </c>
      <c r="H2" s="260">
        <f t="shared" si="0"/>
        <v>2027</v>
      </c>
      <c r="I2" s="260">
        <f t="shared" si="0"/>
        <v>2028</v>
      </c>
      <c r="J2" s="260">
        <f t="shared" si="0"/>
        <v>2029</v>
      </c>
      <c r="K2" s="203"/>
      <c r="L2" s="203"/>
    </row>
    <row r="3" spans="1:13" s="2" customFormat="1" x14ac:dyDescent="0.25">
      <c r="A3" s="86"/>
      <c r="B3" s="11"/>
      <c r="C3" s="195"/>
      <c r="D3" s="195"/>
      <c r="E3" s="195"/>
      <c r="F3" s="195"/>
      <c r="G3" s="195"/>
      <c r="H3" s="195"/>
      <c r="I3" s="195"/>
      <c r="J3" s="195"/>
      <c r="K3" s="203"/>
      <c r="L3" s="203"/>
    </row>
    <row r="4" spans="1:13" s="2" customFormat="1" x14ac:dyDescent="0.25">
      <c r="A4" s="11"/>
      <c r="B4" s="4" t="s">
        <v>25</v>
      </c>
      <c r="C4" s="30"/>
      <c r="D4" s="56"/>
      <c r="E4" s="60"/>
      <c r="F4" s="110">
        <f>Assumptions!F23</f>
        <v>6.4799999999999996E-2</v>
      </c>
      <c r="G4" s="110">
        <f>Assumptions!G23</f>
        <v>6.4799999999999996E-2</v>
      </c>
      <c r="H4" s="110">
        <f>Assumptions!H23</f>
        <v>6.4799999999999996E-2</v>
      </c>
      <c r="I4" s="110">
        <f>Assumptions!I23</f>
        <v>6.4799999999999996E-2</v>
      </c>
      <c r="J4" s="110">
        <f>Assumptions!J23</f>
        <v>6.4799999999999996E-2</v>
      </c>
      <c r="K4" s="29"/>
      <c r="L4" s="29"/>
    </row>
    <row r="5" spans="1:13" s="2" customFormat="1" x14ac:dyDescent="0.25">
      <c r="A5" s="11"/>
      <c r="B5" s="4" t="s">
        <v>26</v>
      </c>
      <c r="C5" s="30"/>
      <c r="D5" s="57"/>
      <c r="E5" s="61"/>
      <c r="F5" s="110">
        <f>Assumptions!F24</f>
        <v>4.48E-2</v>
      </c>
      <c r="G5" s="110">
        <f>Assumptions!G24</f>
        <v>4.48E-2</v>
      </c>
      <c r="H5" s="110">
        <f>Assumptions!H24</f>
        <v>4.48E-2</v>
      </c>
      <c r="I5" s="110">
        <f>Assumptions!I24</f>
        <v>4.48E-2</v>
      </c>
      <c r="J5" s="110">
        <f>Assumptions!J24</f>
        <v>4.48E-2</v>
      </c>
      <c r="K5" s="29"/>
      <c r="L5" s="29"/>
    </row>
    <row r="6" spans="1:13" s="2" customFormat="1" x14ac:dyDescent="0.25">
      <c r="A6" s="11"/>
      <c r="B6" s="4" t="s">
        <v>27</v>
      </c>
      <c r="C6" s="30"/>
      <c r="D6" s="56"/>
      <c r="E6" s="60"/>
      <c r="F6" s="110">
        <f>Assumptions!F25</f>
        <v>3.4090909090909088E-2</v>
      </c>
      <c r="G6" s="110">
        <f>Assumptions!G25</f>
        <v>3.4090909090909088E-2</v>
      </c>
      <c r="H6" s="110">
        <f>Assumptions!H25</f>
        <v>3.4090909090909088E-2</v>
      </c>
      <c r="I6" s="110">
        <f>Assumptions!I25</f>
        <v>3.4090909090909088E-2</v>
      </c>
      <c r="J6" s="110">
        <f>Assumptions!J25</f>
        <v>3.4090909090909088E-2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8"/>
      <c r="G7" s="108"/>
      <c r="H7" s="108"/>
      <c r="I7" s="109"/>
      <c r="J7" s="109"/>
      <c r="K7" s="204"/>
      <c r="L7" s="204"/>
    </row>
    <row r="8" spans="1:13" s="2" customFormat="1" x14ac:dyDescent="0.25">
      <c r="A8" s="11"/>
      <c r="B8" s="4" t="s">
        <v>28</v>
      </c>
      <c r="C8" s="30"/>
      <c r="D8" s="58"/>
      <c r="E8" s="62"/>
      <c r="F8" s="111">
        <f>Assumptions!F27</f>
        <v>0</v>
      </c>
      <c r="G8" s="111">
        <f>Assumptions!G27</f>
        <v>0</v>
      </c>
      <c r="H8" s="111">
        <f>Assumptions!H27</f>
        <v>0</v>
      </c>
      <c r="I8" s="111">
        <f>Assumptions!I27</f>
        <v>0</v>
      </c>
      <c r="J8" s="111">
        <f>Assumptions!J27</f>
        <v>0</v>
      </c>
      <c r="K8" s="205"/>
      <c r="L8" s="205"/>
    </row>
    <row r="9" spans="1:13" s="2" customFormat="1" x14ac:dyDescent="0.25">
      <c r="A9" s="11"/>
      <c r="B9" s="4" t="s">
        <v>29</v>
      </c>
      <c r="C9" s="30"/>
      <c r="D9" s="58"/>
      <c r="E9" s="62"/>
      <c r="F9" s="111">
        <f>Assumptions!F28</f>
        <v>0</v>
      </c>
      <c r="G9" s="111">
        <f>Assumptions!G28</f>
        <v>0</v>
      </c>
      <c r="H9" s="111">
        <f>Assumptions!H28</f>
        <v>0</v>
      </c>
      <c r="I9" s="111">
        <f>Assumptions!I28</f>
        <v>0</v>
      </c>
      <c r="J9" s="111">
        <f>Assumptions!J28</f>
        <v>0</v>
      </c>
      <c r="K9" s="205"/>
      <c r="L9" s="205"/>
    </row>
    <row r="10" spans="1:13" s="2" customFormat="1" ht="18.75" x14ac:dyDescent="0.3">
      <c r="A10" s="33"/>
      <c r="B10" s="3"/>
      <c r="C10" s="53"/>
      <c r="D10" s="53"/>
      <c r="E10" s="53"/>
      <c r="F10" s="107"/>
      <c r="G10" s="107"/>
      <c r="H10" s="107"/>
      <c r="I10" s="107"/>
      <c r="J10" s="107"/>
      <c r="K10" s="53"/>
      <c r="L10" s="53"/>
    </row>
    <row r="11" spans="1:13" x14ac:dyDescent="0.25">
      <c r="A11" s="21" t="s">
        <v>30</v>
      </c>
      <c r="B11" s="54"/>
      <c r="C11" s="251">
        <f>C2</f>
        <v>2022</v>
      </c>
      <c r="D11" s="251">
        <f t="shared" ref="D11:J11" si="1">D2</f>
        <v>2023</v>
      </c>
      <c r="E11" s="251">
        <f t="shared" si="1"/>
        <v>2024</v>
      </c>
      <c r="F11" s="251">
        <f t="shared" si="1"/>
        <v>2025</v>
      </c>
      <c r="G11" s="251">
        <f t="shared" si="1"/>
        <v>2026</v>
      </c>
      <c r="H11" s="251">
        <f t="shared" si="1"/>
        <v>2027</v>
      </c>
      <c r="I11" s="251">
        <f t="shared" si="1"/>
        <v>2028</v>
      </c>
      <c r="J11" s="251">
        <f t="shared" si="1"/>
        <v>2029</v>
      </c>
      <c r="K11" s="206"/>
      <c r="L11" s="206"/>
      <c r="M11" s="47"/>
    </row>
    <row r="12" spans="1:13" x14ac:dyDescent="0.25">
      <c r="B12" s="4" t="s">
        <v>31</v>
      </c>
      <c r="E12" s="28">
        <f>IncState!E28</f>
        <v>21</v>
      </c>
      <c r="F12" s="274">
        <f>IncState!F28</f>
        <v>0</v>
      </c>
      <c r="G12" s="274">
        <f>IncState!G28</f>
        <v>0</v>
      </c>
      <c r="H12" s="274">
        <f>IncState!H28</f>
        <v>0</v>
      </c>
      <c r="I12" s="274">
        <f>IncState!I28</f>
        <v>0</v>
      </c>
      <c r="J12" s="274">
        <f>IncState!J28</f>
        <v>0</v>
      </c>
      <c r="M12" s="47"/>
    </row>
    <row r="13" spans="1:13" s="8" customFormat="1" x14ac:dyDescent="0.25">
      <c r="A13" s="12"/>
      <c r="B13" s="8" t="s">
        <v>32</v>
      </c>
      <c r="E13" s="314"/>
      <c r="F13" s="8">
        <f>F4</f>
        <v>6.4799999999999996E-2</v>
      </c>
      <c r="G13" s="8">
        <f t="shared" ref="G13:J13" si="2">G4</f>
        <v>6.4799999999999996E-2</v>
      </c>
      <c r="H13" s="8">
        <f t="shared" si="2"/>
        <v>6.4799999999999996E-2</v>
      </c>
      <c r="I13" s="8">
        <f t="shared" si="2"/>
        <v>6.4799999999999996E-2</v>
      </c>
      <c r="J13" s="8">
        <f t="shared" si="2"/>
        <v>6.4799999999999996E-2</v>
      </c>
    </row>
    <row r="14" spans="1:13" x14ac:dyDescent="0.25">
      <c r="B14" s="4" t="s">
        <v>33</v>
      </c>
      <c r="E14" s="28"/>
      <c r="F14" s="4">
        <f>F12*F13</f>
        <v>0</v>
      </c>
      <c r="G14" s="4">
        <f t="shared" ref="G14:J14" si="3">G12*G13</f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M14" s="47"/>
    </row>
    <row r="15" spans="1:13" x14ac:dyDescent="0.25">
      <c r="E15" s="28"/>
      <c r="I15" s="4"/>
      <c r="J15" s="4"/>
      <c r="M15" s="47"/>
    </row>
    <row r="16" spans="1:13" x14ac:dyDescent="0.25">
      <c r="A16" s="259" t="s">
        <v>34</v>
      </c>
      <c r="B16" s="20"/>
      <c r="C16" s="251">
        <f t="shared" ref="C16:J16" si="4">C11</f>
        <v>2022</v>
      </c>
      <c r="D16" s="251">
        <f t="shared" si="4"/>
        <v>2023</v>
      </c>
      <c r="E16" s="251">
        <f t="shared" si="4"/>
        <v>2024</v>
      </c>
      <c r="F16" s="251">
        <f t="shared" si="4"/>
        <v>2025</v>
      </c>
      <c r="G16" s="251">
        <f t="shared" ref="G16:J16" si="5">G11</f>
        <v>2026</v>
      </c>
      <c r="H16" s="251">
        <f t="shared" si="5"/>
        <v>2027</v>
      </c>
      <c r="I16" s="251">
        <f t="shared" si="5"/>
        <v>2028</v>
      </c>
      <c r="J16" s="251">
        <f t="shared" si="5"/>
        <v>2029</v>
      </c>
      <c r="K16" s="203"/>
      <c r="L16" s="203"/>
      <c r="M16" s="47"/>
    </row>
    <row r="17" spans="1:13" x14ac:dyDescent="0.25">
      <c r="B17" s="4" t="s">
        <v>19</v>
      </c>
      <c r="E17" s="28"/>
      <c r="F17" s="4">
        <f>E20</f>
        <v>11306</v>
      </c>
      <c r="G17" s="4">
        <f t="shared" ref="G17:J17" si="6">F20</f>
        <v>11306</v>
      </c>
      <c r="H17" s="4">
        <f t="shared" si="6"/>
        <v>11306</v>
      </c>
      <c r="I17" s="4">
        <f t="shared" si="6"/>
        <v>11306</v>
      </c>
      <c r="J17" s="4">
        <f t="shared" si="6"/>
        <v>11306</v>
      </c>
      <c r="M17" s="47"/>
    </row>
    <row r="18" spans="1:13" x14ac:dyDescent="0.25">
      <c r="B18" s="4" t="s">
        <v>35</v>
      </c>
      <c r="E18" s="28"/>
      <c r="F18" s="4">
        <f>F8</f>
        <v>0</v>
      </c>
      <c r="G18" s="4">
        <f t="shared" ref="G18:J18" si="7">G8</f>
        <v>0</v>
      </c>
      <c r="H18" s="4">
        <f t="shared" si="7"/>
        <v>0</v>
      </c>
      <c r="I18" s="4">
        <f t="shared" si="7"/>
        <v>0</v>
      </c>
      <c r="J18" s="4">
        <f t="shared" si="7"/>
        <v>0</v>
      </c>
      <c r="M18" s="47"/>
    </row>
    <row r="19" spans="1:13" x14ac:dyDescent="0.25">
      <c r="B19" s="4" t="s">
        <v>36</v>
      </c>
      <c r="E19" s="28"/>
      <c r="F19" s="4">
        <f>F9</f>
        <v>0</v>
      </c>
      <c r="G19" s="4">
        <f t="shared" ref="G19:J19" si="8">G9</f>
        <v>0</v>
      </c>
      <c r="H19" s="4">
        <f t="shared" si="8"/>
        <v>0</v>
      </c>
      <c r="I19" s="4">
        <f t="shared" si="8"/>
        <v>0</v>
      </c>
      <c r="J19" s="4">
        <f t="shared" si="8"/>
        <v>0</v>
      </c>
    </row>
    <row r="20" spans="1:13" x14ac:dyDescent="0.25">
      <c r="B20" s="4" t="s">
        <v>23</v>
      </c>
      <c r="C20" s="10"/>
      <c r="E20" s="28">
        <f>BalSheet!E35</f>
        <v>11306</v>
      </c>
      <c r="F20" s="4">
        <f>SUM(F17:F19)</f>
        <v>11306</v>
      </c>
      <c r="G20" s="4">
        <f t="shared" ref="G20:J20" si="9">SUM(G17:G19)</f>
        <v>11306</v>
      </c>
      <c r="H20" s="4">
        <f t="shared" si="9"/>
        <v>11306</v>
      </c>
      <c r="I20" s="4">
        <f t="shared" si="9"/>
        <v>11306</v>
      </c>
      <c r="J20" s="4">
        <f t="shared" si="9"/>
        <v>11306</v>
      </c>
    </row>
    <row r="21" spans="1:13" x14ac:dyDescent="0.25">
      <c r="B21" s="4" t="s">
        <v>32</v>
      </c>
      <c r="D21" s="48"/>
      <c r="E21" s="28"/>
      <c r="F21" s="8">
        <f>F5</f>
        <v>4.48E-2</v>
      </c>
      <c r="G21" s="8">
        <f t="shared" ref="G21:J21" si="10">G5</f>
        <v>4.48E-2</v>
      </c>
      <c r="H21" s="8">
        <f t="shared" si="10"/>
        <v>4.48E-2</v>
      </c>
      <c r="I21" s="8">
        <f t="shared" si="10"/>
        <v>4.48E-2</v>
      </c>
      <c r="J21" s="8">
        <f t="shared" si="10"/>
        <v>4.48E-2</v>
      </c>
    </row>
    <row r="22" spans="1:13" x14ac:dyDescent="0.25">
      <c r="B22" s="4" t="s">
        <v>33</v>
      </c>
      <c r="E22" s="28"/>
      <c r="F22" s="4">
        <f>F20*F21</f>
        <v>506.50880000000001</v>
      </c>
      <c r="G22" s="4">
        <f t="shared" ref="G22:J22" si="11">G20*G21</f>
        <v>506.50880000000001</v>
      </c>
      <c r="H22" s="4">
        <f t="shared" si="11"/>
        <v>506.50880000000001</v>
      </c>
      <c r="I22" s="4">
        <f t="shared" si="11"/>
        <v>506.50880000000001</v>
      </c>
      <c r="J22" s="4">
        <f t="shared" si="11"/>
        <v>506.50880000000001</v>
      </c>
    </row>
    <row r="23" spans="1:13" x14ac:dyDescent="0.25">
      <c r="E23" s="28"/>
      <c r="I23" s="4"/>
      <c r="J23" s="4"/>
    </row>
    <row r="24" spans="1:13" x14ac:dyDescent="0.25">
      <c r="A24" s="21" t="s">
        <v>37</v>
      </c>
      <c r="B24" s="42"/>
      <c r="C24" s="251">
        <f>C16</f>
        <v>2022</v>
      </c>
      <c r="D24" s="251">
        <f t="shared" ref="D24:J24" si="12">D16</f>
        <v>2023</v>
      </c>
      <c r="E24" s="251">
        <f t="shared" si="12"/>
        <v>2024</v>
      </c>
      <c r="F24" s="251">
        <f t="shared" si="12"/>
        <v>2025</v>
      </c>
      <c r="G24" s="251">
        <f t="shared" ref="G24:J24" si="13">G16</f>
        <v>2026</v>
      </c>
      <c r="H24" s="251">
        <f t="shared" si="13"/>
        <v>2027</v>
      </c>
      <c r="I24" s="251">
        <f t="shared" si="13"/>
        <v>2028</v>
      </c>
      <c r="J24" s="251">
        <f t="shared" si="13"/>
        <v>2029</v>
      </c>
      <c r="K24" s="203"/>
      <c r="L24" s="203"/>
    </row>
    <row r="25" spans="1:13" x14ac:dyDescent="0.25">
      <c r="A25" s="7"/>
      <c r="B25" s="4" t="s">
        <v>30</v>
      </c>
      <c r="E25" s="28"/>
      <c r="F25" s="4">
        <f>F12</f>
        <v>0</v>
      </c>
      <c r="G25" s="4">
        <f t="shared" ref="G25:J25" si="14">G12</f>
        <v>0</v>
      </c>
      <c r="H25" s="4">
        <f t="shared" si="14"/>
        <v>0</v>
      </c>
      <c r="I25" s="4">
        <f t="shared" si="14"/>
        <v>0</v>
      </c>
      <c r="J25" s="4">
        <f t="shared" si="14"/>
        <v>0</v>
      </c>
    </row>
    <row r="26" spans="1:13" x14ac:dyDescent="0.25">
      <c r="A26" s="7"/>
      <c r="B26" s="4" t="s">
        <v>38</v>
      </c>
      <c r="E26" s="28"/>
      <c r="F26" s="4">
        <f>F20</f>
        <v>11306</v>
      </c>
      <c r="G26" s="4">
        <f t="shared" ref="G26:J26" si="15">G20</f>
        <v>11306</v>
      </c>
      <c r="H26" s="4">
        <f t="shared" si="15"/>
        <v>11306</v>
      </c>
      <c r="I26" s="4">
        <f t="shared" si="15"/>
        <v>11306</v>
      </c>
      <c r="J26" s="4">
        <f t="shared" si="15"/>
        <v>11306</v>
      </c>
    </row>
    <row r="27" spans="1:13" x14ac:dyDescent="0.25">
      <c r="A27" s="7"/>
      <c r="B27" s="11" t="s">
        <v>39</v>
      </c>
      <c r="D27" s="11"/>
      <c r="E27" s="25"/>
      <c r="F27" s="11">
        <f>SUM(F25:F26)</f>
        <v>11306</v>
      </c>
      <c r="G27" s="11">
        <f t="shared" ref="G27:J27" si="16">SUM(G25:G26)</f>
        <v>11306</v>
      </c>
      <c r="H27" s="11">
        <f t="shared" si="16"/>
        <v>11306</v>
      </c>
      <c r="I27" s="11">
        <f t="shared" si="16"/>
        <v>11306</v>
      </c>
      <c r="J27" s="11">
        <f t="shared" si="16"/>
        <v>11306</v>
      </c>
      <c r="K27" s="11"/>
      <c r="L27" s="11"/>
    </row>
    <row r="28" spans="1:13" x14ac:dyDescent="0.25">
      <c r="A28" s="7"/>
      <c r="B28" s="4" t="s">
        <v>40</v>
      </c>
      <c r="E28" s="28"/>
      <c r="F28" s="4">
        <f>F22</f>
        <v>506.50880000000001</v>
      </c>
      <c r="G28" s="4">
        <f t="shared" ref="G28:J28" si="17">G22</f>
        <v>506.50880000000001</v>
      </c>
      <c r="H28" s="4">
        <f t="shared" si="17"/>
        <v>506.50880000000001</v>
      </c>
      <c r="I28" s="4">
        <f t="shared" si="17"/>
        <v>506.50880000000001</v>
      </c>
      <c r="J28" s="4">
        <f t="shared" si="17"/>
        <v>506.50880000000001</v>
      </c>
    </row>
    <row r="29" spans="1:13" x14ac:dyDescent="0.25">
      <c r="A29" s="7"/>
      <c r="E29" s="28"/>
      <c r="I29" s="4"/>
      <c r="J29" s="4"/>
    </row>
    <row r="30" spans="1:13" x14ac:dyDescent="0.25">
      <c r="A30" s="21" t="s">
        <v>41</v>
      </c>
      <c r="B30" s="42"/>
      <c r="C30" s="251">
        <f>C11</f>
        <v>2022</v>
      </c>
      <c r="D30" s="251">
        <f t="shared" ref="D30:J30" si="18">D11</f>
        <v>2023</v>
      </c>
      <c r="E30" s="251">
        <f t="shared" si="18"/>
        <v>2024</v>
      </c>
      <c r="F30" s="251">
        <f t="shared" si="18"/>
        <v>2025</v>
      </c>
      <c r="G30" s="251">
        <f t="shared" ref="G30:J30" si="19">G11</f>
        <v>2026</v>
      </c>
      <c r="H30" s="251">
        <f t="shared" si="19"/>
        <v>2027</v>
      </c>
      <c r="I30" s="251">
        <f t="shared" si="19"/>
        <v>2028</v>
      </c>
      <c r="J30" s="251">
        <f t="shared" si="19"/>
        <v>2029</v>
      </c>
      <c r="K30" s="203"/>
      <c r="L30" s="203"/>
    </row>
    <row r="31" spans="1:13" x14ac:dyDescent="0.25">
      <c r="A31" s="7"/>
      <c r="B31" s="4" t="s">
        <v>170</v>
      </c>
      <c r="E31" s="28"/>
      <c r="F31" s="4">
        <f>BalSheet!F17</f>
        <v>1721.362094159839</v>
      </c>
      <c r="G31" s="4">
        <f>BalSheet!G17</f>
        <v>3332.6645811827643</v>
      </c>
      <c r="H31" s="4">
        <f>BalSheet!H17</f>
        <v>5146.3840224886608</v>
      </c>
      <c r="I31" s="4">
        <f>BalSheet!I17</f>
        <v>7133.7914767981529</v>
      </c>
      <c r="J31" s="4">
        <f>BalSheet!J17</f>
        <v>9296.7443194642401</v>
      </c>
    </row>
    <row r="32" spans="1:13" x14ac:dyDescent="0.25">
      <c r="B32" s="4" t="s">
        <v>32</v>
      </c>
      <c r="D32" s="48"/>
      <c r="E32" s="24"/>
      <c r="F32" s="5">
        <f>F6</f>
        <v>3.4090909090909088E-2</v>
      </c>
      <c r="G32" s="5">
        <f t="shared" ref="G32:J32" si="20">G6</f>
        <v>3.4090909090909088E-2</v>
      </c>
      <c r="H32" s="5">
        <f t="shared" si="20"/>
        <v>3.4090909090909088E-2</v>
      </c>
      <c r="I32" s="5">
        <f t="shared" si="20"/>
        <v>3.4090909090909088E-2</v>
      </c>
      <c r="J32" s="5">
        <f t="shared" si="20"/>
        <v>3.4090909090909088E-2</v>
      </c>
      <c r="K32" s="171"/>
      <c r="L32" s="171"/>
    </row>
    <row r="33" spans="2:10" x14ac:dyDescent="0.25">
      <c r="B33" s="4" t="s">
        <v>41</v>
      </c>
      <c r="E33" s="28"/>
      <c r="F33" s="4">
        <f>F31*F32</f>
        <v>58.682798664539959</v>
      </c>
      <c r="G33" s="4">
        <f t="shared" ref="G33:J33" si="21">G31*G32</f>
        <v>113.61356526759423</v>
      </c>
      <c r="H33" s="4">
        <f t="shared" si="21"/>
        <v>175.44490985756798</v>
      </c>
      <c r="I33" s="4">
        <f t="shared" si="21"/>
        <v>243.19743670902793</v>
      </c>
      <c r="J33" s="4">
        <f t="shared" si="21"/>
        <v>316.9344654362809</v>
      </c>
    </row>
    <row r="34" spans="2:10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3"/>
  <sheetViews>
    <sheetView showGridLines="0" zoomScaleNormal="100" workbookViewId="0">
      <selection activeCell="F41" sqref="F16:J4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2" t="str">
        <f>CoName</f>
        <v>Yum Brands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7" t="s">
        <v>10</v>
      </c>
      <c r="B2" s="16"/>
      <c r="C2" s="261">
        <v>2022</v>
      </c>
      <c r="D2" s="261">
        <f>C2+1</f>
        <v>2023</v>
      </c>
      <c r="E2" s="261">
        <f t="shared" ref="E2:J2" si="0">D2+1</f>
        <v>2024</v>
      </c>
      <c r="F2" s="261">
        <f t="shared" si="0"/>
        <v>2025</v>
      </c>
      <c r="G2" s="261">
        <f t="shared" si="0"/>
        <v>2026</v>
      </c>
      <c r="H2" s="261">
        <f t="shared" si="0"/>
        <v>2027</v>
      </c>
      <c r="I2" s="261">
        <f t="shared" si="0"/>
        <v>2028</v>
      </c>
      <c r="J2" s="261">
        <f t="shared" si="0"/>
        <v>2029</v>
      </c>
    </row>
    <row r="3" spans="1:12" x14ac:dyDescent="0.25">
      <c r="A3" s="86"/>
      <c r="C3" s="99"/>
      <c r="D3" s="99"/>
      <c r="E3" s="99"/>
    </row>
    <row r="4" spans="1:12" x14ac:dyDescent="0.25">
      <c r="B4" s="30" t="s">
        <v>43</v>
      </c>
      <c r="C4" s="31"/>
      <c r="D4" s="31"/>
      <c r="E4" s="32"/>
      <c r="F4" s="175">
        <f>Assumptions!F10</f>
        <v>9.7760060814327643E-2</v>
      </c>
      <c r="G4" s="175">
        <f>Assumptions!G10</f>
        <v>9.6054779148303071E-2</v>
      </c>
      <c r="H4" s="175">
        <f>Assumptions!H10</f>
        <v>8.6276866646327388E-2</v>
      </c>
      <c r="I4" s="175">
        <f>Assumptions!I10</f>
        <v>7.7962175487333196E-2</v>
      </c>
      <c r="J4" s="175">
        <f>Assumptions!J10</f>
        <v>6.9457697186195322E-2</v>
      </c>
      <c r="K4" s="208"/>
      <c r="L4" s="208"/>
    </row>
    <row r="5" spans="1:12" x14ac:dyDescent="0.25">
      <c r="B5" s="30" t="s">
        <v>44</v>
      </c>
      <c r="C5" s="31"/>
      <c r="D5" s="31"/>
      <c r="E5" s="31"/>
      <c r="F5" s="175">
        <f>Assumptions!F11</f>
        <v>0.24301425821428635</v>
      </c>
      <c r="G5" s="175">
        <f>Assumptions!G11</f>
        <v>0.24139362108078621</v>
      </c>
      <c r="H5" s="175">
        <f>Assumptions!H11</f>
        <v>0.24348984178514668</v>
      </c>
      <c r="I5" s="175">
        <f>Assumptions!I11</f>
        <v>0.24469499058585137</v>
      </c>
      <c r="J5" s="175">
        <f>Assumptions!J11</f>
        <v>0.24606298570945145</v>
      </c>
      <c r="K5" s="208"/>
      <c r="L5" s="208"/>
    </row>
    <row r="6" spans="1:12" x14ac:dyDescent="0.25">
      <c r="B6" s="30" t="s">
        <v>45</v>
      </c>
      <c r="C6" s="31"/>
      <c r="D6" s="31"/>
      <c r="E6" s="31"/>
      <c r="F6" s="175">
        <f>Assumptions!F12</f>
        <v>0.35704747463157166</v>
      </c>
      <c r="G6" s="175">
        <f>Assumptions!G12</f>
        <v>0.3503060768323244</v>
      </c>
      <c r="H6" s="175">
        <f>Assumptions!H12</f>
        <v>0.34872632692624067</v>
      </c>
      <c r="I6" s="175">
        <f>Assumptions!I12</f>
        <v>0.34739175935133559</v>
      </c>
      <c r="J6" s="175">
        <f>Assumptions!J12</f>
        <v>0.34557341877534575</v>
      </c>
      <c r="K6" s="208"/>
      <c r="L6" s="208"/>
    </row>
    <row r="7" spans="1:12" x14ac:dyDescent="0.25">
      <c r="A7" s="86"/>
      <c r="B7" s="4" t="s">
        <v>46</v>
      </c>
      <c r="C7" s="30"/>
      <c r="D7" s="30"/>
      <c r="E7" s="30"/>
      <c r="F7" s="176">
        <f>Assumptions!F13</f>
        <v>0</v>
      </c>
      <c r="G7" s="176">
        <f>Assumptions!G13</f>
        <v>0</v>
      </c>
      <c r="H7" s="176">
        <f>Assumptions!H13</f>
        <v>0</v>
      </c>
      <c r="I7" s="176">
        <f>Assumptions!I13</f>
        <v>0</v>
      </c>
      <c r="J7" s="176">
        <f>Assumptions!J13</f>
        <v>0</v>
      </c>
      <c r="K7" s="209"/>
      <c r="L7" s="209"/>
    </row>
    <row r="8" spans="1:12" x14ac:dyDescent="0.25">
      <c r="A8" s="86"/>
      <c r="B8" s="4" t="s">
        <v>47</v>
      </c>
      <c r="C8" s="30"/>
      <c r="D8" s="30"/>
      <c r="E8" s="30"/>
      <c r="F8" s="177">
        <f>Assumptions!F14</f>
        <v>0</v>
      </c>
      <c r="G8" s="177">
        <f>Assumptions!G14</f>
        <v>0</v>
      </c>
      <c r="H8" s="177">
        <f>Assumptions!H14</f>
        <v>0</v>
      </c>
      <c r="I8" s="177">
        <f>Assumptions!I14</f>
        <v>0</v>
      </c>
      <c r="J8" s="177">
        <f>Assumptions!J14</f>
        <v>0</v>
      </c>
      <c r="K8" s="210"/>
      <c r="L8" s="210"/>
    </row>
    <row r="9" spans="1:12" x14ac:dyDescent="0.25">
      <c r="B9" s="4" t="s">
        <v>145</v>
      </c>
      <c r="F9" s="177">
        <f>Assumptions!F15</f>
        <v>0</v>
      </c>
      <c r="G9" s="177">
        <f>Assumptions!G15</f>
        <v>0</v>
      </c>
      <c r="H9" s="177">
        <f>Assumptions!H15</f>
        <v>0</v>
      </c>
      <c r="I9" s="177">
        <f>Assumptions!I15</f>
        <v>0</v>
      </c>
      <c r="J9" s="177">
        <f>Assumptions!J15</f>
        <v>0</v>
      </c>
      <c r="K9" s="210"/>
      <c r="L9" s="210"/>
    </row>
    <row r="10" spans="1:12" x14ac:dyDescent="0.25">
      <c r="B10" s="30" t="s">
        <v>48</v>
      </c>
      <c r="C10" s="43"/>
      <c r="D10" s="43"/>
      <c r="E10" s="43"/>
      <c r="F10" s="175">
        <f>Assumptions!F16</f>
        <v>0.17865105431032116</v>
      </c>
      <c r="G10" s="175">
        <f>Assumptions!G16</f>
        <v>0.17865105431032116</v>
      </c>
      <c r="H10" s="175">
        <f>Assumptions!H16</f>
        <v>0.17865105431032116</v>
      </c>
      <c r="I10" s="175">
        <f>Assumptions!I16</f>
        <v>0.17865105431032116</v>
      </c>
      <c r="J10" s="175">
        <f>Assumptions!J16</f>
        <v>0.17865105431032116</v>
      </c>
      <c r="K10" s="208"/>
      <c r="L10" s="208"/>
    </row>
    <row r="11" spans="1:12" s="263" customFormat="1" x14ac:dyDescent="0.25">
      <c r="A11" s="266"/>
      <c r="B11" s="263" t="s">
        <v>139</v>
      </c>
      <c r="E11" s="267"/>
      <c r="F11" s="268">
        <f>Assumptions!F17</f>
        <v>2.9205219454329772</v>
      </c>
      <c r="G11" s="268">
        <f>Assumptions!G17</f>
        <v>3.1743772241992878</v>
      </c>
      <c r="H11" s="268">
        <f>Assumptions!H17</f>
        <v>3.4282325029655984</v>
      </c>
      <c r="I11" s="268">
        <f>Assumptions!I17</f>
        <v>3.6820877817319091</v>
      </c>
      <c r="J11" s="268">
        <f>Assumptions!J17</f>
        <v>3.9359430604982197</v>
      </c>
      <c r="K11" s="269"/>
      <c r="L11" s="269"/>
    </row>
    <row r="12" spans="1:12" x14ac:dyDescent="0.25">
      <c r="B12" s="4" t="s">
        <v>49</v>
      </c>
      <c r="C12" s="30"/>
      <c r="D12" s="30"/>
      <c r="E12" s="39"/>
      <c r="F12" s="177">
        <f>Assumptions!F18</f>
        <v>282</v>
      </c>
      <c r="G12" s="177">
        <f>Assumptions!G18</f>
        <v>282</v>
      </c>
      <c r="H12" s="177">
        <f>Assumptions!H18</f>
        <v>282</v>
      </c>
      <c r="I12" s="177">
        <f>Assumptions!I18</f>
        <v>282</v>
      </c>
      <c r="J12" s="177">
        <f>Assumptions!J18</f>
        <v>282</v>
      </c>
      <c r="K12" s="210"/>
      <c r="L12" s="210"/>
    </row>
    <row r="13" spans="1:12" x14ac:dyDescent="0.25">
      <c r="B13" s="4" t="s">
        <v>50</v>
      </c>
      <c r="C13" s="30"/>
      <c r="D13" s="30"/>
      <c r="E13" s="39"/>
      <c r="F13" s="177">
        <f>Assumptions!F19</f>
        <v>285</v>
      </c>
      <c r="G13" s="177">
        <f>Assumptions!G19</f>
        <v>285</v>
      </c>
      <c r="H13" s="177">
        <f>Assumptions!H19</f>
        <v>285</v>
      </c>
      <c r="I13" s="177">
        <f>Assumptions!I19</f>
        <v>285</v>
      </c>
      <c r="J13" s="177">
        <f>Assumptions!J19</f>
        <v>285</v>
      </c>
      <c r="K13" s="210"/>
      <c r="L13" s="210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8" t="s">
        <v>42</v>
      </c>
      <c r="B15" s="179"/>
      <c r="C15" s="151">
        <f>C37</f>
        <v>44926</v>
      </c>
      <c r="D15" s="151">
        <f t="shared" ref="D15:J15" si="1">D37</f>
        <v>45291</v>
      </c>
      <c r="E15" s="151">
        <f t="shared" si="1"/>
        <v>45657</v>
      </c>
      <c r="F15" s="151">
        <f t="shared" si="1"/>
        <v>46022</v>
      </c>
      <c r="G15" s="151">
        <f t="shared" si="1"/>
        <v>46022</v>
      </c>
      <c r="H15" s="151">
        <f t="shared" si="1"/>
        <v>46022</v>
      </c>
      <c r="I15" s="151">
        <f t="shared" si="1"/>
        <v>46022</v>
      </c>
      <c r="J15" s="151">
        <f t="shared" si="1"/>
        <v>46022</v>
      </c>
      <c r="K15" s="206"/>
      <c r="L15" s="206"/>
    </row>
    <row r="16" spans="1:12" x14ac:dyDescent="0.25">
      <c r="B16" s="4" t="s">
        <v>51</v>
      </c>
      <c r="C16" s="97">
        <f>'Quarterly Projections'!G48</f>
        <v>6254.3486605166654</v>
      </c>
      <c r="D16" s="123">
        <f>'Quarterly Projections'!L48</f>
        <v>6476.382034925753</v>
      </c>
      <c r="E16" s="23">
        <f>'Quarterly Projections'!Q48</f>
        <v>6959.3666766101032</v>
      </c>
      <c r="F16" s="4">
        <f>E16*(1+F4)</f>
        <v>7639.714786144712</v>
      </c>
      <c r="G16" s="4">
        <f t="shared" ref="G16:J16" si="2">F16*(1+G4)</f>
        <v>8373.5459026838671</v>
      </c>
      <c r="H16" s="4">
        <f t="shared" si="2"/>
        <v>9095.9892058866244</v>
      </c>
      <c r="I16" s="4">
        <f t="shared" si="2"/>
        <v>9805.1323125868457</v>
      </c>
      <c r="J16" s="4">
        <f t="shared" si="2"/>
        <v>10486.174223625081</v>
      </c>
    </row>
    <row r="17" spans="1:12" x14ac:dyDescent="0.25">
      <c r="B17" s="4" t="s">
        <v>157</v>
      </c>
      <c r="C17" s="123">
        <f>'Quarterly Projections'!G50</f>
        <v>1192</v>
      </c>
      <c r="D17" s="123">
        <f>'Quarterly Projections'!L50</f>
        <v>1234</v>
      </c>
      <c r="E17" s="23">
        <f>'Quarterly Projections'!Q50</f>
        <v>1575</v>
      </c>
      <c r="F17" s="173">
        <f>F16*F5</f>
        <v>1856.5596217236725</v>
      </c>
      <c r="G17" s="173">
        <f t="shared" ref="G17:J17" si="3">G16*G5</f>
        <v>2021.3205667350394</v>
      </c>
      <c r="H17" s="173">
        <f t="shared" si="3"/>
        <v>2214.7809726207361</v>
      </c>
      <c r="I17" s="173">
        <f t="shared" si="3"/>
        <v>2399.2667589214652</v>
      </c>
      <c r="J17" s="173">
        <f t="shared" si="3"/>
        <v>2580.2593381346765</v>
      </c>
      <c r="K17" s="207"/>
      <c r="L17" s="207"/>
    </row>
    <row r="18" spans="1:12" x14ac:dyDescent="0.25">
      <c r="B18" s="4" t="s">
        <v>52</v>
      </c>
      <c r="C18" s="123">
        <f>'Quarterly Projections'!G52</f>
        <v>2626</v>
      </c>
      <c r="D18" s="123">
        <f>'Quarterly Projections'!L52</f>
        <v>2597</v>
      </c>
      <c r="E18" s="23">
        <f>'Quarterly Projections'!Q52</f>
        <v>2599</v>
      </c>
      <c r="F18" s="173">
        <f>F16*F6</f>
        <v>2727.740871298447</v>
      </c>
      <c r="G18" s="173">
        <f t="shared" ref="G18:J18" si="4">G16*G6</f>
        <v>2933.3040143445701</v>
      </c>
      <c r="H18" s="173">
        <f t="shared" si="4"/>
        <v>3172.0109055295752</v>
      </c>
      <c r="I18" s="173">
        <f t="shared" si="4"/>
        <v>3406.2221647421743</v>
      </c>
      <c r="J18" s="173">
        <f t="shared" si="4"/>
        <v>3623.7430763320262</v>
      </c>
      <c r="K18" s="207"/>
      <c r="L18" s="207"/>
    </row>
    <row r="19" spans="1:12" s="11" customFormat="1" x14ac:dyDescent="0.25">
      <c r="A19" s="11" t="s">
        <v>124</v>
      </c>
      <c r="B19" s="18" t="s">
        <v>55</v>
      </c>
      <c r="C19" s="19">
        <f>C16-SUM(C17:C18)</f>
        <v>2436.3486605166654</v>
      </c>
      <c r="D19" s="19">
        <f>D16-SUM(D17:D18)</f>
        <v>2645.382034925753</v>
      </c>
      <c r="E19" s="19">
        <f>E16-SUM(E17:E18)</f>
        <v>2785.3666766101032</v>
      </c>
      <c r="F19" s="19">
        <f>F16-SUM(F17:F18)</f>
        <v>3055.4142931225924</v>
      </c>
      <c r="G19" s="19">
        <f t="shared" ref="G19:J19" si="5">G16-SUM(G17:G18)</f>
        <v>3418.9213216042572</v>
      </c>
      <c r="H19" s="19">
        <f t="shared" si="5"/>
        <v>3709.1973277363131</v>
      </c>
      <c r="I19" s="19">
        <f t="shared" si="5"/>
        <v>3999.6433889232067</v>
      </c>
      <c r="J19" s="19">
        <f t="shared" si="5"/>
        <v>4282.1718091583789</v>
      </c>
    </row>
    <row r="20" spans="1:12" s="11" customFormat="1" x14ac:dyDescent="0.25">
      <c r="E20" s="35"/>
    </row>
    <row r="21" spans="1:12" s="11" customFormat="1" x14ac:dyDescent="0.25">
      <c r="B21" s="4" t="s">
        <v>15</v>
      </c>
      <c r="C21" s="124">
        <v>10</v>
      </c>
      <c r="D21" s="124">
        <v>13</v>
      </c>
      <c r="E21" s="26">
        <v>12</v>
      </c>
      <c r="F21" s="4">
        <f>Calcs!F8</f>
        <v>65.2</v>
      </c>
      <c r="G21" s="4">
        <f>Calcs!G8</f>
        <v>75.69</v>
      </c>
      <c r="H21" s="4">
        <f>Calcs!H8</f>
        <v>85.655500000000004</v>
      </c>
      <c r="I21" s="4">
        <f>Calcs!I8</f>
        <v>95.122725000000003</v>
      </c>
      <c r="J21" s="4">
        <f>Calcs!J8</f>
        <v>104.11658874999999</v>
      </c>
      <c r="K21" s="4"/>
      <c r="L21" s="4"/>
    </row>
    <row r="22" spans="1:12" s="11" customFormat="1" x14ac:dyDescent="0.25">
      <c r="B22" s="4" t="s">
        <v>54</v>
      </c>
      <c r="C22" s="97">
        <v>0</v>
      </c>
      <c r="D22" s="97">
        <v>0</v>
      </c>
      <c r="E22" s="125">
        <v>0</v>
      </c>
      <c r="F22" s="4">
        <f>F7</f>
        <v>0</v>
      </c>
      <c r="G22" s="4">
        <f t="shared" ref="G22:J22" si="6">G7</f>
        <v>0</v>
      </c>
      <c r="H22" s="4">
        <f t="shared" si="6"/>
        <v>0</v>
      </c>
      <c r="I22" s="4">
        <f t="shared" si="6"/>
        <v>0</v>
      </c>
      <c r="J22" s="4">
        <f t="shared" si="6"/>
        <v>0</v>
      </c>
      <c r="K22" s="4"/>
      <c r="L22" s="4"/>
    </row>
    <row r="23" spans="1:12" s="128" customFormat="1" x14ac:dyDescent="0.25">
      <c r="A23" s="128" t="s">
        <v>124</v>
      </c>
      <c r="B23" s="129" t="s">
        <v>53</v>
      </c>
      <c r="C23" s="130">
        <f>SUM(C19,C21:C22)</f>
        <v>2446.3486605166654</v>
      </c>
      <c r="D23" s="130">
        <f t="shared" ref="D23:F23" si="7">SUM(D19,D21:D22)</f>
        <v>2658.382034925753</v>
      </c>
      <c r="E23" s="130">
        <f t="shared" si="7"/>
        <v>2797.3666766101032</v>
      </c>
      <c r="F23" s="130">
        <f t="shared" si="7"/>
        <v>3120.6142931225922</v>
      </c>
      <c r="G23" s="130">
        <f t="shared" ref="G23:J23" si="8">SUM(G19,G21:G22)</f>
        <v>3494.6113216042572</v>
      </c>
      <c r="H23" s="130">
        <f t="shared" si="8"/>
        <v>3794.852827736313</v>
      </c>
      <c r="I23" s="130">
        <f t="shared" si="8"/>
        <v>4094.7661139232068</v>
      </c>
      <c r="J23" s="130">
        <f t="shared" si="8"/>
        <v>4386.288397908379</v>
      </c>
    </row>
    <row r="24" spans="1:12" s="11" customFormat="1" x14ac:dyDescent="0.25">
      <c r="C24" s="14"/>
      <c r="D24" s="4"/>
      <c r="E24" s="36"/>
      <c r="F24" s="4"/>
      <c r="G24" s="4"/>
      <c r="H24" s="4"/>
      <c r="I24" s="4"/>
      <c r="J24" s="4"/>
      <c r="K24" s="14"/>
      <c r="L24" s="14"/>
    </row>
    <row r="25" spans="1:12" s="11" customFormat="1" x14ac:dyDescent="0.25">
      <c r="B25" s="4" t="s">
        <v>56</v>
      </c>
      <c r="C25" s="95">
        <v>0</v>
      </c>
      <c r="D25" s="95">
        <v>0</v>
      </c>
      <c r="E25" s="96">
        <v>0</v>
      </c>
      <c r="F25" s="4">
        <f>F8</f>
        <v>0</v>
      </c>
      <c r="G25" s="4">
        <f t="shared" ref="G25:J25" si="9">G8</f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/>
      <c r="L25" s="4"/>
    </row>
    <row r="26" spans="1:12" s="11" customFormat="1" x14ac:dyDescent="0.25">
      <c r="B26" s="4" t="s">
        <v>57</v>
      </c>
      <c r="C26" s="95">
        <v>0</v>
      </c>
      <c r="D26" s="95">
        <v>0</v>
      </c>
      <c r="E26" s="96">
        <v>0</v>
      </c>
      <c r="F26" s="4">
        <f>F9</f>
        <v>0</v>
      </c>
      <c r="G26" s="4">
        <f t="shared" ref="G26:J26" si="10">G9</f>
        <v>0</v>
      </c>
      <c r="H26" s="4">
        <f t="shared" si="10"/>
        <v>0</v>
      </c>
      <c r="I26" s="4">
        <f t="shared" si="10"/>
        <v>0</v>
      </c>
      <c r="J26" s="4">
        <f t="shared" si="10"/>
        <v>0</v>
      </c>
      <c r="K26" s="4"/>
      <c r="L26" s="4"/>
    </row>
    <row r="27" spans="1:12" s="11" customFormat="1" x14ac:dyDescent="0.25">
      <c r="B27" s="4"/>
      <c r="C27" s="10"/>
      <c r="D27" s="10"/>
      <c r="E27" s="23"/>
      <c r="F27" s="4"/>
      <c r="G27" s="4"/>
      <c r="H27" s="4"/>
      <c r="I27" s="4"/>
      <c r="J27" s="4"/>
      <c r="K27" s="4"/>
      <c r="L27" s="4"/>
    </row>
    <row r="28" spans="1:12" s="11" customFormat="1" x14ac:dyDescent="0.25">
      <c r="B28" s="4" t="s">
        <v>41</v>
      </c>
      <c r="C28" s="9">
        <v>11</v>
      </c>
      <c r="D28" s="9">
        <v>7</v>
      </c>
      <c r="E28" s="45">
        <v>21</v>
      </c>
      <c r="F28" s="315">
        <f>IF(circ=1,Debt!F33,0)</f>
        <v>0</v>
      </c>
      <c r="G28" s="315">
        <f>IF(circ=1,Debt!G33,0)</f>
        <v>0</v>
      </c>
      <c r="H28" s="315">
        <f>IF(circ=1,Debt!H33,0)</f>
        <v>0</v>
      </c>
      <c r="I28" s="315">
        <f>IF(circ=1,Debt!I33,0)</f>
        <v>0</v>
      </c>
      <c r="J28" s="315">
        <f>IF(circ=1,Debt!J33,0)</f>
        <v>0</v>
      </c>
      <c r="K28" s="183"/>
      <c r="L28" s="183"/>
    </row>
    <row r="29" spans="1:12" x14ac:dyDescent="0.25">
      <c r="B29" s="4" t="s">
        <v>33</v>
      </c>
      <c r="C29" s="9">
        <v>-527</v>
      </c>
      <c r="D29" s="9">
        <v>-513</v>
      </c>
      <c r="E29" s="45">
        <v>-489</v>
      </c>
      <c r="F29" s="315">
        <f>IF(circ=1,Debt!F1-Debt!F28,0)</f>
        <v>0</v>
      </c>
      <c r="G29" s="315">
        <f>IF(circ=1,Debt!G1-Debt!G28,0)</f>
        <v>0</v>
      </c>
      <c r="H29" s="315">
        <f>IF(circ=1,Debt!H1-Debt!H28,0)</f>
        <v>0</v>
      </c>
      <c r="I29" s="315">
        <f>IF(circ=1,Debt!I1-Debt!I28,0)</f>
        <v>0</v>
      </c>
      <c r="J29" s="315">
        <f>IF(circ=1,Debt!J1-Debt!J28,0)</f>
        <v>0</v>
      </c>
      <c r="K29" s="183"/>
      <c r="L29" s="183"/>
    </row>
    <row r="30" spans="1:12" x14ac:dyDescent="0.25">
      <c r="C30" s="10"/>
      <c r="D30" s="10"/>
      <c r="E30" s="23"/>
      <c r="H30" s="4"/>
    </row>
    <row r="31" spans="1:12" s="11" customFormat="1" x14ac:dyDescent="0.25">
      <c r="A31" s="11" t="s">
        <v>124</v>
      </c>
      <c r="B31" s="18" t="s">
        <v>84</v>
      </c>
      <c r="C31" s="19">
        <f t="shared" ref="C31:D31" si="11">C19+SUM(C26:C29)</f>
        <v>1920.3486605166654</v>
      </c>
      <c r="D31" s="19">
        <f t="shared" si="11"/>
        <v>2139.382034925753</v>
      </c>
      <c r="E31" s="19">
        <f>E19+SUM(E25:E29)</f>
        <v>2317.3666766101032</v>
      </c>
      <c r="F31" s="19">
        <f>F19+SUM(F25:F29)</f>
        <v>3055.4142931225924</v>
      </c>
      <c r="G31" s="19">
        <f t="shared" ref="G31:J31" si="12">G19+SUM(G25:G29)</f>
        <v>3418.9213216042572</v>
      </c>
      <c r="H31" s="19">
        <f t="shared" si="12"/>
        <v>3709.1973277363131</v>
      </c>
      <c r="I31" s="19">
        <f t="shared" si="12"/>
        <v>3999.6433889232067</v>
      </c>
      <c r="J31" s="19">
        <f t="shared" si="12"/>
        <v>4282.1718091583789</v>
      </c>
    </row>
    <row r="32" spans="1:12" x14ac:dyDescent="0.25">
      <c r="E32" s="37"/>
      <c r="H32" s="4"/>
    </row>
    <row r="33" spans="1:12" x14ac:dyDescent="0.25">
      <c r="B33" s="4" t="s">
        <v>58</v>
      </c>
      <c r="C33" s="132">
        <v>337</v>
      </c>
      <c r="D33" s="4">
        <v>221</v>
      </c>
      <c r="E33" s="59">
        <v>414</v>
      </c>
      <c r="F33" s="4">
        <f>F31*F10</f>
        <v>545.85298482117582</v>
      </c>
      <c r="G33" s="4">
        <f t="shared" ref="G33:J33" si="13">G31*G10</f>
        <v>610.79389870863713</v>
      </c>
      <c r="H33" s="4">
        <f t="shared" si="13"/>
        <v>662.65201324511816</v>
      </c>
      <c r="I33" s="4">
        <f t="shared" si="13"/>
        <v>714.54050829643677</v>
      </c>
      <c r="J33" s="4">
        <f t="shared" si="13"/>
        <v>765.01450844407975</v>
      </c>
    </row>
    <row r="34" spans="1:12" s="11" customFormat="1" x14ac:dyDescent="0.25">
      <c r="A34" s="11" t="s">
        <v>124</v>
      </c>
      <c r="B34" s="18" t="s">
        <v>59</v>
      </c>
      <c r="C34" s="19">
        <f>C31-C33</f>
        <v>1583.3486605166654</v>
      </c>
      <c r="D34" s="34">
        <f t="shared" ref="D34:F34" si="14">D31-D33</f>
        <v>1918.382034925753</v>
      </c>
      <c r="E34" s="19">
        <f t="shared" si="14"/>
        <v>1903.3666766101032</v>
      </c>
      <c r="F34" s="19">
        <f t="shared" si="14"/>
        <v>2509.5613083014168</v>
      </c>
      <c r="G34" s="19">
        <f t="shared" ref="G34:J34" si="15">G31-G33</f>
        <v>2808.1274228956199</v>
      </c>
      <c r="H34" s="19">
        <f t="shared" si="15"/>
        <v>3046.5453144911949</v>
      </c>
      <c r="I34" s="19">
        <f t="shared" si="15"/>
        <v>3285.10288062677</v>
      </c>
      <c r="J34" s="19">
        <f t="shared" si="15"/>
        <v>3517.1573007142993</v>
      </c>
    </row>
    <row r="35" spans="1:12" s="263" customFormat="1" x14ac:dyDescent="0.25">
      <c r="A35" s="266"/>
      <c r="B35" s="263" t="s">
        <v>179</v>
      </c>
      <c r="C35" s="10">
        <f t="shared" ref="C35:D35" si="16">C36/C38</f>
        <v>2.2692307692307692</v>
      </c>
      <c r="D35" s="311">
        <f t="shared" si="16"/>
        <v>2.4128113879003559</v>
      </c>
      <c r="E35" s="310">
        <f>E36/E38</f>
        <v>2.6666666666666665</v>
      </c>
      <c r="F35" s="263">
        <f>F11</f>
        <v>2.9205219454329772</v>
      </c>
      <c r="G35" s="263">
        <f t="shared" ref="G35:J35" si="17">G11</f>
        <v>3.1743772241992878</v>
      </c>
      <c r="H35" s="263">
        <f t="shared" si="17"/>
        <v>3.4282325029655984</v>
      </c>
      <c r="I35" s="263">
        <f t="shared" si="17"/>
        <v>3.6820877817319091</v>
      </c>
      <c r="J35" s="263">
        <f t="shared" si="17"/>
        <v>3.9359430604982197</v>
      </c>
    </row>
    <row r="36" spans="1:12" x14ac:dyDescent="0.25">
      <c r="B36" s="4" t="s">
        <v>60</v>
      </c>
      <c r="C36" s="10">
        <v>649</v>
      </c>
      <c r="D36" s="10">
        <v>678</v>
      </c>
      <c r="E36" s="23">
        <v>752</v>
      </c>
      <c r="F36" s="4">
        <f>F35*(F38)</f>
        <v>823.58718861209957</v>
      </c>
      <c r="G36" s="4">
        <f t="shared" ref="G36:J36" si="18">G35*(G38)</f>
        <v>895.17437722419913</v>
      </c>
      <c r="H36" s="4">
        <f t="shared" si="18"/>
        <v>966.76156583629881</v>
      </c>
      <c r="I36" s="4">
        <f t="shared" si="18"/>
        <v>1038.3487544483983</v>
      </c>
      <c r="J36" s="4">
        <f t="shared" si="18"/>
        <v>1109.9359430604979</v>
      </c>
    </row>
    <row r="37" spans="1:12" x14ac:dyDescent="0.25">
      <c r="A37" s="21" t="s">
        <v>61</v>
      </c>
      <c r="B37" s="20"/>
      <c r="C37" s="55">
        <v>44926</v>
      </c>
      <c r="D37" s="55">
        <v>45291</v>
      </c>
      <c r="E37" s="55">
        <v>45657</v>
      </c>
      <c r="F37" s="55">
        <v>46022</v>
      </c>
      <c r="G37" s="55">
        <v>46022</v>
      </c>
      <c r="H37" s="55">
        <v>46022</v>
      </c>
      <c r="I37" s="55">
        <v>46022</v>
      </c>
      <c r="J37" s="55">
        <v>46022</v>
      </c>
      <c r="K37" s="203"/>
      <c r="L37" s="203"/>
    </row>
    <row r="38" spans="1:12" x14ac:dyDescent="0.25">
      <c r="B38" s="4" t="s">
        <v>49</v>
      </c>
      <c r="C38" s="10">
        <v>286</v>
      </c>
      <c r="D38" s="10">
        <v>281</v>
      </c>
      <c r="E38" s="23">
        <v>282</v>
      </c>
      <c r="F38" s="174">
        <f>F12</f>
        <v>282</v>
      </c>
      <c r="G38" s="174">
        <f t="shared" ref="G38:J38" si="19">G12</f>
        <v>282</v>
      </c>
      <c r="H38" s="174">
        <f t="shared" si="19"/>
        <v>282</v>
      </c>
      <c r="I38" s="174">
        <f t="shared" si="19"/>
        <v>282</v>
      </c>
      <c r="J38" s="174">
        <f t="shared" si="19"/>
        <v>282</v>
      </c>
      <c r="K38" s="207"/>
      <c r="L38" s="207"/>
    </row>
    <row r="39" spans="1:12" x14ac:dyDescent="0.25">
      <c r="B39" s="4" t="s">
        <v>50</v>
      </c>
      <c r="C39" s="10">
        <v>290</v>
      </c>
      <c r="D39" s="10">
        <v>285</v>
      </c>
      <c r="E39" s="23">
        <v>285</v>
      </c>
      <c r="F39" s="174">
        <f>F13</f>
        <v>285</v>
      </c>
      <c r="G39" s="174">
        <f t="shared" ref="G39:J39" si="20">G13</f>
        <v>285</v>
      </c>
      <c r="H39" s="174">
        <f t="shared" si="20"/>
        <v>285</v>
      </c>
      <c r="I39" s="174">
        <f t="shared" si="20"/>
        <v>285</v>
      </c>
      <c r="J39" s="174">
        <f t="shared" si="20"/>
        <v>285</v>
      </c>
      <c r="K39" s="207"/>
      <c r="L39" s="207"/>
    </row>
    <row r="40" spans="1:12" x14ac:dyDescent="0.25">
      <c r="B40" s="4" t="s">
        <v>62</v>
      </c>
      <c r="C40" s="181">
        <f t="shared" ref="C40:D40" si="21">C34/C38</f>
        <v>5.5361841276806478</v>
      </c>
      <c r="D40" s="181">
        <f t="shared" si="21"/>
        <v>6.8269823306966302</v>
      </c>
      <c r="E40" s="182">
        <f>E34/E38</f>
        <v>6.7495272220216425</v>
      </c>
      <c r="F40" s="173">
        <f>F34/F38</f>
        <v>8.8991535755369391</v>
      </c>
      <c r="G40" s="173">
        <f t="shared" ref="G40:J40" si="22">G34/G38</f>
        <v>9.9578986627504253</v>
      </c>
      <c r="H40" s="173">
        <f t="shared" si="22"/>
        <v>10.80335217904679</v>
      </c>
      <c r="I40" s="173">
        <f t="shared" si="22"/>
        <v>11.649300995130391</v>
      </c>
      <c r="J40" s="173">
        <f t="shared" si="22"/>
        <v>12.472189009625176</v>
      </c>
      <c r="K40" s="207"/>
      <c r="L40" s="207"/>
    </row>
    <row r="41" spans="1:12" s="11" customFormat="1" x14ac:dyDescent="0.25">
      <c r="A41" s="11" t="s">
        <v>124</v>
      </c>
      <c r="B41" s="18" t="s">
        <v>63</v>
      </c>
      <c r="C41" s="180">
        <f t="shared" ref="C41:D41" si="23">C34/C39</f>
        <v>5.4598229672988463</v>
      </c>
      <c r="D41" s="180">
        <f t="shared" si="23"/>
        <v>6.7311650348272032</v>
      </c>
      <c r="E41" s="180">
        <f>E34/E39</f>
        <v>6.6784795670529942</v>
      </c>
      <c r="F41" s="180">
        <f>F34/F39</f>
        <v>8.8054782747418141</v>
      </c>
      <c r="G41" s="180">
        <f t="shared" ref="G41:J41" si="24">G34/G39</f>
        <v>9.8530786768267369</v>
      </c>
      <c r="H41" s="180">
        <f t="shared" si="24"/>
        <v>10.689632682425245</v>
      </c>
      <c r="I41" s="180">
        <f t="shared" si="24"/>
        <v>11.526676774129017</v>
      </c>
      <c r="J41" s="180">
        <f t="shared" si="24"/>
        <v>12.340902809523858</v>
      </c>
      <c r="K41" s="211"/>
      <c r="L41" s="211"/>
    </row>
    <row r="42" spans="1:12" x14ac:dyDescent="0.25">
      <c r="C42" s="15"/>
      <c r="D42" s="15"/>
      <c r="E42" s="38"/>
      <c r="F42" s="15"/>
      <c r="G42" s="15"/>
      <c r="H42" s="15"/>
      <c r="I42" s="15"/>
      <c r="J42" s="15"/>
    </row>
    <row r="43" spans="1:12" x14ac:dyDescent="0.25">
      <c r="D43" s="15"/>
      <c r="E43" s="15"/>
      <c r="F43" s="15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38" sqref="F38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Yum Brands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7" t="s">
        <v>10</v>
      </c>
      <c r="B2" s="64"/>
      <c r="C2" s="262">
        <v>2022</v>
      </c>
      <c r="D2" s="262">
        <f>C2+1</f>
        <v>2023</v>
      </c>
      <c r="E2" s="262">
        <f t="shared" ref="E2:J2" si="0">D2+1</f>
        <v>2024</v>
      </c>
      <c r="F2" s="262">
        <f t="shared" si="0"/>
        <v>2025</v>
      </c>
      <c r="G2" s="262">
        <f t="shared" si="0"/>
        <v>2026</v>
      </c>
      <c r="H2" s="262">
        <f t="shared" si="0"/>
        <v>2027</v>
      </c>
      <c r="I2" s="262">
        <f t="shared" si="0"/>
        <v>2028</v>
      </c>
      <c r="J2" s="262">
        <f t="shared" si="0"/>
        <v>2029</v>
      </c>
      <c r="K2" s="212"/>
      <c r="L2" s="212"/>
    </row>
    <row r="3" spans="1:12" x14ac:dyDescent="0.25">
      <c r="K3" s="6"/>
      <c r="L3" s="6"/>
    </row>
    <row r="4" spans="1:12" x14ac:dyDescent="0.25">
      <c r="B4" s="4" t="s">
        <v>140</v>
      </c>
      <c r="C4" s="43"/>
      <c r="D4" s="43"/>
      <c r="E4" s="44"/>
      <c r="F4" s="102">
        <f>Assumptions!F44</f>
        <v>0.05</v>
      </c>
      <c r="G4" s="102">
        <f>F4</f>
        <v>0.05</v>
      </c>
      <c r="H4" s="102">
        <f t="shared" ref="H4:J4" si="1">G4</f>
        <v>0.05</v>
      </c>
      <c r="I4" s="102">
        <f t="shared" si="1"/>
        <v>0.05</v>
      </c>
      <c r="J4" s="102">
        <f t="shared" si="1"/>
        <v>0.05</v>
      </c>
      <c r="K4" s="170"/>
      <c r="L4" s="170"/>
    </row>
    <row r="5" spans="1:12" x14ac:dyDescent="0.25">
      <c r="B5" s="4" t="s">
        <v>153</v>
      </c>
      <c r="C5" s="43"/>
      <c r="D5" s="43"/>
      <c r="E5" s="44"/>
      <c r="F5" s="102">
        <f>Assumptions!F45</f>
        <v>0.11136070795130187</v>
      </c>
      <c r="G5" s="102">
        <f>Assumptions!G45</f>
        <v>0.11136070795130187</v>
      </c>
      <c r="H5" s="102">
        <f>Assumptions!H45</f>
        <v>0.11136070795130187</v>
      </c>
      <c r="I5" s="102">
        <f>Assumptions!I45</f>
        <v>0.11136070795130187</v>
      </c>
      <c r="J5" s="102">
        <f>Assumptions!J45</f>
        <v>0.11136070795130187</v>
      </c>
      <c r="K5" s="170"/>
      <c r="L5" s="170"/>
    </row>
    <row r="6" spans="1:12" x14ac:dyDescent="0.25">
      <c r="B6" s="4" t="s">
        <v>65</v>
      </c>
      <c r="C6" s="43"/>
      <c r="D6" s="43"/>
      <c r="E6" s="44"/>
      <c r="F6" s="102">
        <f>Assumptions!F46</f>
        <v>6.8971793311774068E-2</v>
      </c>
      <c r="G6" s="102">
        <f>Assumptions!G46</f>
        <v>6.8971793311774068E-2</v>
      </c>
      <c r="H6" s="102">
        <f>Assumptions!H46</f>
        <v>6.8971793311774068E-2</v>
      </c>
      <c r="I6" s="102">
        <f>Assumptions!I46</f>
        <v>6.8971793311774068E-2</v>
      </c>
      <c r="J6" s="102">
        <f>Assumptions!J46</f>
        <v>6.8971793311774068E-2</v>
      </c>
      <c r="K6" s="170"/>
      <c r="L6" s="170"/>
    </row>
    <row r="7" spans="1:12" x14ac:dyDescent="0.25">
      <c r="A7" s="7"/>
      <c r="C7" s="30"/>
      <c r="D7" s="30"/>
      <c r="E7" s="30"/>
      <c r="F7" s="103"/>
      <c r="G7" s="103"/>
      <c r="H7" s="103"/>
      <c r="I7" s="103"/>
      <c r="J7" s="103"/>
      <c r="K7" s="170"/>
      <c r="L7" s="170"/>
    </row>
    <row r="8" spans="1:12" x14ac:dyDescent="0.25">
      <c r="B8" s="4" t="s">
        <v>66</v>
      </c>
      <c r="C8" s="43"/>
      <c r="D8" s="43"/>
      <c r="E8" s="44"/>
      <c r="F8" s="102">
        <f>Assumptions!F49</f>
        <v>0.34485896655887033</v>
      </c>
      <c r="G8" s="102">
        <f>Assumptions!G49</f>
        <v>0.34485896655887033</v>
      </c>
      <c r="H8" s="102">
        <f>Assumptions!H49</f>
        <v>0.34485896655887033</v>
      </c>
      <c r="I8" s="102">
        <f>Assumptions!I49</f>
        <v>0.34485896655887033</v>
      </c>
      <c r="J8" s="102">
        <f>Assumptions!J49</f>
        <v>0.34485896655887033</v>
      </c>
      <c r="K8" s="170"/>
      <c r="L8" s="170"/>
    </row>
    <row r="9" spans="1:12" x14ac:dyDescent="0.25">
      <c r="B9" s="4" t="s">
        <v>162</v>
      </c>
      <c r="C9" s="43"/>
      <c r="D9" s="43"/>
      <c r="E9" s="150"/>
      <c r="F9" s="101">
        <f>Assumptions!F48</f>
        <v>0</v>
      </c>
      <c r="G9" s="101">
        <f>Assumptions!G48</f>
        <v>0</v>
      </c>
      <c r="H9" s="101">
        <f>Assumptions!H48</f>
        <v>0</v>
      </c>
      <c r="I9" s="101">
        <f>Assumptions!I48</f>
        <v>0</v>
      </c>
      <c r="J9" s="101">
        <f>Assumptions!J48</f>
        <v>0</v>
      </c>
      <c r="K9" s="196"/>
      <c r="L9" s="196"/>
    </row>
    <row r="10" spans="1:12" x14ac:dyDescent="0.25">
      <c r="C10" s="30"/>
      <c r="D10" s="30"/>
      <c r="E10" s="30"/>
      <c r="F10" s="103"/>
      <c r="G10" s="103"/>
      <c r="H10" s="103"/>
      <c r="I10" s="103"/>
      <c r="J10" s="103"/>
      <c r="K10" s="170"/>
      <c r="L10" s="170"/>
    </row>
    <row r="11" spans="1:12" x14ac:dyDescent="0.25">
      <c r="B11" s="4" t="s">
        <v>152</v>
      </c>
      <c r="C11" s="43"/>
      <c r="D11" s="43"/>
      <c r="E11" s="44"/>
      <c r="F11" s="102">
        <f>Assumptions!F53</f>
        <v>0.76888888888888884</v>
      </c>
      <c r="G11" s="102">
        <f>Assumptions!G53</f>
        <v>0.76888888888888884</v>
      </c>
      <c r="H11" s="102">
        <f>Assumptions!H53</f>
        <v>0.76888888888888884</v>
      </c>
      <c r="I11" s="102">
        <f>Assumptions!I53</f>
        <v>0.76888888888888884</v>
      </c>
      <c r="J11" s="102">
        <f>Assumptions!J53</f>
        <v>0.76888888888888884</v>
      </c>
      <c r="K11" s="170"/>
      <c r="L11" s="170"/>
    </row>
    <row r="12" spans="1:12" x14ac:dyDescent="0.25">
      <c r="B12" s="4" t="s">
        <v>67</v>
      </c>
      <c r="C12" s="43"/>
      <c r="D12" s="43"/>
      <c r="E12" s="27"/>
      <c r="F12" s="102">
        <f>Assumptions!F54</f>
        <v>4.454428318052075E-3</v>
      </c>
      <c r="G12" s="102">
        <f>Assumptions!G54</f>
        <v>4.454428318052075E-3</v>
      </c>
      <c r="H12" s="102">
        <f>Assumptions!H54</f>
        <v>4.454428318052075E-3</v>
      </c>
      <c r="I12" s="102">
        <f>Assumptions!I54</f>
        <v>4.454428318052075E-3</v>
      </c>
      <c r="J12" s="102">
        <f>Assumptions!J54</f>
        <v>4.454428318052075E-3</v>
      </c>
      <c r="K12" s="170"/>
      <c r="L12" s="170"/>
    </row>
    <row r="13" spans="1:12" x14ac:dyDescent="0.25">
      <c r="B13" s="4" t="s">
        <v>68</v>
      </c>
      <c r="C13" s="43"/>
      <c r="D13" s="43"/>
      <c r="E13" s="44"/>
      <c r="F13" s="254">
        <f>Assumptions!F55</f>
        <v>0.25864422491915273</v>
      </c>
      <c r="G13" s="254">
        <f>Assumptions!G55</f>
        <v>0.25864422491915273</v>
      </c>
      <c r="H13" s="254">
        <f>Assumptions!H55</f>
        <v>0.25864422491915273</v>
      </c>
      <c r="I13" s="254">
        <f>Assumptions!I55</f>
        <v>0.25864422491915273</v>
      </c>
      <c r="J13" s="254">
        <f>Assumptions!J55</f>
        <v>0.25864422491915273</v>
      </c>
      <c r="K13" s="170"/>
      <c r="L13" s="170"/>
    </row>
    <row r="14" spans="1:12" x14ac:dyDescent="0.25">
      <c r="C14" s="43"/>
      <c r="D14" s="43"/>
      <c r="E14" s="43"/>
      <c r="F14" s="103"/>
      <c r="G14" s="103"/>
      <c r="H14" s="103"/>
      <c r="I14" s="103"/>
      <c r="J14" s="103"/>
      <c r="K14" s="170"/>
      <c r="L14" s="170"/>
    </row>
    <row r="15" spans="1:12" ht="15" customHeight="1" x14ac:dyDescent="0.25">
      <c r="A15" s="178" t="s">
        <v>64</v>
      </c>
      <c r="B15" s="179"/>
      <c r="C15" s="251">
        <f>C2</f>
        <v>2022</v>
      </c>
      <c r="D15" s="251">
        <f>D2</f>
        <v>2023</v>
      </c>
      <c r="E15" s="251">
        <f>E2</f>
        <v>2024</v>
      </c>
      <c r="F15" s="251">
        <f>F2</f>
        <v>2025</v>
      </c>
      <c r="G15" s="251">
        <f>G2</f>
        <v>2026</v>
      </c>
      <c r="H15" s="251">
        <f>H2</f>
        <v>2027</v>
      </c>
      <c r="I15" s="251">
        <f>I2</f>
        <v>2028</v>
      </c>
      <c r="J15" s="251">
        <f>J2</f>
        <v>2029</v>
      </c>
      <c r="K15" s="206"/>
      <c r="L15" s="206"/>
    </row>
    <row r="16" spans="1:12" x14ac:dyDescent="0.25">
      <c r="B16" s="4" t="s">
        <v>158</v>
      </c>
      <c r="C16" s="312">
        <f>5%*IncState!C16</f>
        <v>312.71743302583332</v>
      </c>
      <c r="D16" s="312">
        <f>5%*IncState!D16</f>
        <v>323.81910174628769</v>
      </c>
      <c r="E16" s="186">
        <f>5%*IncState!E16</f>
        <v>347.96833383050517</v>
      </c>
      <c r="F16" s="4">
        <f>F4*IncState!F16</f>
        <v>381.98573930723563</v>
      </c>
      <c r="G16" s="4">
        <f>G4*IncState!G16</f>
        <v>418.6772951341934</v>
      </c>
      <c r="H16" s="4">
        <f>H4*IncState!H16</f>
        <v>454.79946029433125</v>
      </c>
      <c r="I16" s="4">
        <f>I4*IncState!I16</f>
        <v>490.25661562934232</v>
      </c>
      <c r="J16" s="4">
        <f>J4*IncState!J16</f>
        <v>524.30871118125413</v>
      </c>
    </row>
    <row r="17" spans="1:12" x14ac:dyDescent="0.25">
      <c r="B17" s="4" t="s">
        <v>159</v>
      </c>
      <c r="C17" s="185">
        <f>367-C16</f>
        <v>54.282566974166684</v>
      </c>
      <c r="D17" s="185">
        <f>512-D16</f>
        <v>188.18089825371231</v>
      </c>
      <c r="E17" s="186">
        <f>616-E16</f>
        <v>268.03166616949483</v>
      </c>
      <c r="F17" s="4">
        <f>MAX(CashFlow!F23,0)</f>
        <v>1721.362094159839</v>
      </c>
      <c r="G17" s="4">
        <f>MAX(CashFlow!G23,0)</f>
        <v>3332.6645811827643</v>
      </c>
      <c r="H17" s="4">
        <f>MAX(CashFlow!H23,0)</f>
        <v>5146.3840224886608</v>
      </c>
      <c r="I17" s="4">
        <f>MAX(CashFlow!I23,0)</f>
        <v>7133.7914767981529</v>
      </c>
      <c r="J17" s="4">
        <f>MAX(CashFlow!J23,0)</f>
        <v>9296.7443194642401</v>
      </c>
    </row>
    <row r="18" spans="1:12" x14ac:dyDescent="0.25">
      <c r="B18" s="4" t="s">
        <v>69</v>
      </c>
      <c r="C18" s="187">
        <v>648</v>
      </c>
      <c r="D18" s="187">
        <v>737</v>
      </c>
      <c r="E18" s="188">
        <v>775</v>
      </c>
      <c r="F18" s="4">
        <f>F5*IncState!F16</f>
        <v>850.76404713110389</v>
      </c>
      <c r="G18" s="4">
        <f>G5*IncState!G16</f>
        <v>932.4839997855986</v>
      </c>
      <c r="H18" s="4">
        <f>H5*IncState!H16</f>
        <v>1012.9357974849346</v>
      </c>
      <c r="I18" s="4">
        <f>I5*IncState!I16</f>
        <v>1091.9064758858569</v>
      </c>
      <c r="J18" s="4">
        <f>J5*IncState!J16</f>
        <v>1167.7477852435823</v>
      </c>
    </row>
    <row r="19" spans="1:12" x14ac:dyDescent="0.25">
      <c r="B19" s="4" t="s">
        <v>70</v>
      </c>
      <c r="C19" s="187">
        <v>594</v>
      </c>
      <c r="D19" s="187">
        <v>360</v>
      </c>
      <c r="E19" s="188">
        <v>480</v>
      </c>
      <c r="F19" s="4">
        <f>F6*IncState!F16</f>
        <v>526.92482919087729</v>
      </c>
      <c r="G19" s="4">
        <f>G6*IncState!G16</f>
        <v>577.53847728656433</v>
      </c>
      <c r="H19" s="4">
        <f>H6*IncState!H16</f>
        <v>627.36668747454019</v>
      </c>
      <c r="I19" s="4">
        <f>I6*IncState!I16</f>
        <v>676.27755925833719</v>
      </c>
      <c r="J19" s="4">
        <f>J6*IncState!J16</f>
        <v>723.25024118312206</v>
      </c>
    </row>
    <row r="20" spans="1:12" s="11" customFormat="1" x14ac:dyDescent="0.25">
      <c r="B20" s="11" t="s">
        <v>71</v>
      </c>
      <c r="C20" s="11">
        <f>SUM(C16:C19)</f>
        <v>1609</v>
      </c>
      <c r="D20" s="11">
        <f>SUM(D16:D19)</f>
        <v>1609</v>
      </c>
      <c r="E20" s="25">
        <f>SUM(E16:E19)</f>
        <v>1871</v>
      </c>
      <c r="F20" s="11">
        <f>SUM(F16:F19)</f>
        <v>3481.0367097890557</v>
      </c>
      <c r="G20" s="11">
        <f t="shared" ref="G20:J20" si="2">SUM(G16:G19)</f>
        <v>5261.3643533891209</v>
      </c>
      <c r="H20" s="11">
        <f t="shared" si="2"/>
        <v>7241.4859677424665</v>
      </c>
      <c r="I20" s="11">
        <f t="shared" si="2"/>
        <v>9392.2321275716895</v>
      </c>
      <c r="J20" s="11">
        <f t="shared" si="2"/>
        <v>11712.0510570722</v>
      </c>
    </row>
    <row r="21" spans="1:12" x14ac:dyDescent="0.25">
      <c r="A21" s="7"/>
      <c r="E21" s="28"/>
      <c r="I21" s="4"/>
      <c r="J21" s="4"/>
    </row>
    <row r="22" spans="1:12" x14ac:dyDescent="0.25">
      <c r="B22" s="4" t="s">
        <v>72</v>
      </c>
      <c r="C22" s="187">
        <v>1171</v>
      </c>
      <c r="D22" s="187">
        <v>1197</v>
      </c>
      <c r="E22" s="188">
        <v>1304</v>
      </c>
      <c r="F22" s="4">
        <f>Calcs!F9</f>
        <v>1513.8</v>
      </c>
      <c r="G22" s="4">
        <f>Calcs!G9</f>
        <v>1713.11</v>
      </c>
      <c r="H22" s="4">
        <f>Calcs!H9</f>
        <v>1902.4544999999998</v>
      </c>
      <c r="I22" s="4">
        <f>Calcs!I9</f>
        <v>2082.3317749999997</v>
      </c>
      <c r="J22" s="4">
        <f>Calcs!J9</f>
        <v>2253.2151862499995</v>
      </c>
    </row>
    <row r="23" spans="1:12" x14ac:dyDescent="0.25">
      <c r="B23" s="4" t="s">
        <v>160</v>
      </c>
      <c r="C23" s="187">
        <f>638+354</f>
        <v>992</v>
      </c>
      <c r="D23" s="187">
        <f>642+377</f>
        <v>1019</v>
      </c>
      <c r="E23" s="188">
        <f>736+416</f>
        <v>1152</v>
      </c>
      <c r="F23" s="131">
        <f>E23-IncState!F22</f>
        <v>1152</v>
      </c>
      <c r="G23" s="131">
        <f>F23-IncState!G22</f>
        <v>1152</v>
      </c>
      <c r="H23" s="131">
        <f>G23-IncState!H22</f>
        <v>1152</v>
      </c>
      <c r="I23" s="131">
        <f>H23-IncState!I22</f>
        <v>1152</v>
      </c>
      <c r="J23" s="131">
        <f>I23-IncState!J22</f>
        <v>1152</v>
      </c>
      <c r="K23" s="131"/>
      <c r="L23" s="131"/>
    </row>
    <row r="24" spans="1:12" x14ac:dyDescent="0.25">
      <c r="B24" s="4" t="s">
        <v>161</v>
      </c>
      <c r="C24" s="187">
        <v>0</v>
      </c>
      <c r="D24" s="187">
        <v>0</v>
      </c>
      <c r="E24" s="188">
        <v>0</v>
      </c>
      <c r="F24" s="4">
        <f>F9</f>
        <v>0</v>
      </c>
      <c r="G24" s="4">
        <f t="shared" ref="G24:J24" si="3">G9</f>
        <v>0</v>
      </c>
      <c r="H24" s="4">
        <f t="shared" si="3"/>
        <v>0</v>
      </c>
      <c r="I24" s="4">
        <f t="shared" si="3"/>
        <v>0</v>
      </c>
      <c r="J24" s="4">
        <f t="shared" si="3"/>
        <v>0</v>
      </c>
    </row>
    <row r="25" spans="1:12" x14ac:dyDescent="0.25">
      <c r="B25" s="4" t="s">
        <v>163</v>
      </c>
      <c r="C25" s="187">
        <f>1324+750</f>
        <v>2074</v>
      </c>
      <c r="D25" s="187">
        <f>1361+1045</f>
        <v>2406</v>
      </c>
      <c r="E25" s="188">
        <f>1329+1071</f>
        <v>2400</v>
      </c>
      <c r="F25" s="4">
        <f>F8*IncState!F16</f>
        <v>2634.6241459543862</v>
      </c>
      <c r="G25" s="4">
        <f>G8*IncState!G16</f>
        <v>2887.6923864328214</v>
      </c>
      <c r="H25" s="4">
        <f>H8*IncState!H16</f>
        <v>3136.8334373727007</v>
      </c>
      <c r="I25" s="4">
        <f>I8*IncState!I16</f>
        <v>3381.3877962916858</v>
      </c>
      <c r="J25" s="4">
        <f>J8*IncState!J16</f>
        <v>3616.2512059156097</v>
      </c>
    </row>
    <row r="26" spans="1:12" s="11" customFormat="1" x14ac:dyDescent="0.25">
      <c r="B26" s="11" t="s">
        <v>73</v>
      </c>
      <c r="C26" s="11">
        <f>SUM(C22:C25)</f>
        <v>4237</v>
      </c>
      <c r="D26" s="11">
        <f>SUM(D22:D25)</f>
        <v>4622</v>
      </c>
      <c r="E26" s="25">
        <f>SUM(E22:E25)</f>
        <v>4856</v>
      </c>
      <c r="F26" s="11">
        <f>SUM(F22:F25)</f>
        <v>5300.4241459543864</v>
      </c>
      <c r="G26" s="11">
        <f t="shared" ref="G26:J26" si="4">SUM(G22:G25)</f>
        <v>5752.8023864328206</v>
      </c>
      <c r="H26" s="11">
        <f t="shared" si="4"/>
        <v>6191.287937372701</v>
      </c>
      <c r="I26" s="11">
        <f t="shared" si="4"/>
        <v>6615.7195712916855</v>
      </c>
      <c r="J26" s="11">
        <f t="shared" si="4"/>
        <v>7021.4663921656092</v>
      </c>
    </row>
    <row r="27" spans="1:12" x14ac:dyDescent="0.25">
      <c r="E27" s="28"/>
      <c r="I27" s="4"/>
      <c r="J27" s="4"/>
    </row>
    <row r="28" spans="1:12" s="11" customFormat="1" x14ac:dyDescent="0.25">
      <c r="A28" s="11" t="s">
        <v>124</v>
      </c>
      <c r="B28" s="18" t="s">
        <v>74</v>
      </c>
      <c r="C28" s="19">
        <f>SUM(C26,C20)</f>
        <v>5846</v>
      </c>
      <c r="D28" s="19">
        <f>SUM(D26,D20)</f>
        <v>6231</v>
      </c>
      <c r="E28" s="19">
        <f>SUM(E26,E20)</f>
        <v>6727</v>
      </c>
      <c r="F28" s="19">
        <f>SUM(F26,F20)</f>
        <v>8781.4608557434422</v>
      </c>
      <c r="G28" s="19">
        <f t="shared" ref="G28:J28" si="5">SUM(G26,G20)</f>
        <v>11014.166739821942</v>
      </c>
      <c r="H28" s="19">
        <f t="shared" si="5"/>
        <v>13432.773905115168</v>
      </c>
      <c r="I28" s="19">
        <f t="shared" si="5"/>
        <v>16007.951698863375</v>
      </c>
      <c r="J28" s="19">
        <f t="shared" si="5"/>
        <v>18733.51744923781</v>
      </c>
    </row>
    <row r="29" spans="1:12" x14ac:dyDescent="0.25">
      <c r="A29" s="11"/>
      <c r="E29" s="28"/>
      <c r="I29" s="4"/>
      <c r="J29" s="4"/>
      <c r="K29" s="6"/>
      <c r="L29" s="6"/>
    </row>
    <row r="30" spans="1:12" x14ac:dyDescent="0.25">
      <c r="B30" s="4" t="s">
        <v>75</v>
      </c>
      <c r="C30" s="9">
        <v>398</v>
      </c>
      <c r="D30" s="9">
        <v>53</v>
      </c>
      <c r="E30" s="45">
        <v>27</v>
      </c>
      <c r="F30" s="4">
        <f>MIN(CashFlow!F23,0)</f>
        <v>0</v>
      </c>
      <c r="G30" s="4">
        <f>MIN(CashFlow!G23,0)</f>
        <v>0</v>
      </c>
      <c r="H30" s="4">
        <f>MIN(CashFlow!H23,0)</f>
        <v>0</v>
      </c>
      <c r="I30" s="4">
        <f>MIN(CashFlow!I23,0)</f>
        <v>0</v>
      </c>
      <c r="J30" s="4">
        <f>MIN(CashFlow!J23,0)</f>
        <v>0</v>
      </c>
    </row>
    <row r="31" spans="1:12" x14ac:dyDescent="0.25">
      <c r="B31" s="4" t="s">
        <v>151</v>
      </c>
      <c r="C31" s="187">
        <f>1251</f>
        <v>1251</v>
      </c>
      <c r="D31" s="9">
        <v>1169</v>
      </c>
      <c r="E31" s="45">
        <v>1211</v>
      </c>
      <c r="F31" s="4">
        <f>F11*IncState!F17</f>
        <v>1427.4880647030905</v>
      </c>
      <c r="G31" s="4">
        <f>G11*IncState!G17</f>
        <v>1554.1709246451635</v>
      </c>
      <c r="H31" s="4">
        <f>H11*IncState!H17</f>
        <v>1702.9204811706104</v>
      </c>
      <c r="I31" s="4">
        <f>I11*IncState!I17</f>
        <v>1844.7695524151709</v>
      </c>
      <c r="J31" s="4">
        <f>J11*IncState!J17</f>
        <v>1983.9327355435512</v>
      </c>
    </row>
    <row r="32" spans="1:12" x14ac:dyDescent="0.25">
      <c r="B32" s="4" t="s">
        <v>76</v>
      </c>
      <c r="C32" s="187">
        <v>16</v>
      </c>
      <c r="D32" s="9">
        <v>55</v>
      </c>
      <c r="E32" s="45">
        <v>31</v>
      </c>
      <c r="F32" s="4">
        <f>F12*IncState!F16</f>
        <v>34.030561885244154</v>
      </c>
      <c r="G32" s="4">
        <f>G12*IncState!G16</f>
        <v>37.299359991423941</v>
      </c>
      <c r="H32" s="4">
        <f>H12*IncState!H16</f>
        <v>40.517431899397387</v>
      </c>
      <c r="I32" s="4">
        <f>I12*IncState!I16</f>
        <v>43.676259035434278</v>
      </c>
      <c r="J32" s="4">
        <f>J12*IncState!J16</f>
        <v>46.709911409743292</v>
      </c>
    </row>
    <row r="33" spans="1:12" s="11" customFormat="1" x14ac:dyDescent="0.25">
      <c r="B33" s="11" t="s">
        <v>77</v>
      </c>
      <c r="C33" s="11">
        <f t="shared" ref="C33:E33" si="6">SUM(C30:C32)</f>
        <v>1665</v>
      </c>
      <c r="D33" s="11">
        <f t="shared" si="6"/>
        <v>1277</v>
      </c>
      <c r="E33" s="25">
        <f t="shared" si="6"/>
        <v>1269</v>
      </c>
      <c r="F33" s="11">
        <f>SUM(F30:F32)</f>
        <v>1461.5186265883347</v>
      </c>
      <c r="G33" s="11">
        <f t="shared" ref="G33:J33" si="7">SUM(G30:G32)</f>
        <v>1591.4702846365874</v>
      </c>
      <c r="H33" s="11">
        <f t="shared" si="7"/>
        <v>1743.4379130700079</v>
      </c>
      <c r="I33" s="11">
        <f t="shared" si="7"/>
        <v>1888.4458114506051</v>
      </c>
      <c r="J33" s="11">
        <f t="shared" si="7"/>
        <v>2030.6426469532944</v>
      </c>
    </row>
    <row r="34" spans="1:12" x14ac:dyDescent="0.25">
      <c r="B34" s="11"/>
      <c r="E34" s="28"/>
      <c r="I34" s="4"/>
      <c r="J34" s="4"/>
    </row>
    <row r="35" spans="1:12" x14ac:dyDescent="0.25">
      <c r="B35" s="4" t="s">
        <v>78</v>
      </c>
      <c r="C35" s="187">
        <v>11453</v>
      </c>
      <c r="D35" s="9">
        <v>11142</v>
      </c>
      <c r="E35" s="45">
        <v>11306</v>
      </c>
      <c r="F35" s="4">
        <f>Debt!F26</f>
        <v>11306</v>
      </c>
      <c r="G35" s="4">
        <f>Debt!G26</f>
        <v>11306</v>
      </c>
      <c r="H35" s="4">
        <f>Debt!H26</f>
        <v>11306</v>
      </c>
      <c r="I35" s="4">
        <f>Debt!I26</f>
        <v>11306</v>
      </c>
      <c r="J35" s="4">
        <f>Debt!J26</f>
        <v>11306</v>
      </c>
    </row>
    <row r="36" spans="1:12" x14ac:dyDescent="0.25">
      <c r="B36" s="4" t="s">
        <v>79</v>
      </c>
      <c r="C36" s="187">
        <v>1604</v>
      </c>
      <c r="D36" s="9">
        <v>1670</v>
      </c>
      <c r="E36" s="45">
        <v>1800</v>
      </c>
      <c r="F36" s="4">
        <f>F13*IncState!F16</f>
        <v>1975.9681094657897</v>
      </c>
      <c r="G36" s="4">
        <f>G13*IncState!G16</f>
        <v>2165.769289824616</v>
      </c>
      <c r="H36" s="4">
        <f>H13*IncState!H16</f>
        <v>2352.6250780295254</v>
      </c>
      <c r="I36" s="4">
        <f>I13*IncState!I16</f>
        <v>2536.0408472187642</v>
      </c>
      <c r="J36" s="4">
        <f>J13*IncState!J16</f>
        <v>2712.1884044367071</v>
      </c>
    </row>
    <row r="37" spans="1:12" x14ac:dyDescent="0.25">
      <c r="B37" s="11" t="s">
        <v>80</v>
      </c>
      <c r="C37" s="11">
        <f t="shared" ref="C37:E37" si="8">SUM(C35:C36)</f>
        <v>13057</v>
      </c>
      <c r="D37" s="11">
        <f t="shared" si="8"/>
        <v>12812</v>
      </c>
      <c r="E37" s="25">
        <f t="shared" si="8"/>
        <v>13106</v>
      </c>
      <c r="F37" s="11">
        <f>SUM(F35:F36)</f>
        <v>13281.96810946579</v>
      </c>
      <c r="G37" s="11">
        <f t="shared" ref="G37:J37" si="9">SUM(G35:G36)</f>
        <v>13471.769289824617</v>
      </c>
      <c r="H37" s="11">
        <f t="shared" si="9"/>
        <v>13658.625078029525</v>
      </c>
      <c r="I37" s="11">
        <f t="shared" si="9"/>
        <v>13842.040847218765</v>
      </c>
      <c r="J37" s="11">
        <f t="shared" si="9"/>
        <v>14018.188404436707</v>
      </c>
      <c r="K37" s="11"/>
      <c r="L37" s="11"/>
    </row>
    <row r="38" spans="1:12" x14ac:dyDescent="0.25">
      <c r="E38" s="28"/>
      <c r="I38" s="4"/>
      <c r="J38" s="4"/>
    </row>
    <row r="39" spans="1:12" x14ac:dyDescent="0.25">
      <c r="B39" s="4" t="s">
        <v>17</v>
      </c>
      <c r="C39" s="189">
        <v>-8876</v>
      </c>
      <c r="D39" s="189">
        <v>-7848</v>
      </c>
      <c r="E39" s="217">
        <v>-7648</v>
      </c>
      <c r="F39" s="4">
        <f>Calcs!F17</f>
        <v>-5962.0258803106826</v>
      </c>
      <c r="G39" s="4">
        <f>Calcs!G17</f>
        <v>-4049.0728346392616</v>
      </c>
      <c r="H39" s="4">
        <f>Calcs!H17</f>
        <v>-1969.2890859843656</v>
      </c>
      <c r="I39" s="4">
        <f>Calcs!I17</f>
        <v>277.46504019400618</v>
      </c>
      <c r="J39" s="4">
        <f>Calcs!J17</f>
        <v>2684.6863978478077</v>
      </c>
    </row>
    <row r="40" spans="1:12" s="11" customFormat="1" x14ac:dyDescent="0.25">
      <c r="A40" s="11" t="s">
        <v>124</v>
      </c>
      <c r="B40" s="18" t="s">
        <v>81</v>
      </c>
      <c r="C40" s="19">
        <f>SUM(C39,C37,C33)</f>
        <v>5846</v>
      </c>
      <c r="D40" s="19">
        <f>SUM(D39,D37,D33)</f>
        <v>6241</v>
      </c>
      <c r="E40" s="19">
        <f t="shared" ref="E40:F40" si="10">SUM(E39,E37,E33)</f>
        <v>6727</v>
      </c>
      <c r="F40" s="19">
        <f t="shared" si="10"/>
        <v>8781.4608557434422</v>
      </c>
      <c r="G40" s="19">
        <f t="shared" ref="G40:J40" si="11">SUM(G39,G37,G33)</f>
        <v>11014.166739821943</v>
      </c>
      <c r="H40" s="19">
        <f t="shared" si="11"/>
        <v>13432.773905115166</v>
      </c>
      <c r="I40" s="19">
        <f t="shared" si="11"/>
        <v>16007.951698863377</v>
      </c>
      <c r="J40" s="19">
        <f t="shared" si="11"/>
        <v>18733.517449237806</v>
      </c>
    </row>
    <row r="41" spans="1:12" x14ac:dyDescent="0.25">
      <c r="E41" s="28"/>
      <c r="I41" s="4"/>
      <c r="J41" s="4"/>
      <c r="K41" s="6"/>
      <c r="L41" s="6"/>
    </row>
    <row r="42" spans="1:12" x14ac:dyDescent="0.25">
      <c r="A42" s="4" t="s">
        <v>124</v>
      </c>
      <c r="B42" s="11" t="s">
        <v>82</v>
      </c>
      <c r="C42" s="46">
        <f>C40-C28</f>
        <v>0</v>
      </c>
      <c r="D42" s="46">
        <f t="shared" ref="D42:J42" si="12">D40-D28</f>
        <v>10</v>
      </c>
      <c r="E42" s="152">
        <f t="shared" si="12"/>
        <v>0</v>
      </c>
      <c r="F42" s="46">
        <f t="shared" si="12"/>
        <v>0</v>
      </c>
      <c r="G42" s="46">
        <f t="shared" ref="G42:J42" si="13">G40-G28</f>
        <v>0</v>
      </c>
      <c r="H42" s="46">
        <f t="shared" si="13"/>
        <v>0</v>
      </c>
      <c r="I42" s="46">
        <f t="shared" si="13"/>
        <v>0</v>
      </c>
      <c r="J42" s="46">
        <f t="shared" si="13"/>
        <v>0</v>
      </c>
      <c r="K42" s="46"/>
      <c r="L42" s="46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5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3"/>
  <sheetViews>
    <sheetView showGridLines="0" zoomScaleNormal="100" workbookViewId="0">
      <selection activeCell="F23" sqref="F4:J23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Yum Brands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8" t="s">
        <v>83</v>
      </c>
      <c r="B2" s="179"/>
      <c r="C2" s="184">
        <v>2022</v>
      </c>
      <c r="D2" s="184">
        <f>C2+1</f>
        <v>2023</v>
      </c>
      <c r="E2" s="184">
        <f t="shared" ref="E2:J2" si="0">D2+1</f>
        <v>2024</v>
      </c>
      <c r="F2" s="184">
        <f t="shared" si="0"/>
        <v>2025</v>
      </c>
      <c r="G2" s="184">
        <f t="shared" si="0"/>
        <v>2026</v>
      </c>
      <c r="H2" s="184">
        <f t="shared" si="0"/>
        <v>2027</v>
      </c>
      <c r="I2" s="184">
        <f t="shared" si="0"/>
        <v>2028</v>
      </c>
      <c r="J2" s="184">
        <f t="shared" si="0"/>
        <v>2029</v>
      </c>
      <c r="K2" s="206"/>
      <c r="L2" s="206"/>
    </row>
    <row r="3" spans="1:12" x14ac:dyDescent="0.25">
      <c r="B3" s="4" t="s">
        <v>156</v>
      </c>
      <c r="F3" s="4">
        <f>IncState!F34</f>
        <v>2509.5613083014168</v>
      </c>
      <c r="G3" s="4">
        <f>IncState!G34</f>
        <v>2808.1274228956199</v>
      </c>
      <c r="H3" s="4">
        <f>IncState!H34</f>
        <v>3046.5453144911949</v>
      </c>
      <c r="I3" s="4">
        <f>IncState!I34</f>
        <v>3285.10288062677</v>
      </c>
      <c r="J3" s="4">
        <f>IncState!J34</f>
        <v>3517.1573007142993</v>
      </c>
    </row>
    <row r="4" spans="1:12" x14ac:dyDescent="0.25">
      <c r="B4" s="4" t="s">
        <v>15</v>
      </c>
      <c r="F4" s="4">
        <f>IncState!F21</f>
        <v>65.2</v>
      </c>
      <c r="G4" s="4">
        <f>IncState!G21</f>
        <v>75.69</v>
      </c>
      <c r="H4" s="4">
        <f>IncState!H21</f>
        <v>85.655500000000004</v>
      </c>
      <c r="I4" s="4">
        <f>IncState!I21</f>
        <v>95.122725000000003</v>
      </c>
      <c r="J4" s="4">
        <f>IncState!J21</f>
        <v>104.11658874999999</v>
      </c>
    </row>
    <row r="5" spans="1:12" x14ac:dyDescent="0.25">
      <c r="B5" s="4" t="s">
        <v>54</v>
      </c>
      <c r="F5" s="4">
        <f>IncState!F22</f>
        <v>0</v>
      </c>
      <c r="G5" s="4">
        <f>IncState!G22</f>
        <v>0</v>
      </c>
      <c r="H5" s="4">
        <f>IncState!H22</f>
        <v>0</v>
      </c>
      <c r="I5" s="4">
        <f>IncState!I22</f>
        <v>0</v>
      </c>
      <c r="J5" s="4">
        <f>IncState!J22</f>
        <v>0</v>
      </c>
    </row>
    <row r="6" spans="1:12" x14ac:dyDescent="0.25">
      <c r="B6" s="4" t="s">
        <v>89</v>
      </c>
      <c r="F6" s="4">
        <f>Calcs!F25</f>
        <v>62.812344789623012</v>
      </c>
      <c r="G6" s="4">
        <f>Calcs!G25</f>
        <v>-39.07349852888683</v>
      </c>
      <c r="H6" s="4">
        <f>Calcs!H25</f>
        <v>-14.434544614028937</v>
      </c>
      <c r="I6" s="4">
        <f>Calcs!I25</f>
        <v>-18.33080713913364</v>
      </c>
      <c r="J6" s="4">
        <f>Calcs!J25</f>
        <v>-14.669251331732539</v>
      </c>
    </row>
    <row r="7" spans="1:12" x14ac:dyDescent="0.25">
      <c r="B7" s="4" t="s">
        <v>226</v>
      </c>
      <c r="F7" s="4">
        <f>BalSheet!E25-BalSheet!F25</f>
        <v>-234.62414595438622</v>
      </c>
      <c r="G7" s="4">
        <f>BalSheet!F25-BalSheet!G25</f>
        <v>-253.0682404784352</v>
      </c>
      <c r="H7" s="4">
        <f>BalSheet!G25-BalSheet!H25</f>
        <v>-249.14105093987928</v>
      </c>
      <c r="I7" s="4">
        <f>BalSheet!H25-BalSheet!I25</f>
        <v>-244.55435891898514</v>
      </c>
      <c r="J7" s="4">
        <f>BalSheet!I25-BalSheet!J25</f>
        <v>-234.86340962392387</v>
      </c>
    </row>
    <row r="8" spans="1:12" x14ac:dyDescent="0.25">
      <c r="B8" s="4" t="s">
        <v>227</v>
      </c>
      <c r="F8" s="4">
        <f>BalSheet!F36-BalSheet!E36</f>
        <v>175.96810946578967</v>
      </c>
      <c r="G8" s="4">
        <f>BalSheet!G36-BalSheet!F36</f>
        <v>189.80118035882629</v>
      </c>
      <c r="H8" s="4">
        <f>BalSheet!H36-BalSheet!G36</f>
        <v>186.85578820490946</v>
      </c>
      <c r="I8" s="4">
        <f>BalSheet!I36-BalSheet!H36</f>
        <v>183.41576918923874</v>
      </c>
      <c r="J8" s="4">
        <f>BalSheet!J36-BalSheet!I36</f>
        <v>176.1475572179429</v>
      </c>
    </row>
    <row r="9" spans="1:12" s="11" customFormat="1" x14ac:dyDescent="0.25">
      <c r="B9" s="11" t="s">
        <v>228</v>
      </c>
      <c r="F9" s="11">
        <f>SUM(F3:F8)</f>
        <v>2578.9176166024436</v>
      </c>
      <c r="G9" s="11">
        <f t="shared" ref="G9:J9" si="1">SUM(G3:G8)</f>
        <v>2781.4768642471245</v>
      </c>
      <c r="H9" s="11">
        <f t="shared" si="1"/>
        <v>3055.4810071421957</v>
      </c>
      <c r="I9" s="11">
        <f t="shared" si="1"/>
        <v>3300.7562087578904</v>
      </c>
      <c r="J9" s="11">
        <f t="shared" si="1"/>
        <v>3547.8887857265859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-Calcs!F7</f>
        <v>-275</v>
      </c>
      <c r="G11" s="4">
        <f>-Calcs!G7</f>
        <v>-275</v>
      </c>
      <c r="H11" s="4">
        <f>-Calcs!H7</f>
        <v>-275</v>
      </c>
      <c r="I11" s="4">
        <f>-Calcs!I7</f>
        <v>-275</v>
      </c>
      <c r="J11" s="4">
        <f>-Calcs!J7</f>
        <v>-275</v>
      </c>
    </row>
    <row r="12" spans="1:12" s="11" customFormat="1" x14ac:dyDescent="0.25">
      <c r="B12" s="11" t="s">
        <v>229</v>
      </c>
      <c r="F12" s="11">
        <f>F11</f>
        <v>-275</v>
      </c>
      <c r="G12" s="11">
        <f t="shared" ref="G12:J12" si="2">G11</f>
        <v>-275</v>
      </c>
      <c r="H12" s="11">
        <f t="shared" si="2"/>
        <v>-275</v>
      </c>
      <c r="I12" s="11">
        <f t="shared" si="2"/>
        <v>-275</v>
      </c>
      <c r="J12" s="11">
        <f t="shared" si="2"/>
        <v>-275</v>
      </c>
    </row>
    <row r="13" spans="1:12" x14ac:dyDescent="0.25">
      <c r="I13" s="4"/>
      <c r="J13" s="4"/>
    </row>
    <row r="14" spans="1:12" x14ac:dyDescent="0.25">
      <c r="B14" s="4" t="s">
        <v>230</v>
      </c>
      <c r="F14" s="4">
        <f>-IncState!F36</f>
        <v>-823.58718861209957</v>
      </c>
      <c r="G14" s="4">
        <f>-IncState!G36</f>
        <v>-895.17437722419913</v>
      </c>
      <c r="H14" s="4">
        <f>-IncState!H36</f>
        <v>-966.76156583629881</v>
      </c>
      <c r="I14" s="4">
        <f>-IncState!I36</f>
        <v>-1038.3487544483983</v>
      </c>
      <c r="J14" s="4">
        <f>-IncState!J36</f>
        <v>-1109.9359430604979</v>
      </c>
    </row>
    <row r="15" spans="1:12" x14ac:dyDescent="0.25">
      <c r="B15" s="4" t="s">
        <v>231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x14ac:dyDescent="0.25">
      <c r="B16" s="4" t="s">
        <v>143</v>
      </c>
      <c r="F16" s="4">
        <f>Calcs!F11</f>
        <v>0</v>
      </c>
      <c r="G16" s="4">
        <f>Calcs!G11</f>
        <v>0</v>
      </c>
      <c r="H16" s="4">
        <f>Calcs!H11</f>
        <v>0</v>
      </c>
      <c r="I16" s="4">
        <f>Calcs!I11</f>
        <v>0</v>
      </c>
      <c r="J16" s="4">
        <f>Calcs!J11</f>
        <v>0</v>
      </c>
    </row>
    <row r="17" spans="2:10" s="11" customFormat="1" x14ac:dyDescent="0.25">
      <c r="B17" s="11" t="s">
        <v>232</v>
      </c>
      <c r="F17" s="11">
        <f>SUM(F14:F16)</f>
        <v>-823.58718861209957</v>
      </c>
      <c r="G17" s="11">
        <f t="shared" ref="G17:J17" si="3">SUM(G14:G16)</f>
        <v>-895.17437722419913</v>
      </c>
      <c r="H17" s="11">
        <f t="shared" si="3"/>
        <v>-966.76156583629881</v>
      </c>
      <c r="I17" s="11">
        <f t="shared" si="3"/>
        <v>-1038.3487544483983</v>
      </c>
      <c r="J17" s="11">
        <f t="shared" si="3"/>
        <v>-1109.9359430604979</v>
      </c>
    </row>
    <row r="18" spans="2:10" x14ac:dyDescent="0.25">
      <c r="I18" s="4"/>
      <c r="J18" s="4"/>
    </row>
    <row r="19" spans="2:10" x14ac:dyDescent="0.25">
      <c r="B19" s="4" t="s">
        <v>233</v>
      </c>
      <c r="F19" s="4">
        <f>SUM(F17,F12,F9)</f>
        <v>1480.3304279903441</v>
      </c>
      <c r="G19" s="4">
        <f t="shared" ref="G19:J19" si="4">SUM(G17,G12,G9)</f>
        <v>1611.3024870229253</v>
      </c>
      <c r="H19" s="4">
        <f t="shared" si="4"/>
        <v>1813.7194413058969</v>
      </c>
      <c r="I19" s="4">
        <f t="shared" si="4"/>
        <v>1987.4074543094921</v>
      </c>
      <c r="J19" s="4">
        <f t="shared" si="4"/>
        <v>2162.9528426660881</v>
      </c>
    </row>
    <row r="20" spans="2:10" x14ac:dyDescent="0.25">
      <c r="I20" s="4"/>
      <c r="J20" s="4"/>
    </row>
    <row r="21" spans="2:10" x14ac:dyDescent="0.25">
      <c r="B21" s="4" t="s">
        <v>234</v>
      </c>
      <c r="F21" s="4">
        <f>BalSheet!E17</f>
        <v>268.03166616949483</v>
      </c>
      <c r="G21" s="4">
        <f>BalSheet!F17</f>
        <v>1721.362094159839</v>
      </c>
      <c r="H21" s="4">
        <f>BalSheet!G17</f>
        <v>3332.6645811827643</v>
      </c>
      <c r="I21" s="4">
        <f>BalSheet!H17</f>
        <v>5146.3840224886608</v>
      </c>
      <c r="J21" s="4">
        <f>BalSheet!I17</f>
        <v>7133.7914767981529</v>
      </c>
    </row>
    <row r="22" spans="2:10" x14ac:dyDescent="0.25">
      <c r="B22" s="4" t="str">
        <f>B19</f>
        <v>Net changes in cash</v>
      </c>
      <c r="F22" s="4">
        <f>F19</f>
        <v>1480.3304279903441</v>
      </c>
      <c r="G22" s="4">
        <f t="shared" ref="G22:J22" si="5">G19</f>
        <v>1611.3024870229253</v>
      </c>
      <c r="H22" s="4">
        <f t="shared" si="5"/>
        <v>1813.7194413058969</v>
      </c>
      <c r="I22" s="4">
        <f t="shared" si="5"/>
        <v>1987.4074543094921</v>
      </c>
      <c r="J22" s="4">
        <f t="shared" si="5"/>
        <v>2162.9528426660881</v>
      </c>
    </row>
    <row r="23" spans="2:10" x14ac:dyDescent="0.25">
      <c r="B23" s="4" t="s">
        <v>235</v>
      </c>
      <c r="F23" s="4">
        <f>SUM(F21:F22)-BalSheet!E30</f>
        <v>1721.362094159839</v>
      </c>
      <c r="G23" s="4">
        <f>SUM(G21:G22)-BalSheet!F30</f>
        <v>3332.6645811827643</v>
      </c>
      <c r="H23" s="4">
        <f>SUM(H21:H22)-BalSheet!G30</f>
        <v>5146.3840224886608</v>
      </c>
      <c r="I23" s="4">
        <f>SUM(I21:I22)-BalSheet!H30</f>
        <v>7133.7914767981529</v>
      </c>
      <c r="J23" s="4">
        <f>SUM(J21:J22)-BalSheet!I30</f>
        <v>9296.7443194642401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Yum Brands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8" t="s">
        <v>86</v>
      </c>
      <c r="B2" s="179"/>
      <c r="C2" s="184">
        <v>2022</v>
      </c>
      <c r="D2" s="184">
        <f>C2+1</f>
        <v>2023</v>
      </c>
      <c r="E2" s="184">
        <f t="shared" ref="E2:J2" si="0">D2+1</f>
        <v>2024</v>
      </c>
      <c r="F2" s="184">
        <f t="shared" si="0"/>
        <v>2025</v>
      </c>
      <c r="G2" s="184">
        <f t="shared" si="0"/>
        <v>2026</v>
      </c>
      <c r="H2" s="184">
        <f t="shared" si="0"/>
        <v>2027</v>
      </c>
      <c r="I2" s="184">
        <f t="shared" si="0"/>
        <v>2028</v>
      </c>
      <c r="J2" s="184">
        <f t="shared" si="0"/>
        <v>2029</v>
      </c>
      <c r="K2" s="206"/>
      <c r="L2" s="206"/>
    </row>
    <row r="3" spans="1:12" x14ac:dyDescent="0.25">
      <c r="A3" s="11" t="s">
        <v>124</v>
      </c>
      <c r="B3" s="4" t="s">
        <v>87</v>
      </c>
      <c r="D3" s="236"/>
      <c r="E3" s="24"/>
      <c r="F3" s="237">
        <f>IncState!F16</f>
        <v>7639.714786144712</v>
      </c>
      <c r="G3" s="237">
        <f>IncState!G16</f>
        <v>8373.5459026838671</v>
      </c>
      <c r="H3" s="237">
        <f>IncState!H16</f>
        <v>9095.9892058866244</v>
      </c>
      <c r="I3" s="237">
        <f>IncState!I16</f>
        <v>9805.1323125868457</v>
      </c>
      <c r="J3" s="237">
        <f>IncState!J16</f>
        <v>10486.174223625081</v>
      </c>
      <c r="K3" s="214"/>
      <c r="L3" s="214"/>
    </row>
    <row r="4" spans="1:12" x14ac:dyDescent="0.25">
      <c r="B4" s="4" t="s">
        <v>55</v>
      </c>
      <c r="E4" s="28"/>
      <c r="F4" s="4">
        <f>IncState!F19</f>
        <v>3055.4142931225924</v>
      </c>
      <c r="G4" s="4">
        <f>IncState!G19</f>
        <v>3418.9213216042572</v>
      </c>
      <c r="H4" s="4">
        <f>IncState!H19</f>
        <v>3709.1973277363131</v>
      </c>
      <c r="I4" s="4">
        <f>IncState!I19</f>
        <v>3999.6433889232067</v>
      </c>
      <c r="J4" s="4">
        <f>IncState!J19</f>
        <v>4282.1718091583789</v>
      </c>
    </row>
    <row r="5" spans="1:12" x14ac:dyDescent="0.25">
      <c r="B5" s="30" t="s">
        <v>92</v>
      </c>
      <c r="C5" s="30"/>
      <c r="D5" s="30"/>
      <c r="E5" s="39"/>
      <c r="F5" s="43">
        <f>Assumptions!F16</f>
        <v>0.17865105431032116</v>
      </c>
      <c r="G5" s="43">
        <f>Assumptions!G16</f>
        <v>0.17865105431032116</v>
      </c>
      <c r="H5" s="43">
        <f>Assumptions!H16</f>
        <v>0.17865105431032116</v>
      </c>
      <c r="I5" s="43">
        <f>Assumptions!I16</f>
        <v>0.17865105431032116</v>
      </c>
      <c r="J5" s="43">
        <f>Assumptions!J16</f>
        <v>0.17865105431032116</v>
      </c>
      <c r="K5" s="43"/>
      <c r="L5" s="43"/>
    </row>
    <row r="6" spans="1:12" x14ac:dyDescent="0.25">
      <c r="C6" s="5"/>
      <c r="D6" s="5"/>
      <c r="E6" s="24"/>
      <c r="F6" s="5"/>
      <c r="G6" s="5"/>
      <c r="H6" s="5"/>
      <c r="I6" s="5"/>
      <c r="J6" s="5"/>
      <c r="K6" s="171"/>
      <c r="L6" s="171"/>
    </row>
    <row r="7" spans="1:12" x14ac:dyDescent="0.25">
      <c r="A7" s="25" t="s">
        <v>124</v>
      </c>
      <c r="B7" s="22" t="s">
        <v>88</v>
      </c>
      <c r="C7" s="118"/>
      <c r="D7" s="118"/>
      <c r="E7" s="118"/>
      <c r="F7" s="133">
        <f t="shared" ref="F7:J7" si="1">F4*(1-F5)</f>
        <v>2509.5613083014168</v>
      </c>
      <c r="G7" s="133">
        <f t="shared" ref="G7:J7" si="2">G4*(1-G5)</f>
        <v>2808.1274228956199</v>
      </c>
      <c r="H7" s="133">
        <f t="shared" si="2"/>
        <v>3046.5453144911949</v>
      </c>
      <c r="I7" s="133">
        <f t="shared" si="2"/>
        <v>3285.10288062677</v>
      </c>
      <c r="J7" s="133">
        <f t="shared" si="2"/>
        <v>3517.1573007142993</v>
      </c>
      <c r="K7" s="214"/>
      <c r="L7" s="214"/>
    </row>
    <row r="8" spans="1:12" x14ac:dyDescent="0.25">
      <c r="B8" s="4" t="s">
        <v>15</v>
      </c>
      <c r="C8" s="118"/>
      <c r="D8" s="118"/>
      <c r="E8" s="119"/>
      <c r="F8" s="134">
        <f>CashFlow!F4</f>
        <v>65.2</v>
      </c>
      <c r="G8" s="134">
        <f>CashFlow!G4</f>
        <v>75.69</v>
      </c>
      <c r="H8" s="134">
        <f>CashFlow!H4</f>
        <v>85.655500000000004</v>
      </c>
      <c r="I8" s="134">
        <f>CashFlow!I4</f>
        <v>95.122725000000003</v>
      </c>
      <c r="J8" s="134">
        <f>CashFlow!J4</f>
        <v>104.11658874999999</v>
      </c>
      <c r="K8" s="213"/>
      <c r="L8" s="213"/>
    </row>
    <row r="9" spans="1:12" x14ac:dyDescent="0.25">
      <c r="B9" s="4" t="s">
        <v>54</v>
      </c>
      <c r="C9" s="5"/>
      <c r="D9" s="5"/>
      <c r="E9" s="24"/>
      <c r="F9" s="135">
        <f>CashFlow!F5</f>
        <v>0</v>
      </c>
      <c r="G9" s="135">
        <f>CashFlow!G5</f>
        <v>0</v>
      </c>
      <c r="H9" s="135">
        <f>CashFlow!H5</f>
        <v>0</v>
      </c>
      <c r="I9" s="135">
        <f>CashFlow!I5</f>
        <v>0</v>
      </c>
      <c r="J9" s="135">
        <f>CashFlow!J5</f>
        <v>0</v>
      </c>
      <c r="K9" s="213"/>
      <c r="L9" s="213"/>
    </row>
    <row r="10" spans="1:12" x14ac:dyDescent="0.25">
      <c r="B10" s="4" t="s">
        <v>89</v>
      </c>
      <c r="C10" s="5"/>
      <c r="D10" s="5"/>
      <c r="E10" s="24"/>
      <c r="F10" s="135">
        <f>CashFlow!F6</f>
        <v>62.812344789623012</v>
      </c>
      <c r="G10" s="135">
        <f>CashFlow!G6</f>
        <v>-39.07349852888683</v>
      </c>
      <c r="H10" s="135">
        <f>CashFlow!H6</f>
        <v>-14.434544614028937</v>
      </c>
      <c r="I10" s="135">
        <f>CashFlow!I6</f>
        <v>-18.33080713913364</v>
      </c>
      <c r="J10" s="135">
        <f>CashFlow!J6</f>
        <v>-14.669251331732539</v>
      </c>
      <c r="K10" s="213"/>
      <c r="L10" s="213"/>
    </row>
    <row r="11" spans="1:12" x14ac:dyDescent="0.25">
      <c r="B11" s="4" t="s">
        <v>165</v>
      </c>
      <c r="C11" s="5"/>
      <c r="D11" s="5"/>
      <c r="E11" s="24"/>
      <c r="F11" s="135">
        <f>CashFlow!F7</f>
        <v>-234.62414595438622</v>
      </c>
      <c r="G11" s="135">
        <f>CashFlow!G7</f>
        <v>-253.0682404784352</v>
      </c>
      <c r="H11" s="135">
        <f>CashFlow!H7</f>
        <v>-249.14105093987928</v>
      </c>
      <c r="I11" s="135">
        <f>CashFlow!I7</f>
        <v>-244.55435891898514</v>
      </c>
      <c r="J11" s="135">
        <f>CashFlow!J7</f>
        <v>-234.86340962392387</v>
      </c>
      <c r="K11" s="213"/>
      <c r="L11" s="213"/>
    </row>
    <row r="12" spans="1:12" x14ac:dyDescent="0.25">
      <c r="B12" s="4" t="s">
        <v>166</v>
      </c>
      <c r="E12" s="28"/>
      <c r="F12" s="135">
        <f>CashFlow!F8</f>
        <v>175.96810946578967</v>
      </c>
      <c r="G12" s="135">
        <f>CashFlow!G8</f>
        <v>189.80118035882629</v>
      </c>
      <c r="H12" s="135">
        <f>CashFlow!H8</f>
        <v>186.85578820490946</v>
      </c>
      <c r="I12" s="135">
        <f>CashFlow!I8</f>
        <v>183.41576918923874</v>
      </c>
      <c r="J12" s="135">
        <f>CashFlow!J8</f>
        <v>176.1475572179429</v>
      </c>
      <c r="K12" s="213"/>
      <c r="L12" s="213"/>
    </row>
    <row r="13" spans="1:12" x14ac:dyDescent="0.25">
      <c r="B13" s="4" t="s">
        <v>90</v>
      </c>
      <c r="E13" s="28"/>
      <c r="F13" s="131">
        <f>CashFlow!F12</f>
        <v>-275</v>
      </c>
      <c r="G13" s="131">
        <f>CashFlow!G12</f>
        <v>-275</v>
      </c>
      <c r="H13" s="131">
        <f>CashFlow!H12</f>
        <v>-275</v>
      </c>
      <c r="I13" s="131">
        <f>CashFlow!I12</f>
        <v>-275</v>
      </c>
      <c r="J13" s="131">
        <f>CashFlow!J12</f>
        <v>-275</v>
      </c>
      <c r="K13" s="131"/>
      <c r="L13" s="131"/>
    </row>
    <row r="14" spans="1:12" x14ac:dyDescent="0.25">
      <c r="E14" s="63"/>
      <c r="F14" s="136"/>
      <c r="G14" s="136"/>
      <c r="H14" s="136"/>
      <c r="I14" s="136"/>
      <c r="J14" s="136"/>
      <c r="K14" s="136"/>
      <c r="L14" s="136"/>
    </row>
    <row r="15" spans="1:12" s="11" customFormat="1" x14ac:dyDescent="0.25">
      <c r="A15" s="25" t="s">
        <v>124</v>
      </c>
      <c r="B15" s="34" t="s">
        <v>91</v>
      </c>
      <c r="C15" s="34"/>
      <c r="D15" s="34"/>
      <c r="E15" s="34"/>
      <c r="F15" s="34">
        <f>SUM(F7:F13)</f>
        <v>2303.9176166024436</v>
      </c>
      <c r="G15" s="34">
        <f t="shared" ref="G15:J15" si="3">SUM(G7:G13)</f>
        <v>2506.4768642471245</v>
      </c>
      <c r="H15" s="34">
        <f t="shared" si="3"/>
        <v>2780.4810071421957</v>
      </c>
      <c r="I15" s="34">
        <f t="shared" si="3"/>
        <v>3025.7562087578904</v>
      </c>
      <c r="J15" s="34">
        <f t="shared" si="3"/>
        <v>3272.8887857265859</v>
      </c>
    </row>
    <row r="16" spans="1:12" x14ac:dyDescent="0.25">
      <c r="B16" s="66"/>
      <c r="C16" s="66"/>
      <c r="D16" s="66"/>
      <c r="E16" s="66"/>
      <c r="F16" s="66"/>
      <c r="G16" s="66"/>
      <c r="H16" s="66"/>
      <c r="I16" s="83"/>
      <c r="J16" s="83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7" sqref="E7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2" t="str">
        <f>CoName</f>
        <v>Yum Brands Inc.</v>
      </c>
    </row>
    <row r="2" spans="1:13" x14ac:dyDescent="0.25">
      <c r="G2" s="146"/>
    </row>
    <row r="3" spans="1:13" x14ac:dyDescent="0.25">
      <c r="A3" s="28" t="s">
        <v>124</v>
      </c>
      <c r="B3" s="162" t="s">
        <v>100</v>
      </c>
      <c r="C3" s="163"/>
      <c r="D3" s="163"/>
      <c r="E3" s="164"/>
      <c r="F3" s="11"/>
      <c r="G3" s="77" t="s">
        <v>108</v>
      </c>
      <c r="H3" s="77" t="s">
        <v>103</v>
      </c>
      <c r="I3" s="77" t="s">
        <v>104</v>
      </c>
      <c r="J3" s="77" t="s">
        <v>105</v>
      </c>
      <c r="K3" s="77" t="s">
        <v>106</v>
      </c>
      <c r="L3" s="77" t="s">
        <v>111</v>
      </c>
      <c r="M3" s="77" t="s">
        <v>107</v>
      </c>
    </row>
    <row r="4" spans="1:13" x14ac:dyDescent="0.25">
      <c r="A4" s="28"/>
      <c r="B4" s="255" t="s">
        <v>167</v>
      </c>
      <c r="C4" s="67"/>
      <c r="D4" s="72"/>
      <c r="E4" s="256">
        <f>Assumptions!F16</f>
        <v>0.17865105431032116</v>
      </c>
      <c r="G4" s="138" t="s">
        <v>238</v>
      </c>
      <c r="H4" s="139">
        <v>0.72</v>
      </c>
      <c r="I4" s="80"/>
      <c r="J4" s="81"/>
      <c r="K4" s="141">
        <v>0.186</v>
      </c>
      <c r="L4" s="153">
        <f>E4</f>
        <v>0.17865105431032116</v>
      </c>
      <c r="M4" s="142">
        <f>H4/((1+K4*(1-L4)))</f>
        <v>0.62458203756288788</v>
      </c>
    </row>
    <row r="5" spans="1:13" x14ac:dyDescent="0.25">
      <c r="A5" s="28"/>
      <c r="B5" s="67" t="s">
        <v>93</v>
      </c>
      <c r="C5" s="67"/>
      <c r="D5" s="72"/>
      <c r="E5" s="137">
        <v>4.1000000000000002E-2</v>
      </c>
      <c r="G5" s="138" t="s">
        <v>236</v>
      </c>
      <c r="H5" s="139">
        <v>0.61</v>
      </c>
      <c r="I5" s="80">
        <f>116+13415</f>
        <v>13531</v>
      </c>
      <c r="J5" s="81">
        <v>33400</v>
      </c>
      <c r="K5" s="141">
        <f t="shared" ref="K5:K6" si="0">I5/J5</f>
        <v>0.40511976047904191</v>
      </c>
      <c r="L5" s="153">
        <f>L4</f>
        <v>0.17865105431032116</v>
      </c>
      <c r="M5" s="142">
        <f t="shared" ref="M5:M6" si="1">H5/((1+K5*(1-L5)))</f>
        <v>0.4577020680891894</v>
      </c>
    </row>
    <row r="6" spans="1:13" x14ac:dyDescent="0.25">
      <c r="A6" s="28"/>
      <c r="B6" s="67" t="s">
        <v>94</v>
      </c>
      <c r="C6" s="67"/>
      <c r="D6" s="72"/>
      <c r="E6" s="137">
        <v>0.05</v>
      </c>
      <c r="G6" s="138" t="s">
        <v>237</v>
      </c>
      <c r="H6" s="140">
        <v>0.98</v>
      </c>
      <c r="I6" s="82">
        <f>1498.9+14575.9</f>
        <v>16074.8</v>
      </c>
      <c r="J6" s="81">
        <v>96940</v>
      </c>
      <c r="K6" s="141">
        <f t="shared" si="0"/>
        <v>0.16582215803589848</v>
      </c>
      <c r="L6" s="153">
        <f t="shared" ref="L6" si="2">L5</f>
        <v>0.17865105431032116</v>
      </c>
      <c r="M6" s="142">
        <f t="shared" si="1"/>
        <v>0.86252583207043387</v>
      </c>
    </row>
    <row r="7" spans="1:13" x14ac:dyDescent="0.25">
      <c r="A7" s="28"/>
      <c r="B7" s="67" t="s">
        <v>95</v>
      </c>
      <c r="C7" s="67"/>
      <c r="D7" s="72"/>
      <c r="E7" s="219">
        <f>M10</f>
        <v>0.81782490906432947</v>
      </c>
      <c r="J7" s="66"/>
      <c r="L7" s="66"/>
    </row>
    <row r="8" spans="1:13" x14ac:dyDescent="0.25">
      <c r="A8" s="28"/>
      <c r="B8" s="67" t="s">
        <v>96</v>
      </c>
      <c r="C8" s="67"/>
      <c r="D8" s="72"/>
      <c r="E8" s="137">
        <f>E5+E6*E7</f>
        <v>8.189124545321648E-2</v>
      </c>
      <c r="G8" s="4" t="s">
        <v>109</v>
      </c>
      <c r="L8" s="28"/>
      <c r="M8" s="218">
        <f>AVERAGE(M4:M6)</f>
        <v>0.64826997924083707</v>
      </c>
    </row>
    <row r="9" spans="1:13" x14ac:dyDescent="0.25">
      <c r="A9" s="28"/>
      <c r="B9" s="68" t="s">
        <v>97</v>
      </c>
      <c r="C9" s="68"/>
      <c r="D9" s="73"/>
      <c r="E9" s="143">
        <f>1-E10</f>
        <v>0.68156059253674739</v>
      </c>
      <c r="M9" s="66"/>
    </row>
    <row r="10" spans="1:13" x14ac:dyDescent="0.25">
      <c r="A10" s="28"/>
      <c r="B10" s="69" t="s">
        <v>98</v>
      </c>
      <c r="C10" s="69"/>
      <c r="D10" s="74"/>
      <c r="E10" s="144">
        <f>MAIN!F8/MAIN!F6</f>
        <v>0.31843940746325256</v>
      </c>
      <c r="G10" s="4" t="s">
        <v>110</v>
      </c>
      <c r="L10" s="28"/>
      <c r="M10" s="218">
        <f>M8*(1+E10*(1-E4))</f>
        <v>0.81782490906432947</v>
      </c>
    </row>
    <row r="11" spans="1:13" x14ac:dyDescent="0.25">
      <c r="A11" s="28"/>
      <c r="B11" s="161" t="s">
        <v>180</v>
      </c>
      <c r="C11" s="70"/>
      <c r="D11" s="75"/>
      <c r="E11" s="145">
        <f>Assumptions!F24</f>
        <v>4.48E-2</v>
      </c>
      <c r="M11" s="66"/>
    </row>
    <row r="12" spans="1:13" x14ac:dyDescent="0.25">
      <c r="A12" s="28"/>
      <c r="B12" s="71" t="s">
        <v>99</v>
      </c>
      <c r="C12" s="71"/>
      <c r="D12" s="76"/>
      <c r="E12" s="145">
        <f>E11*(1-E4)</f>
        <v>3.6796432766897612E-2</v>
      </c>
    </row>
    <row r="13" spans="1:13" s="11" customFormat="1" x14ac:dyDescent="0.25">
      <c r="A13" s="25" t="s">
        <v>124</v>
      </c>
      <c r="B13" s="162" t="s">
        <v>100</v>
      </c>
      <c r="C13" s="163"/>
      <c r="D13" s="164"/>
      <c r="E13" s="158">
        <f>WACC!E8*WACC!E9+WACC!E12*WACC!E10</f>
        <v>6.7531280021718723E-2</v>
      </c>
      <c r="F13" s="4"/>
    </row>
    <row r="14" spans="1:13" s="11" customFormat="1" x14ac:dyDescent="0.25">
      <c r="A14" s="25"/>
      <c r="B14" s="77" t="s">
        <v>101</v>
      </c>
      <c r="C14" s="77"/>
      <c r="D14" s="113"/>
      <c r="E14" s="147">
        <v>2.5000000000000001E-2</v>
      </c>
      <c r="F14" s="4"/>
    </row>
    <row r="15" spans="1:13" x14ac:dyDescent="0.25">
      <c r="B15" s="66"/>
      <c r="C15" s="66"/>
      <c r="D15" s="66"/>
      <c r="E1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zoomScaleNormal="100" workbookViewId="0">
      <selection activeCell="O17" sqref="N17:O18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5" width="11.7109375" style="4" customWidth="1"/>
    <col min="16" max="16384" width="9" style="4"/>
  </cols>
  <sheetData>
    <row r="1" spans="1:14" ht="19.5" x14ac:dyDescent="0.3">
      <c r="A1" s="252" t="str">
        <f>CoName</f>
        <v>Yum Brands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4" x14ac:dyDescent="0.25">
      <c r="A2" s="77" t="s">
        <v>112</v>
      </c>
      <c r="B2" s="20"/>
      <c r="C2" s="42"/>
      <c r="D2" s="77">
        <v>1</v>
      </c>
      <c r="E2" s="77">
        <f>D2+1</f>
        <v>2</v>
      </c>
      <c r="F2" s="77">
        <f t="shared" ref="F2:H2" si="0">E2+1</f>
        <v>3</v>
      </c>
      <c r="G2" s="77">
        <f t="shared" si="0"/>
        <v>4</v>
      </c>
      <c r="H2" s="77">
        <f t="shared" si="0"/>
        <v>5</v>
      </c>
      <c r="I2" s="159"/>
      <c r="J2" s="159"/>
      <c r="K2" s="159"/>
      <c r="L2" s="159"/>
      <c r="M2" s="159"/>
      <c r="N2" s="159"/>
    </row>
    <row r="3" spans="1:14" x14ac:dyDescent="0.25">
      <c r="B3" s="4" t="s">
        <v>185</v>
      </c>
      <c r="D3" s="8">
        <f>1/(1+$K$17)^D2</f>
        <v>0.93674070138690002</v>
      </c>
      <c r="E3" s="8">
        <f>1/(1+$K$17)^E2</f>
        <v>0.87748314163482144</v>
      </c>
      <c r="F3" s="8">
        <f>1/(1+$K$17)^F2</f>
        <v>0.82197417355018321</v>
      </c>
      <c r="G3" s="8">
        <f>1/(1+$K$17)^G2</f>
        <v>0.7699766638533162</v>
      </c>
      <c r="H3" s="8">
        <f>1/(1+$K$17)^H2</f>
        <v>0.72126848014950085</v>
      </c>
      <c r="I3" s="8"/>
      <c r="J3" s="8"/>
      <c r="K3" s="8"/>
    </row>
    <row r="4" spans="1:14" x14ac:dyDescent="0.25">
      <c r="B4" s="4" t="s">
        <v>186</v>
      </c>
      <c r="D4" s="4">
        <f>D3*'Free Cash Flow'!F15</f>
        <v>2158.1734041138079</v>
      </c>
      <c r="E4" s="4">
        <f>E3*'Free Cash Flow'!G15</f>
        <v>2199.3911932745627</v>
      </c>
      <c r="F4" s="4">
        <f>F3*'Free Cash Flow'!H15</f>
        <v>2285.4835779176874</v>
      </c>
      <c r="G4" s="4">
        <f>G3*'Free Cash Flow'!I15</f>
        <v>2329.7616712528584</v>
      </c>
      <c r="H4" s="4">
        <f>H3*'Free Cash Flow'!J15</f>
        <v>2360.63152017936</v>
      </c>
    </row>
    <row r="5" spans="1:14" x14ac:dyDescent="0.25">
      <c r="G5" s="146"/>
      <c r="H5" s="4">
        <f>(H4*(1+K18))/(K17-K18)</f>
        <v>56891.006030108758</v>
      </c>
    </row>
    <row r="6" spans="1:14" x14ac:dyDescent="0.25">
      <c r="A6" s="77" t="s">
        <v>113</v>
      </c>
      <c r="B6" s="20"/>
      <c r="C6" s="42"/>
      <c r="D6" s="85"/>
      <c r="E6" s="77" t="s">
        <v>172</v>
      </c>
      <c r="F6" s="20"/>
      <c r="G6" s="42"/>
      <c r="H6" s="85" t="s">
        <v>168</v>
      </c>
      <c r="I6" s="77" t="s">
        <v>244</v>
      </c>
      <c r="J6" s="20"/>
      <c r="K6" s="42"/>
    </row>
    <row r="7" spans="1:14" x14ac:dyDescent="0.25">
      <c r="B7" s="4" t="s">
        <v>114</v>
      </c>
      <c r="C7" s="4">
        <f>SUM(D4:H4)</f>
        <v>11333.441366738278</v>
      </c>
      <c r="E7" s="4" t="s">
        <v>114</v>
      </c>
      <c r="G7" s="4">
        <f>C7</f>
        <v>11333.441366738278</v>
      </c>
      <c r="I7" s="4" t="s">
        <v>242</v>
      </c>
      <c r="K7" s="4">
        <f>IncState!J36</f>
        <v>1109.9359430604979</v>
      </c>
    </row>
    <row r="8" spans="1:14" x14ac:dyDescent="0.25">
      <c r="B8" s="4" t="s">
        <v>115</v>
      </c>
      <c r="C8" s="4">
        <f>H5*H3</f>
        <v>41033.689453512634</v>
      </c>
      <c r="E8" s="4" t="s">
        <v>173</v>
      </c>
      <c r="G8" s="4">
        <f>H3*IncState!J23*'DCF Model'!G10</f>
        <v>47455.373493851483</v>
      </c>
      <c r="I8" s="4" t="s">
        <v>243</v>
      </c>
      <c r="K8" s="4">
        <f>K7/(K17-K18)</f>
        <v>26096.932481075244</v>
      </c>
    </row>
    <row r="9" spans="1:14" x14ac:dyDescent="0.25">
      <c r="B9" s="4" t="s">
        <v>116</v>
      </c>
      <c r="C9" s="4">
        <f>SUM(C7:C8)</f>
        <v>52367.13082025091</v>
      </c>
      <c r="E9" s="4" t="s">
        <v>116</v>
      </c>
      <c r="G9" s="4">
        <f>SUM(G7:G8)</f>
        <v>58788.814860589759</v>
      </c>
    </row>
    <row r="10" spans="1:14" x14ac:dyDescent="0.25">
      <c r="C10" s="84"/>
      <c r="E10" s="4" t="s">
        <v>117</v>
      </c>
      <c r="G10" s="84">
        <v>15</v>
      </c>
      <c r="I10" s="4" t="s">
        <v>122</v>
      </c>
      <c r="K10" s="4">
        <f>G17</f>
        <v>277.652829</v>
      </c>
    </row>
    <row r="11" spans="1:14" x14ac:dyDescent="0.25">
      <c r="I11" s="148" t="s">
        <v>123</v>
      </c>
      <c r="J11" s="156"/>
      <c r="K11" s="157">
        <f>K8/K10</f>
        <v>93.991235655932201</v>
      </c>
    </row>
    <row r="12" spans="1:14" x14ac:dyDescent="0.25">
      <c r="B12" s="28" t="s">
        <v>118</v>
      </c>
      <c r="C12" s="37">
        <f>MAIN!F7</f>
        <v>1045</v>
      </c>
      <c r="E12" s="28" t="s">
        <v>118</v>
      </c>
      <c r="F12" s="156"/>
      <c r="G12" s="37">
        <f>C12</f>
        <v>1045</v>
      </c>
    </row>
    <row r="13" spans="1:14" x14ac:dyDescent="0.25">
      <c r="B13" s="28" t="s">
        <v>119</v>
      </c>
      <c r="C13" s="37">
        <f>MAIN!F8</f>
        <v>12807</v>
      </c>
      <c r="E13" s="28" t="s">
        <v>119</v>
      </c>
      <c r="F13" s="156"/>
      <c r="G13" s="37">
        <f>C13</f>
        <v>12807</v>
      </c>
    </row>
    <row r="14" spans="1:14" x14ac:dyDescent="0.25">
      <c r="B14" s="28" t="s">
        <v>120</v>
      </c>
      <c r="C14" s="79">
        <v>0</v>
      </c>
      <c r="E14" s="4" t="s">
        <v>120</v>
      </c>
      <c r="G14" s="79">
        <f>C14</f>
        <v>0</v>
      </c>
    </row>
    <row r="15" spans="1:14" x14ac:dyDescent="0.25">
      <c r="B15" s="4" t="s">
        <v>121</v>
      </c>
      <c r="C15" s="66">
        <f>C9+C12-SUM(C13:C14)</f>
        <v>40605.13082025091</v>
      </c>
      <c r="E15" s="4" t="s">
        <v>121</v>
      </c>
      <c r="G15" s="66">
        <f>G9+G12-SUM(G13:G14)</f>
        <v>47026.814860589759</v>
      </c>
    </row>
    <row r="17" spans="1:17" x14ac:dyDescent="0.25">
      <c r="B17" s="4" t="s">
        <v>122</v>
      </c>
      <c r="C17" s="4">
        <f>MAIN!F5</f>
        <v>277.652829</v>
      </c>
      <c r="E17" s="4" t="s">
        <v>122</v>
      </c>
      <c r="G17" s="4">
        <f>C17</f>
        <v>277.652829</v>
      </c>
      <c r="I17" s="162" t="s">
        <v>100</v>
      </c>
      <c r="J17" s="163"/>
      <c r="K17" s="158">
        <f>WACC!E13</f>
        <v>6.7531280021718723E-2</v>
      </c>
    </row>
    <row r="18" spans="1:17" x14ac:dyDescent="0.25">
      <c r="A18" s="4" t="s">
        <v>124</v>
      </c>
      <c r="B18" s="148" t="s">
        <v>123</v>
      </c>
      <c r="C18" s="157">
        <f>C15/C17</f>
        <v>146.24425389971773</v>
      </c>
      <c r="E18" s="148" t="s">
        <v>123</v>
      </c>
      <c r="F18" s="156"/>
      <c r="G18" s="157">
        <f>G15/G17</f>
        <v>169.37271998978898</v>
      </c>
      <c r="H18" s="156"/>
      <c r="I18" s="77" t="s">
        <v>101</v>
      </c>
      <c r="J18" s="77"/>
      <c r="K18" s="316">
        <v>2.5000000000000001E-2</v>
      </c>
    </row>
    <row r="19" spans="1:17" x14ac:dyDescent="0.25">
      <c r="C19" s="22"/>
      <c r="I19" s="317"/>
      <c r="J19" s="66"/>
      <c r="K19" s="66"/>
    </row>
    <row r="20" spans="1:17" x14ac:dyDescent="0.25">
      <c r="A20" s="114" t="s">
        <v>146</v>
      </c>
      <c r="B20" s="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215"/>
    </row>
    <row r="21" spans="1:17" x14ac:dyDescent="0.25">
      <c r="B21" s="115"/>
      <c r="C21" s="115"/>
      <c r="D21" s="115"/>
      <c r="E21" s="115"/>
      <c r="F21" s="115"/>
      <c r="G21" s="115"/>
      <c r="H21" s="115"/>
      <c r="I21" s="115"/>
    </row>
    <row r="22" spans="1:17" x14ac:dyDescent="0.25">
      <c r="B22" s="115"/>
      <c r="C22" s="115" t="s">
        <v>147</v>
      </c>
      <c r="D22" s="115"/>
      <c r="E22" s="116">
        <v>2.5000000000000001E-3</v>
      </c>
      <c r="F22" s="115"/>
      <c r="G22" s="115" t="s">
        <v>147</v>
      </c>
      <c r="H22" s="115"/>
      <c r="I22" s="116">
        <v>2.5000000000000001E-3</v>
      </c>
    </row>
    <row r="23" spans="1:17" x14ac:dyDescent="0.25">
      <c r="B23" s="115"/>
      <c r="C23" s="115" t="s">
        <v>148</v>
      </c>
      <c r="D23" s="115"/>
      <c r="E23" s="149">
        <v>2.5000000000000001E-3</v>
      </c>
      <c r="F23" s="325"/>
      <c r="G23" s="326" t="s">
        <v>171</v>
      </c>
      <c r="H23" s="115"/>
      <c r="I23" s="155">
        <v>2</v>
      </c>
    </row>
    <row r="24" spans="1:17" x14ac:dyDescent="0.25">
      <c r="B24" s="115"/>
      <c r="C24" s="115"/>
      <c r="D24" s="115"/>
      <c r="E24" s="166"/>
      <c r="F24" s="115"/>
      <c r="G24" s="115"/>
      <c r="H24" s="324"/>
      <c r="I24" s="66"/>
      <c r="J24" s="115"/>
    </row>
    <row r="25" spans="1:17" x14ac:dyDescent="0.25">
      <c r="B25" s="115"/>
      <c r="C25" s="238"/>
      <c r="D25" s="238"/>
      <c r="E25" s="238" t="s">
        <v>239</v>
      </c>
      <c r="F25" s="327"/>
      <c r="G25" s="168"/>
      <c r="H25" s="238"/>
      <c r="I25" s="168" t="s">
        <v>240</v>
      </c>
      <c r="J25" s="168"/>
      <c r="P25" s="168"/>
    </row>
    <row r="26" spans="1:17" x14ac:dyDescent="0.25">
      <c r="B26" s="159"/>
      <c r="C26" s="320">
        <f>C18</f>
        <v>146.24425389971773</v>
      </c>
      <c r="D26" s="239">
        <f>E26-E23</f>
        <v>2.2500000000000003E-2</v>
      </c>
      <c r="E26" s="239">
        <v>2.5000000000000001E-2</v>
      </c>
      <c r="F26" s="328">
        <f>E26+E23</f>
        <v>2.75E-2</v>
      </c>
      <c r="G26" s="332">
        <f>G18</f>
        <v>169.37271998978898</v>
      </c>
      <c r="H26" s="224">
        <f>I26-I23</f>
        <v>13</v>
      </c>
      <c r="I26" s="333">
        <v>15</v>
      </c>
      <c r="J26" s="333">
        <f>I26+I23</f>
        <v>17</v>
      </c>
    </row>
    <row r="27" spans="1:17" x14ac:dyDescent="0.25">
      <c r="B27" s="159"/>
      <c r="C27" s="227">
        <f>C28+$E$22</f>
        <v>7.2531280021718728E-2</v>
      </c>
      <c r="D27" s="319">
        <f t="dataTable" ref="D27:F31" dt2D="1" dtr="1" r1="K18" r2="K17"/>
        <v>117.48577708713668</v>
      </c>
      <c r="E27" s="321">
        <v>124.08447619785755</v>
      </c>
      <c r="F27" s="329">
        <v>131.41585480464639</v>
      </c>
      <c r="G27" s="239">
        <f>C27</f>
        <v>7.2531280021718728E-2</v>
      </c>
      <c r="H27" s="318">
        <f t="dataTable" ref="H27:J31" dt2D="1" dtr="1" r1="G10" r2="K17" ca="1"/>
        <v>142.58695579892478</v>
      </c>
      <c r="I27" s="323">
        <v>164.84952284597171</v>
      </c>
      <c r="J27" s="319">
        <v>187.11208989301869</v>
      </c>
      <c r="N27" s="240"/>
      <c r="P27" s="168"/>
    </row>
    <row r="28" spans="1:17" x14ac:dyDescent="0.25">
      <c r="B28" s="159"/>
      <c r="C28" s="227">
        <f>C29+$E$22</f>
        <v>7.0031280021718725E-2</v>
      </c>
      <c r="D28" s="319">
        <v>127.03572952981897</v>
      </c>
      <c r="E28" s="321">
        <v>134.52271672054943</v>
      </c>
      <c r="F28" s="330">
        <v>142.88987812504769</v>
      </c>
      <c r="G28" s="239">
        <f t="shared" ref="G28:G31" si="1">C28</f>
        <v>7.0031280021718725E-2</v>
      </c>
      <c r="H28" s="319">
        <v>144.57185389189715</v>
      </c>
      <c r="I28" s="323">
        <v>167.09570813730554</v>
      </c>
      <c r="J28" s="319">
        <v>189.61956238271392</v>
      </c>
      <c r="N28" s="241"/>
      <c r="O28" s="47"/>
      <c r="P28" s="47"/>
      <c r="Q28" s="47"/>
    </row>
    <row r="29" spans="1:17" x14ac:dyDescent="0.25">
      <c r="C29" s="227">
        <v>6.7531280021718723E-2</v>
      </c>
      <c r="D29" s="323">
        <v>137.69907961244613</v>
      </c>
      <c r="E29" s="322">
        <v>146.24425389971773</v>
      </c>
      <c r="F29" s="331">
        <v>155.85674033421961</v>
      </c>
      <c r="G29" s="239">
        <f t="shared" si="1"/>
        <v>6.7531280021718723E-2</v>
      </c>
      <c r="H29" s="323">
        <v>146.58388994147879</v>
      </c>
      <c r="I29" s="323">
        <v>169.37271998978898</v>
      </c>
      <c r="J29" s="323">
        <v>192.16155003809914</v>
      </c>
      <c r="N29" s="243"/>
      <c r="O29" s="165"/>
      <c r="P29" s="165"/>
      <c r="Q29" s="165"/>
    </row>
    <row r="30" spans="1:17" x14ac:dyDescent="0.25">
      <c r="C30" s="227">
        <f>C29-$E$22</f>
        <v>6.5031280021718721E-2</v>
      </c>
      <c r="D30" s="319">
        <v>149.67411397891064</v>
      </c>
      <c r="E30" s="323">
        <v>159.49159237766554</v>
      </c>
      <c r="F30" s="330">
        <v>170.61697692737954</v>
      </c>
      <c r="G30" s="239">
        <f t="shared" si="1"/>
        <v>6.5031280021718721E-2</v>
      </c>
      <c r="H30" s="319">
        <v>148.62350462738601</v>
      </c>
      <c r="I30" s="323">
        <v>171.68105997721869</v>
      </c>
      <c r="J30" s="319">
        <v>194.73861532705138</v>
      </c>
      <c r="K30" s="244"/>
      <c r="M30" s="47"/>
      <c r="N30" s="165"/>
      <c r="O30" s="84"/>
      <c r="P30" s="84"/>
      <c r="Q30" s="84"/>
    </row>
    <row r="31" spans="1:17" x14ac:dyDescent="0.25">
      <c r="C31" s="227">
        <f>C30-$E$22</f>
        <v>6.2531280021718719E-2</v>
      </c>
      <c r="D31" s="319">
        <v>163.20872261440658</v>
      </c>
      <c r="E31" s="323">
        <v>174.57192607001656</v>
      </c>
      <c r="F31" s="330">
        <v>187.55699481981003</v>
      </c>
      <c r="G31" s="239">
        <f t="shared" si="1"/>
        <v>6.2531280021718719E-2</v>
      </c>
      <c r="H31" s="319">
        <v>150.69114687977535</v>
      </c>
      <c r="I31" s="323">
        <v>174.02123907543938</v>
      </c>
      <c r="J31" s="319">
        <v>197.35133127110345</v>
      </c>
      <c r="K31" s="244"/>
      <c r="M31" s="47"/>
      <c r="N31" s="165"/>
      <c r="O31" s="84"/>
      <c r="P31" s="84"/>
      <c r="Q31" s="84"/>
    </row>
    <row r="32" spans="1:17" x14ac:dyDescent="0.25">
      <c r="D32" s="47"/>
      <c r="E32" s="146"/>
      <c r="F32" s="225"/>
      <c r="G32" s="242"/>
      <c r="H32" s="226"/>
      <c r="I32" s="226"/>
      <c r="J32" s="226"/>
      <c r="K32" s="244"/>
      <c r="L32" s="146"/>
      <c r="M32" s="47"/>
      <c r="N32" s="165"/>
      <c r="O32" s="84"/>
      <c r="P32" s="84"/>
      <c r="Q32" s="84"/>
    </row>
    <row r="33" spans="2:17" x14ac:dyDescent="0.25">
      <c r="D33" s="47"/>
      <c r="E33" s="221"/>
      <c r="F33" s="225"/>
      <c r="G33" s="242"/>
      <c r="H33" s="226"/>
      <c r="I33" s="226"/>
      <c r="J33" s="226"/>
      <c r="K33" s="240"/>
      <c r="M33" s="47"/>
      <c r="N33" s="165"/>
      <c r="O33" s="84"/>
      <c r="P33" s="84"/>
      <c r="Q33" s="84"/>
    </row>
    <row r="34" spans="2:17" x14ac:dyDescent="0.25">
      <c r="D34" s="47"/>
      <c r="E34" s="221"/>
      <c r="F34" s="225"/>
      <c r="G34" s="242"/>
      <c r="H34" s="226"/>
      <c r="I34" s="226"/>
      <c r="J34" s="226"/>
      <c r="K34" s="240"/>
      <c r="M34" s="47"/>
      <c r="N34" s="165"/>
      <c r="O34" s="84"/>
      <c r="P34" s="84"/>
      <c r="Q34" s="84"/>
    </row>
    <row r="35" spans="2:17" x14ac:dyDescent="0.25">
      <c r="B35" s="245"/>
      <c r="C35" s="245"/>
      <c r="D35" s="245"/>
      <c r="E35" s="246"/>
      <c r="F35" s="247"/>
      <c r="G35" s="246"/>
    </row>
    <row r="36" spans="2:17" x14ac:dyDescent="0.25">
      <c r="B36" s="115"/>
      <c r="C36" s="115"/>
      <c r="D36" s="115"/>
      <c r="E36" s="115"/>
      <c r="F36" s="238"/>
      <c r="G36" s="238"/>
      <c r="H36" s="238"/>
      <c r="I36" s="168"/>
      <c r="J36" s="168"/>
      <c r="P36" s="168"/>
    </row>
    <row r="37" spans="2:17" x14ac:dyDescent="0.25">
      <c r="F37" s="227"/>
      <c r="G37" s="227"/>
      <c r="H37" s="225"/>
      <c r="I37" s="225"/>
      <c r="J37" s="225"/>
      <c r="M37" s="168"/>
      <c r="O37" s="84"/>
      <c r="P37" s="84"/>
      <c r="Q37" s="84"/>
    </row>
    <row r="38" spans="2:17" x14ac:dyDescent="0.25">
      <c r="E38" s="47"/>
      <c r="F38" s="224"/>
      <c r="G38" s="248"/>
      <c r="H38" s="242"/>
      <c r="I38" s="242"/>
      <c r="J38" s="242"/>
      <c r="L38" s="84"/>
      <c r="M38" s="84"/>
      <c r="N38" s="249"/>
      <c r="O38" s="167"/>
      <c r="P38" s="167"/>
      <c r="Q38" s="167"/>
    </row>
    <row r="39" spans="2:17" x14ac:dyDescent="0.25">
      <c r="E39" s="47"/>
      <c r="F39" s="225"/>
      <c r="G39" s="242"/>
      <c r="H39" s="224"/>
      <c r="I39" s="224"/>
      <c r="J39" s="224"/>
      <c r="K39" s="47"/>
      <c r="M39" s="47"/>
      <c r="N39" s="165"/>
      <c r="O39" s="250"/>
      <c r="P39" s="250"/>
      <c r="Q39" s="250"/>
    </row>
    <row r="40" spans="2:17" x14ac:dyDescent="0.25">
      <c r="D40" s="8"/>
      <c r="E40" s="47"/>
      <c r="F40" s="225"/>
      <c r="G40" s="242"/>
      <c r="H40" s="224"/>
      <c r="I40" s="224"/>
      <c r="J40" s="224"/>
      <c r="K40" s="8"/>
      <c r="L40" s="47"/>
      <c r="M40" s="47"/>
      <c r="N40" s="165"/>
      <c r="O40" s="250"/>
      <c r="P40" s="250"/>
      <c r="Q40" s="250"/>
    </row>
    <row r="41" spans="2:17" x14ac:dyDescent="0.25">
      <c r="D41" s="8"/>
      <c r="E41" s="146"/>
      <c r="F41" s="225"/>
      <c r="G41" s="242"/>
      <c r="H41" s="224"/>
      <c r="I41" s="224"/>
      <c r="J41" s="224"/>
      <c r="K41" s="8"/>
      <c r="L41" s="146"/>
      <c r="M41" s="47"/>
      <c r="N41" s="165"/>
      <c r="O41" s="250"/>
      <c r="P41" s="250"/>
      <c r="Q41" s="250"/>
    </row>
    <row r="42" spans="2:17" x14ac:dyDescent="0.25">
      <c r="D42" s="8"/>
      <c r="E42" s="47"/>
      <c r="F42" s="225"/>
      <c r="G42" s="242"/>
      <c r="H42" s="224"/>
      <c r="I42" s="224"/>
      <c r="J42" s="224"/>
      <c r="K42" s="8"/>
      <c r="L42" s="47"/>
      <c r="M42" s="47"/>
      <c r="N42" s="165"/>
      <c r="O42" s="250"/>
      <c r="P42" s="250"/>
      <c r="Q42" s="250"/>
    </row>
    <row r="43" spans="2:17" x14ac:dyDescent="0.25">
      <c r="D43" s="8"/>
      <c r="E43" s="8"/>
      <c r="F43" s="225"/>
      <c r="G43" s="242"/>
      <c r="H43" s="224"/>
      <c r="I43" s="224"/>
      <c r="J43" s="224"/>
      <c r="K43" s="8"/>
      <c r="L43" s="47"/>
      <c r="M43" s="47"/>
      <c r="N43" s="165"/>
      <c r="O43" s="250"/>
      <c r="P43" s="250"/>
      <c r="Q43" s="250"/>
    </row>
    <row r="44" spans="2:17" x14ac:dyDescent="0.25">
      <c r="D44" s="8"/>
      <c r="E44" s="8"/>
      <c r="F44" s="84"/>
      <c r="G44" s="84"/>
      <c r="H44" s="84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purl.org/dc/elements/1.1/"/>
    <ds:schemaRef ds:uri="http://purl.org/dc/terms/"/>
    <ds:schemaRef ds:uri="http://schemas.microsoft.com/office/infopath/2007/PartnerControls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2025-12-07T18:45:19Z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